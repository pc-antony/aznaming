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python.xml" ContentType="application/vnd.ms-excel.pytho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623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antony.millington\Desktop\filestore\azNaming\"/>
    </mc:Choice>
  </mc:AlternateContent>
  <xr:revisionPtr revIDLastSave="0" documentId="13_ncr:1_{275888DD-DB55-40D3-9B66-AE468F6A3703}" xr6:coauthVersionLast="47" xr6:coauthVersionMax="47" xr10:uidLastSave="{00000000-0000-0000-0000-000000000000}"/>
  <bookViews>
    <workbookView xWindow="5055" yWindow="-14460" windowWidth="22995" windowHeight="13440" xr2:uid="{8C298BCE-84FA-42A0-8A1F-F9009FB1C24B}"/>
  </bookViews>
  <sheets>
    <sheet name="Entities" sheetId="3" r:id="rId1"/>
    <sheet name="Resources" sheetId="5" r:id="rId2"/>
    <sheet name="_resources" sheetId="2" state="hidden" r:id="rId3"/>
    <sheet name="_types" sheetId="4" state="hidden" r:id="rId4"/>
  </sheets>
  <definedNames>
    <definedName name="_xlnm._FilterDatabase" localSheetId="2" hidden="1">_resources!$A$1:$O$205</definedName>
    <definedName name="_xlnm._FilterDatabase" localSheetId="1" hidden="1">Resources!$B$6:$G$6</definedName>
    <definedName name="abbrAtEnd">Entities!$K$1</definedName>
    <definedName name="azregion">Entities!$L$10</definedName>
    <definedName name="azregion_lookup">_types!$C$1:$E$54</definedName>
    <definedName name="azregions">_types!$C$1:$C$54</definedName>
    <definedName name="dept">Entities!$E$4</definedName>
    <definedName name="element_selection">Entities!$L$3:$L$9</definedName>
    <definedName name="element2">_resources!$G$1</definedName>
    <definedName name="element3">_resources!$L$1</definedName>
    <definedName name="element4">_resources!$M$1</definedName>
    <definedName name="element5">_resources!$N$1</definedName>
    <definedName name="element6">_resources!$O$1</definedName>
    <definedName name="elements">_types!$F$1:$F$7</definedName>
    <definedName name="elements_lookup">_types!$F$1:$G$7</definedName>
    <definedName name="env">Entities!$E$8</definedName>
    <definedName name="instanceOption">Resources!$M$1:$N$3</definedName>
    <definedName name="maxLength">_resources!$F$1</definedName>
    <definedName name="namespaces">_resources!$C:$C</definedName>
    <definedName name="org">Entities!$E$3</definedName>
    <definedName name="resource_groups">_resources!$A$2:$A$205</definedName>
    <definedName name="resourceAbbr">_resources!$D:$D</definedName>
    <definedName name="resources">_resources!$B:$B</definedName>
    <definedName name="rg_names">Entities!$E$21:$E$62</definedName>
    <definedName name="rg_selection">Resources!$F$7:$F$48</definedName>
    <definedName name="structure">_resources!$E$1</definedName>
    <definedName name="structure_e3">Entities!$C$14</definedName>
    <definedName name="structure_e4">Entities!$C$15</definedName>
    <definedName name="structure_e5">Entities!$C$16</definedName>
    <definedName name="structure_e6">Entities!$C$17</definedName>
    <definedName name="sub">Entities!$E$6</definedName>
    <definedName name="tnt">Entities!$E$5</definedName>
    <definedName name="totalElements">Entities!$L$18</definedName>
    <definedName name="typeResource">_types!$A:$A</definedName>
    <definedName name="types">_resources!#REF!</definedName>
    <definedName name="typeStructure">_types!$B:$B</definedName>
    <definedName name="validElements">_xlfn._xlws.FILTER(element_selection, element_selection&lt;&gt;"")</definedName>
    <definedName name="wkld">Entities!$E$7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3" l="1"/>
  <c r="H188" i="2"/>
  <c r="I188" i="2"/>
  <c r="J188" i="2"/>
  <c r="K188" i="2"/>
  <c r="M4" i="5"/>
  <c r="F7" i="4"/>
  <c r="F2" i="4"/>
  <c r="F3" i="4"/>
  <c r="F4" i="4"/>
  <c r="F5" i="4"/>
  <c r="F6" i="4"/>
  <c r="F1" i="4"/>
  <c r="D49" i="5" l="1"/>
  <c r="K49" i="5"/>
  <c r="L49" i="5"/>
  <c r="P49" i="5"/>
  <c r="T49" i="5"/>
  <c r="D50" i="5"/>
  <c r="K50" i="5"/>
  <c r="L50" i="5"/>
  <c r="P50" i="5"/>
  <c r="T50" i="5"/>
  <c r="D51" i="5"/>
  <c r="K51" i="5"/>
  <c r="L51" i="5"/>
  <c r="P51" i="5"/>
  <c r="T51" i="5"/>
  <c r="D52" i="5"/>
  <c r="K52" i="5"/>
  <c r="L52" i="5"/>
  <c r="P52" i="5"/>
  <c r="T52" i="5"/>
  <c r="D53" i="5"/>
  <c r="K53" i="5"/>
  <c r="L53" i="5"/>
  <c r="P53" i="5"/>
  <c r="T53" i="5"/>
  <c r="D54" i="5"/>
  <c r="K54" i="5"/>
  <c r="L54" i="5"/>
  <c r="P54" i="5"/>
  <c r="T54" i="5"/>
  <c r="D55" i="5"/>
  <c r="K55" i="5"/>
  <c r="L55" i="5"/>
  <c r="P55" i="5"/>
  <c r="T55" i="5"/>
  <c r="D56" i="5"/>
  <c r="K56" i="5"/>
  <c r="L56" i="5"/>
  <c r="P56" i="5"/>
  <c r="T56" i="5"/>
  <c r="D57" i="5"/>
  <c r="K57" i="5"/>
  <c r="L57" i="5"/>
  <c r="P57" i="5"/>
  <c r="T57" i="5"/>
  <c r="D58" i="5"/>
  <c r="K58" i="5"/>
  <c r="L58" i="5"/>
  <c r="P58" i="5"/>
  <c r="T58" i="5"/>
  <c r="D59" i="5"/>
  <c r="K59" i="5"/>
  <c r="L59" i="5"/>
  <c r="P59" i="5"/>
  <c r="T59" i="5"/>
  <c r="D60" i="5"/>
  <c r="K60" i="5"/>
  <c r="L60" i="5"/>
  <c r="P60" i="5"/>
  <c r="T60" i="5"/>
  <c r="D61" i="5"/>
  <c r="K61" i="5"/>
  <c r="L61" i="5"/>
  <c r="P61" i="5"/>
  <c r="T61" i="5"/>
  <c r="D62" i="5"/>
  <c r="K62" i="5"/>
  <c r="L62" i="5"/>
  <c r="P62" i="5"/>
  <c r="T62" i="5"/>
  <c r="D63" i="5"/>
  <c r="K63" i="5"/>
  <c r="L63" i="5"/>
  <c r="P63" i="5"/>
  <c r="T63" i="5"/>
  <c r="D64" i="5"/>
  <c r="K64" i="5"/>
  <c r="L64" i="5"/>
  <c r="P64" i="5"/>
  <c r="T64" i="5"/>
  <c r="D65" i="5"/>
  <c r="K65" i="5"/>
  <c r="L65" i="5"/>
  <c r="P65" i="5"/>
  <c r="T65" i="5"/>
  <c r="D66" i="5"/>
  <c r="K66" i="5"/>
  <c r="L66" i="5"/>
  <c r="P66" i="5"/>
  <c r="T66" i="5"/>
  <c r="D67" i="5"/>
  <c r="K67" i="5"/>
  <c r="L67" i="5"/>
  <c r="P67" i="5"/>
  <c r="T67" i="5"/>
  <c r="D68" i="5"/>
  <c r="K68" i="5"/>
  <c r="L68" i="5"/>
  <c r="P68" i="5"/>
  <c r="T68" i="5"/>
  <c r="D69" i="5"/>
  <c r="K69" i="5"/>
  <c r="L69" i="5"/>
  <c r="P69" i="5"/>
  <c r="T69" i="5"/>
  <c r="D70" i="5"/>
  <c r="K70" i="5"/>
  <c r="L70" i="5"/>
  <c r="P70" i="5"/>
  <c r="T70" i="5"/>
  <c r="D71" i="5"/>
  <c r="K71" i="5"/>
  <c r="L71" i="5"/>
  <c r="P71" i="5"/>
  <c r="T71" i="5"/>
  <c r="D72" i="5"/>
  <c r="K72" i="5"/>
  <c r="L72" i="5"/>
  <c r="P72" i="5"/>
  <c r="T72" i="5"/>
  <c r="D73" i="5"/>
  <c r="K73" i="5"/>
  <c r="L73" i="5"/>
  <c r="P73" i="5"/>
  <c r="T73" i="5"/>
  <c r="D74" i="5"/>
  <c r="K74" i="5"/>
  <c r="L74" i="5"/>
  <c r="P74" i="5"/>
  <c r="T74" i="5"/>
  <c r="D75" i="5"/>
  <c r="K75" i="5"/>
  <c r="L75" i="5"/>
  <c r="P75" i="5"/>
  <c r="T75" i="5"/>
  <c r="D76" i="5"/>
  <c r="K76" i="5"/>
  <c r="L76" i="5"/>
  <c r="P76" i="5"/>
  <c r="T76" i="5"/>
  <c r="D77" i="5"/>
  <c r="K77" i="5"/>
  <c r="L77" i="5"/>
  <c r="P77" i="5"/>
  <c r="T77" i="5"/>
  <c r="D78" i="5"/>
  <c r="K78" i="5"/>
  <c r="L78" i="5"/>
  <c r="P78" i="5"/>
  <c r="T78" i="5"/>
  <c r="D79" i="5"/>
  <c r="K79" i="5"/>
  <c r="L79" i="5"/>
  <c r="P79" i="5"/>
  <c r="T79" i="5"/>
  <c r="D80" i="5"/>
  <c r="K80" i="5"/>
  <c r="L80" i="5"/>
  <c r="P80" i="5"/>
  <c r="T80" i="5"/>
  <c r="D81" i="5"/>
  <c r="K81" i="5"/>
  <c r="L81" i="5"/>
  <c r="P81" i="5"/>
  <c r="T81" i="5"/>
  <c r="D82" i="5"/>
  <c r="K82" i="5"/>
  <c r="L82" i="5"/>
  <c r="P82" i="5"/>
  <c r="T82" i="5"/>
  <c r="D83" i="5"/>
  <c r="K83" i="5"/>
  <c r="L83" i="5"/>
  <c r="P83" i="5"/>
  <c r="T83" i="5"/>
  <c r="D84" i="5"/>
  <c r="K84" i="5"/>
  <c r="L84" i="5"/>
  <c r="P84" i="5"/>
  <c r="T84" i="5"/>
  <c r="D85" i="5"/>
  <c r="K85" i="5"/>
  <c r="L85" i="5"/>
  <c r="P85" i="5"/>
  <c r="T85" i="5"/>
  <c r="D86" i="5"/>
  <c r="K86" i="5"/>
  <c r="L86" i="5"/>
  <c r="P86" i="5"/>
  <c r="T86" i="5"/>
  <c r="D87" i="5"/>
  <c r="K87" i="5"/>
  <c r="L87" i="5"/>
  <c r="P87" i="5"/>
  <c r="T87" i="5"/>
  <c r="D88" i="5"/>
  <c r="K88" i="5"/>
  <c r="L88" i="5"/>
  <c r="P88" i="5"/>
  <c r="T88" i="5"/>
  <c r="D89" i="5"/>
  <c r="K89" i="5"/>
  <c r="L89" i="5"/>
  <c r="P89" i="5"/>
  <c r="T89" i="5"/>
  <c r="D90" i="5"/>
  <c r="K90" i="5"/>
  <c r="L90" i="5"/>
  <c r="P90" i="5"/>
  <c r="T90" i="5"/>
  <c r="D91" i="5"/>
  <c r="K91" i="5"/>
  <c r="L91" i="5"/>
  <c r="P91" i="5"/>
  <c r="T91" i="5"/>
  <c r="D92" i="5"/>
  <c r="K92" i="5"/>
  <c r="L92" i="5"/>
  <c r="P92" i="5"/>
  <c r="T92" i="5"/>
  <c r="D93" i="5"/>
  <c r="K93" i="5"/>
  <c r="L93" i="5"/>
  <c r="P93" i="5"/>
  <c r="T93" i="5"/>
  <c r="D94" i="5"/>
  <c r="K94" i="5"/>
  <c r="L94" i="5"/>
  <c r="P94" i="5"/>
  <c r="T94" i="5"/>
  <c r="D95" i="5"/>
  <c r="K95" i="5"/>
  <c r="L95" i="5"/>
  <c r="P95" i="5"/>
  <c r="T95" i="5"/>
  <c r="D96" i="5"/>
  <c r="K96" i="5"/>
  <c r="L96" i="5"/>
  <c r="P96" i="5"/>
  <c r="T96" i="5"/>
  <c r="D97" i="5"/>
  <c r="K97" i="5"/>
  <c r="L97" i="5"/>
  <c r="P97" i="5"/>
  <c r="T97" i="5"/>
  <c r="D98" i="5"/>
  <c r="K98" i="5"/>
  <c r="L98" i="5"/>
  <c r="P98" i="5"/>
  <c r="T98" i="5"/>
  <c r="D99" i="5"/>
  <c r="K99" i="5"/>
  <c r="L99" i="5"/>
  <c r="P99" i="5"/>
  <c r="T99" i="5"/>
  <c r="D100" i="5"/>
  <c r="K100" i="5"/>
  <c r="L100" i="5"/>
  <c r="P100" i="5"/>
  <c r="T100" i="5"/>
  <c r="D101" i="5"/>
  <c r="K101" i="5"/>
  <c r="L101" i="5"/>
  <c r="P101" i="5"/>
  <c r="T101" i="5"/>
  <c r="D102" i="5"/>
  <c r="K102" i="5"/>
  <c r="L102" i="5"/>
  <c r="P102" i="5"/>
  <c r="T102" i="5"/>
  <c r="D103" i="5"/>
  <c r="K103" i="5"/>
  <c r="L103" i="5"/>
  <c r="P103" i="5"/>
  <c r="T103" i="5"/>
  <c r="D104" i="5"/>
  <c r="K104" i="5"/>
  <c r="L104" i="5"/>
  <c r="P104" i="5"/>
  <c r="T104" i="5"/>
  <c r="D105" i="5"/>
  <c r="K105" i="5"/>
  <c r="L105" i="5"/>
  <c r="P105" i="5"/>
  <c r="T105" i="5"/>
  <c r="D106" i="5"/>
  <c r="K106" i="5"/>
  <c r="L106" i="5"/>
  <c r="P106" i="5"/>
  <c r="T106" i="5"/>
  <c r="D107" i="5"/>
  <c r="K107" i="5"/>
  <c r="L107" i="5"/>
  <c r="P107" i="5"/>
  <c r="T107" i="5"/>
  <c r="D108" i="5"/>
  <c r="K108" i="5"/>
  <c r="L108" i="5"/>
  <c r="P108" i="5"/>
  <c r="T108" i="5"/>
  <c r="D109" i="5"/>
  <c r="K109" i="5"/>
  <c r="L109" i="5"/>
  <c r="P109" i="5"/>
  <c r="T109" i="5"/>
  <c r="D110" i="5"/>
  <c r="K110" i="5"/>
  <c r="L110" i="5"/>
  <c r="P110" i="5"/>
  <c r="T110" i="5"/>
  <c r="D111" i="5"/>
  <c r="K111" i="5"/>
  <c r="L111" i="5"/>
  <c r="P111" i="5"/>
  <c r="T111" i="5"/>
  <c r="D112" i="5"/>
  <c r="K112" i="5"/>
  <c r="L112" i="5"/>
  <c r="P112" i="5"/>
  <c r="T112" i="5"/>
  <c r="D113" i="5"/>
  <c r="K113" i="5"/>
  <c r="L113" i="5"/>
  <c r="P113" i="5"/>
  <c r="T113" i="5"/>
  <c r="D114" i="5"/>
  <c r="K114" i="5"/>
  <c r="L114" i="5"/>
  <c r="P114" i="5"/>
  <c r="T114" i="5"/>
  <c r="D115" i="5"/>
  <c r="K115" i="5"/>
  <c r="L115" i="5"/>
  <c r="P115" i="5"/>
  <c r="T115" i="5"/>
  <c r="D116" i="5"/>
  <c r="K116" i="5"/>
  <c r="L116" i="5"/>
  <c r="P116" i="5"/>
  <c r="T116" i="5"/>
  <c r="D117" i="5"/>
  <c r="K117" i="5"/>
  <c r="L117" i="5"/>
  <c r="P117" i="5"/>
  <c r="T117" i="5"/>
  <c r="D118" i="5"/>
  <c r="K118" i="5"/>
  <c r="L118" i="5"/>
  <c r="P118" i="5"/>
  <c r="T118" i="5"/>
  <c r="D119" i="5"/>
  <c r="K119" i="5"/>
  <c r="L119" i="5"/>
  <c r="P119" i="5"/>
  <c r="T119" i="5"/>
  <c r="D120" i="5"/>
  <c r="K120" i="5"/>
  <c r="L120" i="5"/>
  <c r="P120" i="5"/>
  <c r="T120" i="5"/>
  <c r="D121" i="5"/>
  <c r="K121" i="5"/>
  <c r="L121" i="5"/>
  <c r="P121" i="5"/>
  <c r="T121" i="5"/>
  <c r="D122" i="5"/>
  <c r="K122" i="5"/>
  <c r="L122" i="5"/>
  <c r="P122" i="5"/>
  <c r="T122" i="5"/>
  <c r="D123" i="5"/>
  <c r="K123" i="5"/>
  <c r="L123" i="5"/>
  <c r="P123" i="5"/>
  <c r="T123" i="5"/>
  <c r="D124" i="5"/>
  <c r="K124" i="5"/>
  <c r="L124" i="5"/>
  <c r="P124" i="5"/>
  <c r="T124" i="5"/>
  <c r="D125" i="5"/>
  <c r="K125" i="5"/>
  <c r="L125" i="5"/>
  <c r="P125" i="5"/>
  <c r="T125" i="5"/>
  <c r="D126" i="5"/>
  <c r="K126" i="5"/>
  <c r="L126" i="5"/>
  <c r="P126" i="5"/>
  <c r="T126" i="5"/>
  <c r="D127" i="5"/>
  <c r="K127" i="5"/>
  <c r="L127" i="5"/>
  <c r="P127" i="5"/>
  <c r="T127" i="5"/>
  <c r="D128" i="5"/>
  <c r="K128" i="5"/>
  <c r="L128" i="5"/>
  <c r="P128" i="5"/>
  <c r="T128" i="5"/>
  <c r="D129" i="5"/>
  <c r="K129" i="5"/>
  <c r="L129" i="5"/>
  <c r="P129" i="5"/>
  <c r="T129" i="5"/>
  <c r="D130" i="5"/>
  <c r="K130" i="5"/>
  <c r="L130" i="5"/>
  <c r="P130" i="5"/>
  <c r="T130" i="5"/>
  <c r="D131" i="5"/>
  <c r="K131" i="5"/>
  <c r="L131" i="5"/>
  <c r="P131" i="5"/>
  <c r="T131" i="5"/>
  <c r="D132" i="5"/>
  <c r="K132" i="5"/>
  <c r="L132" i="5"/>
  <c r="P132" i="5"/>
  <c r="T132" i="5"/>
  <c r="D133" i="5"/>
  <c r="K133" i="5"/>
  <c r="L133" i="5"/>
  <c r="P133" i="5"/>
  <c r="T133" i="5"/>
  <c r="D134" i="5"/>
  <c r="K134" i="5"/>
  <c r="L134" i="5"/>
  <c r="P134" i="5"/>
  <c r="T134" i="5"/>
  <c r="D135" i="5"/>
  <c r="K135" i="5"/>
  <c r="L135" i="5"/>
  <c r="P135" i="5"/>
  <c r="T135" i="5"/>
  <c r="D136" i="5"/>
  <c r="K136" i="5"/>
  <c r="L136" i="5"/>
  <c r="P136" i="5"/>
  <c r="T136" i="5"/>
  <c r="D137" i="5"/>
  <c r="K137" i="5"/>
  <c r="L137" i="5"/>
  <c r="P137" i="5"/>
  <c r="T137" i="5"/>
  <c r="D138" i="5"/>
  <c r="K138" i="5"/>
  <c r="L138" i="5"/>
  <c r="P138" i="5"/>
  <c r="T138" i="5"/>
  <c r="D139" i="5"/>
  <c r="K139" i="5"/>
  <c r="L139" i="5"/>
  <c r="P139" i="5"/>
  <c r="T139" i="5"/>
  <c r="D140" i="5"/>
  <c r="K140" i="5"/>
  <c r="L140" i="5"/>
  <c r="P140" i="5"/>
  <c r="T140" i="5"/>
  <c r="D141" i="5"/>
  <c r="K141" i="5"/>
  <c r="L141" i="5"/>
  <c r="P141" i="5"/>
  <c r="T141" i="5"/>
  <c r="D142" i="5"/>
  <c r="K142" i="5"/>
  <c r="L142" i="5"/>
  <c r="P142" i="5"/>
  <c r="T142" i="5"/>
  <c r="D143" i="5"/>
  <c r="K143" i="5"/>
  <c r="L143" i="5"/>
  <c r="P143" i="5"/>
  <c r="T143" i="5"/>
  <c r="D144" i="5"/>
  <c r="K144" i="5"/>
  <c r="L144" i="5"/>
  <c r="P144" i="5"/>
  <c r="T144" i="5"/>
  <c r="D145" i="5"/>
  <c r="K145" i="5"/>
  <c r="L145" i="5"/>
  <c r="P145" i="5"/>
  <c r="T145" i="5"/>
  <c r="D146" i="5"/>
  <c r="K146" i="5"/>
  <c r="L146" i="5"/>
  <c r="P146" i="5"/>
  <c r="T146" i="5"/>
  <c r="D147" i="5"/>
  <c r="K147" i="5"/>
  <c r="L147" i="5"/>
  <c r="P147" i="5"/>
  <c r="T147" i="5"/>
  <c r="D148" i="5"/>
  <c r="K148" i="5"/>
  <c r="L148" i="5"/>
  <c r="P148" i="5"/>
  <c r="T148" i="5"/>
  <c r="D149" i="5"/>
  <c r="K149" i="5"/>
  <c r="L149" i="5"/>
  <c r="P149" i="5"/>
  <c r="T149" i="5"/>
  <c r="D150" i="5"/>
  <c r="K150" i="5"/>
  <c r="L150" i="5"/>
  <c r="P150" i="5"/>
  <c r="T150" i="5"/>
  <c r="D151" i="5"/>
  <c r="K151" i="5"/>
  <c r="L151" i="5"/>
  <c r="P151" i="5"/>
  <c r="T151" i="5"/>
  <c r="D152" i="5"/>
  <c r="K152" i="5"/>
  <c r="L152" i="5"/>
  <c r="P152" i="5"/>
  <c r="T152" i="5"/>
  <c r="D153" i="5"/>
  <c r="K153" i="5"/>
  <c r="L153" i="5"/>
  <c r="P153" i="5"/>
  <c r="T153" i="5"/>
  <c r="D154" i="5"/>
  <c r="K154" i="5"/>
  <c r="L154" i="5"/>
  <c r="P154" i="5"/>
  <c r="T154" i="5"/>
  <c r="D155" i="5"/>
  <c r="K155" i="5"/>
  <c r="L155" i="5"/>
  <c r="P155" i="5"/>
  <c r="T155" i="5"/>
  <c r="D156" i="5"/>
  <c r="K156" i="5"/>
  <c r="L156" i="5"/>
  <c r="P156" i="5"/>
  <c r="T156" i="5"/>
  <c r="D157" i="5"/>
  <c r="K157" i="5"/>
  <c r="L157" i="5"/>
  <c r="P157" i="5"/>
  <c r="T157" i="5"/>
  <c r="D158" i="5"/>
  <c r="K158" i="5"/>
  <c r="L158" i="5"/>
  <c r="P158" i="5"/>
  <c r="T158" i="5"/>
  <c r="D159" i="5"/>
  <c r="K159" i="5"/>
  <c r="L159" i="5"/>
  <c r="P159" i="5"/>
  <c r="T159" i="5"/>
  <c r="D160" i="5"/>
  <c r="K160" i="5"/>
  <c r="L160" i="5"/>
  <c r="P160" i="5"/>
  <c r="T160" i="5"/>
  <c r="D161" i="5"/>
  <c r="K161" i="5"/>
  <c r="L161" i="5"/>
  <c r="P161" i="5"/>
  <c r="T161" i="5"/>
  <c r="D162" i="5"/>
  <c r="K162" i="5"/>
  <c r="L162" i="5"/>
  <c r="P162" i="5"/>
  <c r="T162" i="5"/>
  <c r="D163" i="5"/>
  <c r="K163" i="5"/>
  <c r="L163" i="5"/>
  <c r="P163" i="5"/>
  <c r="T163" i="5"/>
  <c r="D164" i="5"/>
  <c r="K164" i="5"/>
  <c r="L164" i="5"/>
  <c r="P164" i="5"/>
  <c r="T164" i="5"/>
  <c r="D165" i="5"/>
  <c r="K165" i="5"/>
  <c r="L165" i="5"/>
  <c r="P165" i="5"/>
  <c r="T165" i="5"/>
  <c r="D166" i="5"/>
  <c r="K166" i="5"/>
  <c r="L166" i="5"/>
  <c r="P166" i="5"/>
  <c r="T166" i="5"/>
  <c r="D167" i="5"/>
  <c r="K167" i="5"/>
  <c r="L167" i="5"/>
  <c r="P167" i="5"/>
  <c r="T167" i="5"/>
  <c r="D168" i="5"/>
  <c r="K168" i="5"/>
  <c r="L168" i="5"/>
  <c r="P168" i="5"/>
  <c r="T168" i="5"/>
  <c r="D169" i="5"/>
  <c r="K169" i="5"/>
  <c r="L169" i="5"/>
  <c r="P169" i="5"/>
  <c r="T169" i="5"/>
  <c r="D170" i="5"/>
  <c r="K170" i="5"/>
  <c r="L170" i="5"/>
  <c r="P170" i="5"/>
  <c r="T170" i="5"/>
  <c r="D171" i="5"/>
  <c r="K171" i="5"/>
  <c r="L171" i="5"/>
  <c r="P171" i="5"/>
  <c r="T171" i="5"/>
  <c r="D172" i="5"/>
  <c r="K172" i="5"/>
  <c r="L172" i="5"/>
  <c r="P172" i="5"/>
  <c r="T172" i="5"/>
  <c r="D173" i="5"/>
  <c r="K173" i="5"/>
  <c r="L173" i="5"/>
  <c r="P173" i="5"/>
  <c r="T173" i="5"/>
  <c r="D174" i="5"/>
  <c r="K174" i="5"/>
  <c r="L174" i="5"/>
  <c r="P174" i="5"/>
  <c r="T174" i="5"/>
  <c r="D175" i="5"/>
  <c r="K175" i="5"/>
  <c r="L175" i="5"/>
  <c r="P175" i="5"/>
  <c r="T175" i="5"/>
  <c r="D176" i="5"/>
  <c r="K176" i="5"/>
  <c r="L176" i="5"/>
  <c r="P176" i="5"/>
  <c r="T176" i="5"/>
  <c r="D177" i="5"/>
  <c r="K177" i="5"/>
  <c r="L177" i="5"/>
  <c r="P177" i="5"/>
  <c r="T177" i="5"/>
  <c r="D178" i="5"/>
  <c r="K178" i="5"/>
  <c r="L178" i="5"/>
  <c r="P178" i="5"/>
  <c r="T178" i="5"/>
  <c r="D179" i="5"/>
  <c r="K179" i="5"/>
  <c r="L179" i="5"/>
  <c r="P179" i="5"/>
  <c r="T179" i="5"/>
  <c r="D180" i="5"/>
  <c r="K180" i="5"/>
  <c r="L180" i="5"/>
  <c r="P180" i="5"/>
  <c r="T180" i="5"/>
  <c r="D181" i="5"/>
  <c r="K181" i="5"/>
  <c r="L181" i="5"/>
  <c r="P181" i="5"/>
  <c r="T181" i="5"/>
  <c r="D182" i="5"/>
  <c r="K182" i="5"/>
  <c r="L182" i="5"/>
  <c r="P182" i="5"/>
  <c r="T182" i="5"/>
  <c r="D183" i="5"/>
  <c r="K183" i="5"/>
  <c r="L183" i="5"/>
  <c r="P183" i="5"/>
  <c r="T183" i="5"/>
  <c r="D184" i="5"/>
  <c r="K184" i="5"/>
  <c r="L184" i="5"/>
  <c r="P184" i="5"/>
  <c r="T184" i="5"/>
  <c r="D185" i="5"/>
  <c r="K185" i="5"/>
  <c r="L185" i="5"/>
  <c r="P185" i="5"/>
  <c r="T185" i="5"/>
  <c r="D186" i="5"/>
  <c r="K186" i="5"/>
  <c r="L186" i="5"/>
  <c r="P186" i="5"/>
  <c r="T186" i="5"/>
  <c r="D187" i="5"/>
  <c r="K187" i="5"/>
  <c r="L187" i="5"/>
  <c r="P187" i="5"/>
  <c r="T187" i="5"/>
  <c r="D188" i="5"/>
  <c r="K188" i="5"/>
  <c r="L188" i="5"/>
  <c r="P188" i="5"/>
  <c r="T188" i="5"/>
  <c r="D189" i="5"/>
  <c r="K189" i="5"/>
  <c r="L189" i="5"/>
  <c r="P189" i="5"/>
  <c r="T189" i="5"/>
  <c r="D190" i="5"/>
  <c r="K190" i="5"/>
  <c r="L190" i="5"/>
  <c r="P190" i="5"/>
  <c r="T190" i="5"/>
  <c r="D191" i="5"/>
  <c r="K191" i="5"/>
  <c r="L191" i="5"/>
  <c r="P191" i="5"/>
  <c r="T191" i="5"/>
  <c r="D192" i="5"/>
  <c r="K192" i="5"/>
  <c r="L192" i="5"/>
  <c r="P192" i="5"/>
  <c r="T192" i="5"/>
  <c r="D193" i="5"/>
  <c r="K193" i="5"/>
  <c r="L193" i="5"/>
  <c r="P193" i="5"/>
  <c r="T193" i="5"/>
  <c r="D194" i="5"/>
  <c r="K194" i="5"/>
  <c r="L194" i="5"/>
  <c r="P194" i="5"/>
  <c r="T194" i="5"/>
  <c r="D195" i="5"/>
  <c r="K195" i="5"/>
  <c r="L195" i="5"/>
  <c r="P195" i="5"/>
  <c r="T195" i="5"/>
  <c r="D196" i="5"/>
  <c r="K196" i="5"/>
  <c r="L196" i="5"/>
  <c r="P196" i="5"/>
  <c r="T196" i="5"/>
  <c r="D197" i="5"/>
  <c r="K197" i="5"/>
  <c r="L197" i="5"/>
  <c r="P197" i="5"/>
  <c r="T197" i="5"/>
  <c r="D198" i="5"/>
  <c r="K198" i="5"/>
  <c r="L198" i="5"/>
  <c r="P198" i="5"/>
  <c r="T198" i="5"/>
  <c r="D199" i="5"/>
  <c r="K199" i="5"/>
  <c r="L199" i="5"/>
  <c r="P199" i="5"/>
  <c r="T199" i="5"/>
  <c r="D200" i="5"/>
  <c r="K200" i="5"/>
  <c r="L200" i="5"/>
  <c r="P200" i="5"/>
  <c r="T200" i="5"/>
  <c r="D201" i="5"/>
  <c r="K201" i="5"/>
  <c r="L201" i="5"/>
  <c r="P201" i="5"/>
  <c r="T201" i="5"/>
  <c r="D202" i="5"/>
  <c r="K202" i="5"/>
  <c r="L202" i="5"/>
  <c r="P202" i="5"/>
  <c r="T202" i="5"/>
  <c r="D203" i="5"/>
  <c r="K203" i="5"/>
  <c r="L203" i="5"/>
  <c r="P203" i="5"/>
  <c r="T203" i="5"/>
  <c r="D204" i="5"/>
  <c r="K204" i="5"/>
  <c r="L204" i="5"/>
  <c r="P204" i="5"/>
  <c r="T204" i="5"/>
  <c r="D205" i="5"/>
  <c r="K205" i="5"/>
  <c r="L205" i="5"/>
  <c r="P205" i="5"/>
  <c r="T205" i="5"/>
  <c r="D206" i="5"/>
  <c r="K206" i="5"/>
  <c r="L206" i="5"/>
  <c r="P206" i="5"/>
  <c r="T206" i="5"/>
  <c r="D207" i="5"/>
  <c r="K207" i="5"/>
  <c r="L207" i="5"/>
  <c r="P207" i="5"/>
  <c r="T207" i="5"/>
  <c r="D208" i="5"/>
  <c r="K208" i="5"/>
  <c r="L208" i="5"/>
  <c r="P208" i="5"/>
  <c r="T208" i="5"/>
  <c r="D209" i="5"/>
  <c r="K209" i="5"/>
  <c r="L209" i="5"/>
  <c r="P209" i="5"/>
  <c r="T209" i="5"/>
  <c r="D210" i="5"/>
  <c r="K210" i="5"/>
  <c r="L210" i="5"/>
  <c r="P210" i="5"/>
  <c r="T210" i="5"/>
  <c r="D211" i="5"/>
  <c r="K211" i="5"/>
  <c r="L211" i="5"/>
  <c r="P211" i="5"/>
  <c r="T211" i="5"/>
  <c r="D212" i="5"/>
  <c r="K212" i="5"/>
  <c r="L212" i="5"/>
  <c r="P212" i="5"/>
  <c r="T212" i="5"/>
  <c r="D213" i="5"/>
  <c r="K213" i="5"/>
  <c r="L213" i="5"/>
  <c r="P213" i="5"/>
  <c r="T213" i="5"/>
  <c r="D214" i="5"/>
  <c r="K214" i="5"/>
  <c r="L214" i="5"/>
  <c r="P214" i="5"/>
  <c r="T214" i="5"/>
  <c r="D215" i="5"/>
  <c r="K215" i="5"/>
  <c r="L215" i="5"/>
  <c r="P215" i="5"/>
  <c r="T215" i="5"/>
  <c r="D216" i="5"/>
  <c r="K216" i="5"/>
  <c r="L216" i="5"/>
  <c r="P216" i="5"/>
  <c r="T216" i="5"/>
  <c r="D217" i="5"/>
  <c r="K217" i="5"/>
  <c r="L217" i="5"/>
  <c r="P217" i="5"/>
  <c r="T217" i="5"/>
  <c r="D218" i="5"/>
  <c r="K218" i="5"/>
  <c r="L218" i="5"/>
  <c r="P218" i="5"/>
  <c r="T218" i="5"/>
  <c r="D219" i="5"/>
  <c r="K219" i="5"/>
  <c r="L219" i="5"/>
  <c r="P219" i="5"/>
  <c r="T219" i="5"/>
  <c r="D220" i="5"/>
  <c r="K220" i="5"/>
  <c r="L220" i="5"/>
  <c r="P220" i="5"/>
  <c r="T220" i="5"/>
  <c r="D221" i="5"/>
  <c r="K221" i="5"/>
  <c r="L221" i="5"/>
  <c r="P221" i="5"/>
  <c r="T221" i="5"/>
  <c r="D222" i="5"/>
  <c r="K222" i="5"/>
  <c r="L222" i="5"/>
  <c r="P222" i="5"/>
  <c r="T222" i="5"/>
  <c r="D223" i="5"/>
  <c r="K223" i="5"/>
  <c r="L223" i="5"/>
  <c r="P223" i="5"/>
  <c r="T223" i="5"/>
  <c r="D224" i="5"/>
  <c r="K224" i="5"/>
  <c r="L224" i="5"/>
  <c r="P224" i="5"/>
  <c r="T224" i="5"/>
  <c r="D225" i="5"/>
  <c r="K225" i="5"/>
  <c r="L225" i="5"/>
  <c r="P225" i="5"/>
  <c r="T225" i="5"/>
  <c r="D226" i="5"/>
  <c r="K226" i="5"/>
  <c r="L226" i="5"/>
  <c r="P226" i="5"/>
  <c r="T226" i="5"/>
  <c r="D227" i="5"/>
  <c r="K227" i="5"/>
  <c r="L227" i="5"/>
  <c r="P227" i="5"/>
  <c r="T227" i="5"/>
  <c r="D228" i="5"/>
  <c r="K228" i="5"/>
  <c r="L228" i="5"/>
  <c r="P228" i="5"/>
  <c r="T228" i="5"/>
  <c r="D229" i="5"/>
  <c r="K229" i="5"/>
  <c r="L229" i="5"/>
  <c r="P229" i="5"/>
  <c r="T229" i="5"/>
  <c r="D230" i="5"/>
  <c r="K230" i="5"/>
  <c r="L230" i="5"/>
  <c r="P230" i="5"/>
  <c r="T230" i="5"/>
  <c r="D231" i="5"/>
  <c r="K231" i="5"/>
  <c r="L231" i="5"/>
  <c r="P231" i="5"/>
  <c r="T231" i="5"/>
  <c r="D232" i="5"/>
  <c r="K232" i="5"/>
  <c r="L232" i="5"/>
  <c r="P232" i="5"/>
  <c r="T232" i="5"/>
  <c r="D233" i="5"/>
  <c r="K233" i="5"/>
  <c r="L233" i="5"/>
  <c r="P233" i="5"/>
  <c r="T233" i="5"/>
  <c r="D234" i="5"/>
  <c r="K234" i="5"/>
  <c r="L234" i="5"/>
  <c r="P234" i="5"/>
  <c r="T234" i="5"/>
  <c r="D235" i="5"/>
  <c r="K235" i="5"/>
  <c r="L235" i="5"/>
  <c r="P235" i="5"/>
  <c r="T235" i="5"/>
  <c r="D236" i="5"/>
  <c r="K236" i="5"/>
  <c r="L236" i="5"/>
  <c r="P236" i="5"/>
  <c r="T236" i="5"/>
  <c r="D237" i="5"/>
  <c r="K237" i="5"/>
  <c r="L237" i="5"/>
  <c r="P237" i="5"/>
  <c r="T237" i="5"/>
  <c r="D238" i="5"/>
  <c r="K238" i="5"/>
  <c r="L238" i="5"/>
  <c r="P238" i="5"/>
  <c r="T238" i="5"/>
  <c r="D239" i="5"/>
  <c r="K239" i="5"/>
  <c r="L239" i="5"/>
  <c r="P239" i="5"/>
  <c r="T239" i="5"/>
  <c r="D240" i="5"/>
  <c r="K240" i="5"/>
  <c r="L240" i="5"/>
  <c r="P240" i="5"/>
  <c r="T240" i="5"/>
  <c r="D241" i="5"/>
  <c r="K241" i="5"/>
  <c r="L241" i="5"/>
  <c r="P241" i="5"/>
  <c r="T241" i="5"/>
  <c r="D242" i="5"/>
  <c r="K242" i="5"/>
  <c r="L242" i="5"/>
  <c r="P242" i="5"/>
  <c r="T242" i="5"/>
  <c r="D243" i="5"/>
  <c r="K243" i="5"/>
  <c r="L243" i="5"/>
  <c r="P243" i="5"/>
  <c r="T243" i="5"/>
  <c r="D244" i="5"/>
  <c r="K244" i="5"/>
  <c r="L244" i="5"/>
  <c r="P244" i="5"/>
  <c r="T244" i="5"/>
  <c r="D245" i="5"/>
  <c r="K245" i="5"/>
  <c r="L245" i="5"/>
  <c r="P245" i="5"/>
  <c r="T245" i="5"/>
  <c r="D246" i="5"/>
  <c r="K246" i="5"/>
  <c r="L246" i="5"/>
  <c r="P246" i="5"/>
  <c r="T246" i="5"/>
  <c r="D247" i="5"/>
  <c r="K247" i="5"/>
  <c r="L247" i="5"/>
  <c r="P247" i="5"/>
  <c r="T247" i="5"/>
  <c r="D248" i="5"/>
  <c r="K248" i="5"/>
  <c r="L248" i="5"/>
  <c r="P248" i="5"/>
  <c r="T248" i="5"/>
  <c r="D249" i="5"/>
  <c r="K249" i="5"/>
  <c r="L249" i="5"/>
  <c r="P249" i="5"/>
  <c r="T249" i="5"/>
  <c r="D250" i="5"/>
  <c r="K250" i="5"/>
  <c r="L250" i="5"/>
  <c r="P250" i="5"/>
  <c r="T250" i="5"/>
  <c r="D251" i="5"/>
  <c r="K251" i="5"/>
  <c r="L251" i="5"/>
  <c r="P251" i="5"/>
  <c r="T251" i="5"/>
  <c r="D252" i="5"/>
  <c r="K252" i="5"/>
  <c r="L252" i="5"/>
  <c r="P252" i="5"/>
  <c r="T252" i="5"/>
  <c r="D253" i="5"/>
  <c r="K253" i="5"/>
  <c r="L253" i="5"/>
  <c r="P253" i="5"/>
  <c r="T253" i="5"/>
  <c r="D254" i="5"/>
  <c r="K254" i="5"/>
  <c r="L254" i="5"/>
  <c r="P254" i="5"/>
  <c r="T254" i="5"/>
  <c r="D255" i="5"/>
  <c r="K255" i="5"/>
  <c r="L255" i="5"/>
  <c r="P255" i="5"/>
  <c r="T255" i="5"/>
  <c r="D256" i="5"/>
  <c r="K256" i="5"/>
  <c r="L256" i="5"/>
  <c r="P256" i="5"/>
  <c r="T256" i="5"/>
  <c r="D257" i="5"/>
  <c r="K257" i="5"/>
  <c r="L257" i="5"/>
  <c r="P257" i="5"/>
  <c r="T257" i="5"/>
  <c r="D258" i="5"/>
  <c r="K258" i="5"/>
  <c r="L258" i="5"/>
  <c r="P258" i="5"/>
  <c r="T258" i="5"/>
  <c r="D259" i="5"/>
  <c r="K259" i="5"/>
  <c r="L259" i="5"/>
  <c r="P259" i="5"/>
  <c r="T259" i="5"/>
  <c r="D260" i="5"/>
  <c r="K260" i="5"/>
  <c r="L260" i="5"/>
  <c r="P260" i="5"/>
  <c r="T260" i="5"/>
  <c r="D261" i="5"/>
  <c r="K261" i="5"/>
  <c r="L261" i="5"/>
  <c r="P261" i="5"/>
  <c r="T261" i="5"/>
  <c r="D262" i="5"/>
  <c r="K262" i="5"/>
  <c r="L262" i="5"/>
  <c r="P262" i="5"/>
  <c r="T262" i="5"/>
  <c r="D263" i="5"/>
  <c r="K263" i="5"/>
  <c r="L263" i="5"/>
  <c r="P263" i="5"/>
  <c r="T263" i="5"/>
  <c r="D264" i="5"/>
  <c r="K264" i="5"/>
  <c r="L264" i="5"/>
  <c r="P264" i="5"/>
  <c r="T264" i="5"/>
  <c r="D265" i="5"/>
  <c r="K265" i="5"/>
  <c r="L265" i="5"/>
  <c r="P265" i="5"/>
  <c r="T265" i="5"/>
  <c r="D266" i="5"/>
  <c r="K266" i="5"/>
  <c r="L266" i="5"/>
  <c r="P266" i="5"/>
  <c r="T266" i="5"/>
  <c r="D267" i="5"/>
  <c r="K267" i="5"/>
  <c r="L267" i="5"/>
  <c r="P267" i="5"/>
  <c r="T267" i="5"/>
  <c r="D268" i="5"/>
  <c r="K268" i="5"/>
  <c r="L268" i="5"/>
  <c r="P268" i="5"/>
  <c r="T268" i="5"/>
  <c r="D269" i="5"/>
  <c r="K269" i="5"/>
  <c r="L269" i="5"/>
  <c r="P269" i="5"/>
  <c r="T269" i="5"/>
  <c r="D270" i="5"/>
  <c r="K270" i="5"/>
  <c r="L270" i="5"/>
  <c r="P270" i="5"/>
  <c r="T270" i="5"/>
  <c r="D271" i="5"/>
  <c r="K271" i="5"/>
  <c r="L271" i="5"/>
  <c r="P271" i="5"/>
  <c r="T271" i="5"/>
  <c r="D272" i="5"/>
  <c r="K272" i="5"/>
  <c r="L272" i="5"/>
  <c r="P272" i="5"/>
  <c r="T272" i="5"/>
  <c r="D273" i="5"/>
  <c r="K273" i="5"/>
  <c r="L273" i="5"/>
  <c r="P273" i="5"/>
  <c r="T273" i="5"/>
  <c r="D274" i="5"/>
  <c r="K274" i="5"/>
  <c r="L274" i="5"/>
  <c r="P274" i="5"/>
  <c r="T274" i="5"/>
  <c r="D275" i="5"/>
  <c r="K275" i="5"/>
  <c r="L275" i="5"/>
  <c r="P275" i="5"/>
  <c r="T275" i="5"/>
  <c r="D276" i="5"/>
  <c r="K276" i="5"/>
  <c r="L276" i="5"/>
  <c r="P276" i="5"/>
  <c r="T276" i="5"/>
  <c r="D277" i="5"/>
  <c r="K277" i="5"/>
  <c r="L277" i="5"/>
  <c r="P277" i="5"/>
  <c r="T277" i="5"/>
  <c r="D278" i="5"/>
  <c r="K278" i="5"/>
  <c r="L278" i="5"/>
  <c r="P278" i="5"/>
  <c r="T278" i="5"/>
  <c r="D279" i="5"/>
  <c r="K279" i="5"/>
  <c r="L279" i="5"/>
  <c r="P279" i="5"/>
  <c r="T279" i="5"/>
  <c r="D280" i="5"/>
  <c r="K280" i="5"/>
  <c r="L280" i="5"/>
  <c r="P280" i="5"/>
  <c r="T280" i="5"/>
  <c r="D281" i="5"/>
  <c r="K281" i="5"/>
  <c r="L281" i="5"/>
  <c r="P281" i="5"/>
  <c r="T281" i="5"/>
  <c r="D282" i="5"/>
  <c r="K282" i="5"/>
  <c r="L282" i="5"/>
  <c r="P282" i="5"/>
  <c r="T282" i="5"/>
  <c r="D283" i="5"/>
  <c r="K283" i="5"/>
  <c r="L283" i="5"/>
  <c r="P283" i="5"/>
  <c r="T283" i="5"/>
  <c r="D284" i="5"/>
  <c r="K284" i="5"/>
  <c r="L284" i="5"/>
  <c r="P284" i="5"/>
  <c r="T284" i="5"/>
  <c r="D285" i="5"/>
  <c r="K285" i="5"/>
  <c r="L285" i="5"/>
  <c r="P285" i="5"/>
  <c r="T285" i="5"/>
  <c r="D286" i="5"/>
  <c r="K286" i="5"/>
  <c r="L286" i="5"/>
  <c r="P286" i="5"/>
  <c r="T286" i="5"/>
  <c r="D287" i="5"/>
  <c r="K287" i="5"/>
  <c r="L287" i="5"/>
  <c r="P287" i="5"/>
  <c r="T287" i="5"/>
  <c r="D288" i="5"/>
  <c r="K288" i="5"/>
  <c r="L288" i="5"/>
  <c r="P288" i="5"/>
  <c r="T288" i="5"/>
  <c r="D289" i="5"/>
  <c r="K289" i="5"/>
  <c r="L289" i="5"/>
  <c r="P289" i="5"/>
  <c r="T289" i="5"/>
  <c r="D290" i="5"/>
  <c r="K290" i="5"/>
  <c r="L290" i="5"/>
  <c r="P290" i="5"/>
  <c r="T290" i="5"/>
  <c r="D291" i="5"/>
  <c r="K291" i="5"/>
  <c r="L291" i="5"/>
  <c r="P291" i="5"/>
  <c r="T291" i="5"/>
  <c r="D292" i="5"/>
  <c r="K292" i="5"/>
  <c r="L292" i="5"/>
  <c r="P292" i="5"/>
  <c r="T292" i="5"/>
  <c r="D293" i="5"/>
  <c r="K293" i="5"/>
  <c r="L293" i="5"/>
  <c r="P293" i="5"/>
  <c r="T293" i="5"/>
  <c r="D294" i="5"/>
  <c r="K294" i="5"/>
  <c r="L294" i="5"/>
  <c r="P294" i="5"/>
  <c r="T294" i="5"/>
  <c r="D295" i="5"/>
  <c r="K295" i="5"/>
  <c r="L295" i="5"/>
  <c r="P295" i="5"/>
  <c r="T295" i="5"/>
  <c r="D296" i="5"/>
  <c r="K296" i="5"/>
  <c r="L296" i="5"/>
  <c r="P296" i="5"/>
  <c r="T296" i="5"/>
  <c r="D297" i="5"/>
  <c r="K297" i="5"/>
  <c r="L297" i="5"/>
  <c r="P297" i="5"/>
  <c r="T297" i="5"/>
  <c r="D298" i="5"/>
  <c r="K298" i="5"/>
  <c r="L298" i="5"/>
  <c r="P298" i="5"/>
  <c r="T298" i="5"/>
  <c r="D299" i="5"/>
  <c r="K299" i="5"/>
  <c r="L299" i="5"/>
  <c r="P299" i="5"/>
  <c r="T299" i="5"/>
  <c r="D300" i="5"/>
  <c r="K300" i="5"/>
  <c r="L300" i="5"/>
  <c r="P300" i="5"/>
  <c r="T300" i="5"/>
  <c r="D301" i="5"/>
  <c r="K301" i="5"/>
  <c r="L301" i="5"/>
  <c r="P301" i="5"/>
  <c r="T301" i="5"/>
  <c r="D302" i="5"/>
  <c r="K302" i="5"/>
  <c r="L302" i="5"/>
  <c r="P302" i="5"/>
  <c r="T302" i="5"/>
  <c r="D303" i="5"/>
  <c r="K303" i="5"/>
  <c r="L303" i="5"/>
  <c r="P303" i="5"/>
  <c r="T303" i="5"/>
  <c r="D304" i="5"/>
  <c r="K304" i="5"/>
  <c r="L304" i="5"/>
  <c r="P304" i="5"/>
  <c r="T304" i="5"/>
  <c r="D305" i="5"/>
  <c r="K305" i="5"/>
  <c r="L305" i="5"/>
  <c r="P305" i="5"/>
  <c r="T305" i="5"/>
  <c r="D306" i="5"/>
  <c r="K306" i="5"/>
  <c r="L306" i="5"/>
  <c r="P306" i="5"/>
  <c r="T306" i="5"/>
  <c r="D307" i="5"/>
  <c r="K307" i="5"/>
  <c r="L307" i="5"/>
  <c r="P307" i="5"/>
  <c r="T307" i="5"/>
  <c r="D308" i="5"/>
  <c r="K308" i="5"/>
  <c r="L308" i="5"/>
  <c r="P308" i="5"/>
  <c r="T308" i="5"/>
  <c r="D309" i="5"/>
  <c r="K309" i="5"/>
  <c r="L309" i="5"/>
  <c r="P309" i="5"/>
  <c r="T309" i="5"/>
  <c r="D310" i="5"/>
  <c r="K310" i="5"/>
  <c r="L310" i="5"/>
  <c r="P310" i="5"/>
  <c r="T310" i="5"/>
  <c r="D311" i="5"/>
  <c r="K311" i="5"/>
  <c r="L311" i="5"/>
  <c r="P311" i="5"/>
  <c r="T311" i="5"/>
  <c r="D312" i="5"/>
  <c r="K312" i="5"/>
  <c r="L312" i="5"/>
  <c r="P312" i="5"/>
  <c r="T312" i="5"/>
  <c r="D313" i="5"/>
  <c r="K313" i="5"/>
  <c r="L313" i="5"/>
  <c r="P313" i="5"/>
  <c r="T313" i="5"/>
  <c r="D314" i="5"/>
  <c r="K314" i="5"/>
  <c r="L314" i="5"/>
  <c r="P314" i="5"/>
  <c r="T314" i="5"/>
  <c r="D315" i="5"/>
  <c r="K315" i="5"/>
  <c r="L315" i="5"/>
  <c r="P315" i="5"/>
  <c r="T315" i="5"/>
  <c r="D316" i="5"/>
  <c r="K316" i="5"/>
  <c r="L316" i="5"/>
  <c r="P316" i="5"/>
  <c r="T316" i="5"/>
  <c r="D317" i="5"/>
  <c r="K317" i="5"/>
  <c r="L317" i="5"/>
  <c r="P317" i="5"/>
  <c r="T317" i="5"/>
  <c r="D318" i="5"/>
  <c r="K318" i="5"/>
  <c r="L318" i="5"/>
  <c r="P318" i="5"/>
  <c r="T318" i="5"/>
  <c r="D319" i="5"/>
  <c r="K319" i="5"/>
  <c r="L319" i="5"/>
  <c r="P319" i="5"/>
  <c r="T319" i="5"/>
  <c r="D320" i="5"/>
  <c r="K320" i="5"/>
  <c r="L320" i="5"/>
  <c r="P320" i="5"/>
  <c r="T320" i="5"/>
  <c r="D321" i="5"/>
  <c r="K321" i="5"/>
  <c r="L321" i="5"/>
  <c r="P321" i="5"/>
  <c r="T321" i="5"/>
  <c r="D322" i="5"/>
  <c r="K322" i="5"/>
  <c r="L322" i="5"/>
  <c r="P322" i="5"/>
  <c r="T322" i="5"/>
  <c r="D323" i="5"/>
  <c r="K323" i="5"/>
  <c r="L323" i="5"/>
  <c r="P323" i="5"/>
  <c r="T323" i="5"/>
  <c r="D324" i="5"/>
  <c r="K324" i="5"/>
  <c r="L324" i="5"/>
  <c r="P324" i="5"/>
  <c r="T324" i="5"/>
  <c r="D325" i="5"/>
  <c r="K325" i="5"/>
  <c r="L325" i="5"/>
  <c r="P325" i="5"/>
  <c r="T325" i="5"/>
  <c r="D326" i="5"/>
  <c r="K326" i="5"/>
  <c r="L326" i="5"/>
  <c r="P326" i="5"/>
  <c r="T326" i="5"/>
  <c r="D327" i="5"/>
  <c r="K327" i="5"/>
  <c r="L327" i="5"/>
  <c r="P327" i="5"/>
  <c r="T327" i="5"/>
  <c r="D328" i="5"/>
  <c r="K328" i="5"/>
  <c r="L328" i="5"/>
  <c r="P328" i="5"/>
  <c r="T328" i="5"/>
  <c r="D329" i="5"/>
  <c r="K329" i="5"/>
  <c r="L329" i="5"/>
  <c r="P329" i="5"/>
  <c r="T329" i="5"/>
  <c r="D330" i="5"/>
  <c r="K330" i="5"/>
  <c r="L330" i="5"/>
  <c r="P330" i="5"/>
  <c r="T330" i="5"/>
  <c r="D331" i="5"/>
  <c r="K331" i="5"/>
  <c r="L331" i="5"/>
  <c r="P331" i="5"/>
  <c r="T331" i="5"/>
  <c r="D332" i="5"/>
  <c r="K332" i="5"/>
  <c r="L332" i="5"/>
  <c r="P332" i="5"/>
  <c r="T332" i="5"/>
  <c r="D333" i="5"/>
  <c r="K333" i="5"/>
  <c r="L333" i="5"/>
  <c r="P333" i="5"/>
  <c r="T333" i="5"/>
  <c r="D334" i="5"/>
  <c r="K334" i="5"/>
  <c r="L334" i="5"/>
  <c r="P334" i="5"/>
  <c r="T334" i="5"/>
  <c r="D335" i="5"/>
  <c r="K335" i="5"/>
  <c r="L335" i="5"/>
  <c r="P335" i="5"/>
  <c r="T335" i="5"/>
  <c r="D336" i="5"/>
  <c r="K336" i="5"/>
  <c r="L336" i="5"/>
  <c r="P336" i="5"/>
  <c r="T336" i="5"/>
  <c r="D337" i="5"/>
  <c r="K337" i="5"/>
  <c r="L337" i="5"/>
  <c r="P337" i="5"/>
  <c r="T337" i="5"/>
  <c r="D338" i="5"/>
  <c r="K338" i="5"/>
  <c r="L338" i="5"/>
  <c r="P338" i="5"/>
  <c r="T338" i="5"/>
  <c r="D339" i="5"/>
  <c r="K339" i="5"/>
  <c r="L339" i="5"/>
  <c r="P339" i="5"/>
  <c r="T339" i="5"/>
  <c r="D340" i="5"/>
  <c r="K340" i="5"/>
  <c r="L340" i="5"/>
  <c r="P340" i="5"/>
  <c r="T340" i="5"/>
  <c r="D341" i="5"/>
  <c r="K341" i="5"/>
  <c r="L341" i="5"/>
  <c r="P341" i="5"/>
  <c r="T341" i="5"/>
  <c r="D342" i="5"/>
  <c r="K342" i="5"/>
  <c r="L342" i="5"/>
  <c r="P342" i="5"/>
  <c r="T342" i="5"/>
  <c r="D343" i="5"/>
  <c r="K343" i="5"/>
  <c r="L343" i="5"/>
  <c r="P343" i="5"/>
  <c r="T343" i="5"/>
  <c r="D344" i="5"/>
  <c r="K344" i="5"/>
  <c r="L344" i="5"/>
  <c r="P344" i="5"/>
  <c r="T344" i="5"/>
  <c r="D345" i="5"/>
  <c r="K345" i="5"/>
  <c r="L345" i="5"/>
  <c r="P345" i="5"/>
  <c r="T345" i="5"/>
  <c r="D346" i="5"/>
  <c r="K346" i="5"/>
  <c r="L346" i="5"/>
  <c r="P346" i="5"/>
  <c r="T346" i="5"/>
  <c r="D347" i="5"/>
  <c r="K347" i="5"/>
  <c r="L347" i="5"/>
  <c r="P347" i="5"/>
  <c r="T347" i="5"/>
  <c r="D348" i="5"/>
  <c r="K348" i="5"/>
  <c r="L348" i="5"/>
  <c r="P348" i="5"/>
  <c r="T348" i="5"/>
  <c r="D349" i="5"/>
  <c r="K349" i="5"/>
  <c r="L349" i="5"/>
  <c r="P349" i="5"/>
  <c r="T349" i="5"/>
  <c r="D350" i="5"/>
  <c r="K350" i="5"/>
  <c r="L350" i="5"/>
  <c r="P350" i="5"/>
  <c r="T350" i="5"/>
  <c r="D351" i="5"/>
  <c r="K351" i="5"/>
  <c r="L351" i="5"/>
  <c r="P351" i="5"/>
  <c r="T351" i="5"/>
  <c r="D352" i="5"/>
  <c r="K352" i="5"/>
  <c r="L352" i="5"/>
  <c r="P352" i="5"/>
  <c r="T352" i="5"/>
  <c r="D353" i="5"/>
  <c r="K353" i="5"/>
  <c r="L353" i="5"/>
  <c r="P353" i="5"/>
  <c r="T353" i="5"/>
  <c r="D354" i="5"/>
  <c r="K354" i="5"/>
  <c r="L354" i="5"/>
  <c r="P354" i="5"/>
  <c r="T354" i="5"/>
  <c r="D355" i="5"/>
  <c r="K355" i="5"/>
  <c r="L355" i="5"/>
  <c r="P355" i="5"/>
  <c r="T355" i="5"/>
  <c r="D356" i="5"/>
  <c r="K356" i="5"/>
  <c r="L356" i="5"/>
  <c r="P356" i="5"/>
  <c r="T356" i="5"/>
  <c r="D357" i="5"/>
  <c r="K357" i="5"/>
  <c r="L357" i="5"/>
  <c r="P357" i="5"/>
  <c r="T357" i="5"/>
  <c r="D358" i="5"/>
  <c r="K358" i="5"/>
  <c r="L358" i="5"/>
  <c r="P358" i="5"/>
  <c r="T358" i="5"/>
  <c r="D359" i="5"/>
  <c r="K359" i="5"/>
  <c r="L359" i="5"/>
  <c r="P359" i="5"/>
  <c r="T359" i="5"/>
  <c r="D360" i="5"/>
  <c r="K360" i="5"/>
  <c r="L360" i="5"/>
  <c r="P360" i="5"/>
  <c r="T360" i="5"/>
  <c r="D361" i="5"/>
  <c r="K361" i="5"/>
  <c r="L361" i="5"/>
  <c r="P361" i="5"/>
  <c r="T361" i="5"/>
  <c r="D362" i="5"/>
  <c r="K362" i="5"/>
  <c r="L362" i="5"/>
  <c r="P362" i="5"/>
  <c r="T362" i="5"/>
  <c r="D363" i="5"/>
  <c r="K363" i="5"/>
  <c r="L363" i="5"/>
  <c r="P363" i="5"/>
  <c r="T363" i="5"/>
  <c r="D364" i="5"/>
  <c r="K364" i="5"/>
  <c r="L364" i="5"/>
  <c r="P364" i="5"/>
  <c r="T364" i="5"/>
  <c r="D365" i="5"/>
  <c r="K365" i="5"/>
  <c r="L365" i="5"/>
  <c r="P365" i="5"/>
  <c r="T365" i="5"/>
  <c r="D366" i="5"/>
  <c r="K366" i="5"/>
  <c r="L366" i="5"/>
  <c r="P366" i="5"/>
  <c r="T366" i="5"/>
  <c r="D367" i="5"/>
  <c r="K367" i="5"/>
  <c r="L367" i="5"/>
  <c r="P367" i="5"/>
  <c r="T367" i="5"/>
  <c r="D368" i="5"/>
  <c r="K368" i="5"/>
  <c r="L368" i="5"/>
  <c r="P368" i="5"/>
  <c r="T368" i="5"/>
  <c r="D369" i="5"/>
  <c r="K369" i="5"/>
  <c r="L369" i="5"/>
  <c r="P369" i="5"/>
  <c r="T369" i="5"/>
  <c r="D370" i="5"/>
  <c r="K370" i="5"/>
  <c r="L370" i="5"/>
  <c r="P370" i="5"/>
  <c r="T370" i="5"/>
  <c r="D371" i="5"/>
  <c r="K371" i="5"/>
  <c r="L371" i="5"/>
  <c r="P371" i="5"/>
  <c r="T371" i="5"/>
  <c r="D372" i="5"/>
  <c r="K372" i="5"/>
  <c r="L372" i="5"/>
  <c r="P372" i="5"/>
  <c r="T372" i="5"/>
  <c r="D373" i="5"/>
  <c r="K373" i="5"/>
  <c r="L373" i="5"/>
  <c r="P373" i="5"/>
  <c r="T373" i="5"/>
  <c r="D374" i="5"/>
  <c r="K374" i="5"/>
  <c r="L374" i="5"/>
  <c r="P374" i="5"/>
  <c r="T374" i="5"/>
  <c r="D375" i="5"/>
  <c r="K375" i="5"/>
  <c r="L375" i="5"/>
  <c r="P375" i="5"/>
  <c r="T375" i="5"/>
  <c r="D376" i="5"/>
  <c r="K376" i="5"/>
  <c r="L376" i="5"/>
  <c r="P376" i="5"/>
  <c r="T376" i="5"/>
  <c r="D377" i="5"/>
  <c r="K377" i="5"/>
  <c r="L377" i="5"/>
  <c r="P377" i="5"/>
  <c r="T377" i="5"/>
  <c r="D378" i="5"/>
  <c r="K378" i="5"/>
  <c r="L378" i="5"/>
  <c r="P378" i="5"/>
  <c r="T378" i="5"/>
  <c r="D379" i="5"/>
  <c r="K379" i="5"/>
  <c r="L379" i="5"/>
  <c r="P379" i="5"/>
  <c r="T379" i="5"/>
  <c r="D380" i="5"/>
  <c r="K380" i="5"/>
  <c r="L380" i="5"/>
  <c r="P380" i="5"/>
  <c r="T380" i="5"/>
  <c r="D381" i="5"/>
  <c r="K381" i="5"/>
  <c r="L381" i="5"/>
  <c r="P381" i="5"/>
  <c r="T381" i="5"/>
  <c r="D382" i="5"/>
  <c r="K382" i="5"/>
  <c r="L382" i="5"/>
  <c r="P382" i="5"/>
  <c r="T382" i="5"/>
  <c r="D383" i="5"/>
  <c r="K383" i="5"/>
  <c r="L383" i="5"/>
  <c r="P383" i="5"/>
  <c r="T383" i="5"/>
  <c r="D384" i="5"/>
  <c r="K384" i="5"/>
  <c r="L384" i="5"/>
  <c r="P384" i="5"/>
  <c r="T384" i="5"/>
  <c r="D385" i="5"/>
  <c r="K385" i="5"/>
  <c r="L385" i="5"/>
  <c r="P385" i="5"/>
  <c r="T385" i="5"/>
  <c r="D386" i="5"/>
  <c r="K386" i="5"/>
  <c r="L386" i="5"/>
  <c r="P386" i="5"/>
  <c r="T386" i="5"/>
  <c r="D387" i="5"/>
  <c r="K387" i="5"/>
  <c r="L387" i="5"/>
  <c r="P387" i="5"/>
  <c r="T387" i="5"/>
  <c r="D388" i="5"/>
  <c r="K388" i="5"/>
  <c r="L388" i="5"/>
  <c r="P388" i="5"/>
  <c r="T388" i="5"/>
  <c r="D389" i="5"/>
  <c r="K389" i="5"/>
  <c r="L389" i="5"/>
  <c r="P389" i="5"/>
  <c r="T389" i="5"/>
  <c r="D390" i="5"/>
  <c r="K390" i="5"/>
  <c r="L390" i="5"/>
  <c r="P390" i="5"/>
  <c r="T390" i="5"/>
  <c r="D391" i="5"/>
  <c r="K391" i="5"/>
  <c r="L391" i="5"/>
  <c r="P391" i="5"/>
  <c r="T391" i="5"/>
  <c r="D392" i="5"/>
  <c r="K392" i="5"/>
  <c r="L392" i="5"/>
  <c r="P392" i="5"/>
  <c r="T392" i="5"/>
  <c r="D393" i="5"/>
  <c r="K393" i="5"/>
  <c r="L393" i="5"/>
  <c r="P393" i="5"/>
  <c r="T393" i="5"/>
  <c r="D394" i="5"/>
  <c r="K394" i="5"/>
  <c r="L394" i="5"/>
  <c r="P394" i="5"/>
  <c r="T394" i="5"/>
  <c r="D395" i="5"/>
  <c r="K395" i="5"/>
  <c r="L395" i="5"/>
  <c r="P395" i="5"/>
  <c r="T395" i="5"/>
  <c r="D396" i="5"/>
  <c r="K396" i="5"/>
  <c r="L396" i="5"/>
  <c r="P396" i="5"/>
  <c r="T396" i="5"/>
  <c r="D397" i="5"/>
  <c r="K397" i="5"/>
  <c r="L397" i="5"/>
  <c r="P397" i="5"/>
  <c r="T397" i="5"/>
  <c r="D398" i="5"/>
  <c r="K398" i="5"/>
  <c r="L398" i="5"/>
  <c r="P398" i="5"/>
  <c r="T398" i="5"/>
  <c r="D399" i="5"/>
  <c r="K399" i="5"/>
  <c r="L399" i="5"/>
  <c r="P399" i="5"/>
  <c r="T399" i="5"/>
  <c r="D400" i="5"/>
  <c r="K400" i="5"/>
  <c r="L400" i="5"/>
  <c r="P400" i="5"/>
  <c r="T400" i="5"/>
  <c r="D401" i="5"/>
  <c r="K401" i="5"/>
  <c r="L401" i="5"/>
  <c r="P401" i="5"/>
  <c r="T401" i="5"/>
  <c r="D402" i="5"/>
  <c r="K402" i="5"/>
  <c r="L402" i="5"/>
  <c r="P402" i="5"/>
  <c r="T402" i="5"/>
  <c r="D403" i="5"/>
  <c r="K403" i="5"/>
  <c r="L403" i="5"/>
  <c r="P403" i="5"/>
  <c r="T403" i="5"/>
  <c r="D404" i="5"/>
  <c r="K404" i="5"/>
  <c r="L404" i="5"/>
  <c r="P404" i="5"/>
  <c r="T404" i="5"/>
  <c r="D405" i="5"/>
  <c r="K405" i="5"/>
  <c r="L405" i="5"/>
  <c r="P405" i="5"/>
  <c r="T405" i="5"/>
  <c r="D406" i="5"/>
  <c r="K406" i="5"/>
  <c r="L406" i="5"/>
  <c r="P406" i="5"/>
  <c r="T406" i="5"/>
  <c r="D407" i="5"/>
  <c r="K407" i="5"/>
  <c r="L407" i="5"/>
  <c r="P407" i="5"/>
  <c r="T407" i="5"/>
  <c r="D408" i="5"/>
  <c r="K408" i="5"/>
  <c r="L408" i="5"/>
  <c r="P408" i="5"/>
  <c r="T408" i="5"/>
  <c r="D409" i="5"/>
  <c r="K409" i="5"/>
  <c r="L409" i="5"/>
  <c r="P409" i="5"/>
  <c r="T409" i="5"/>
  <c r="D410" i="5"/>
  <c r="K410" i="5"/>
  <c r="L410" i="5"/>
  <c r="P410" i="5"/>
  <c r="T410" i="5"/>
  <c r="D411" i="5"/>
  <c r="K411" i="5"/>
  <c r="L411" i="5"/>
  <c r="P411" i="5"/>
  <c r="T411" i="5"/>
  <c r="D412" i="5"/>
  <c r="K412" i="5"/>
  <c r="L412" i="5"/>
  <c r="P412" i="5"/>
  <c r="T412" i="5"/>
  <c r="D413" i="5"/>
  <c r="K413" i="5"/>
  <c r="L413" i="5"/>
  <c r="P413" i="5"/>
  <c r="T413" i="5"/>
  <c r="D414" i="5"/>
  <c r="K414" i="5"/>
  <c r="L414" i="5"/>
  <c r="P414" i="5"/>
  <c r="T414" i="5"/>
  <c r="D415" i="5"/>
  <c r="K415" i="5"/>
  <c r="L415" i="5"/>
  <c r="P415" i="5"/>
  <c r="T415" i="5"/>
  <c r="D416" i="5"/>
  <c r="K416" i="5"/>
  <c r="L416" i="5"/>
  <c r="P416" i="5"/>
  <c r="T416" i="5"/>
  <c r="D417" i="5"/>
  <c r="K417" i="5"/>
  <c r="L417" i="5"/>
  <c r="P417" i="5"/>
  <c r="T417" i="5"/>
  <c r="D418" i="5"/>
  <c r="K418" i="5"/>
  <c r="L418" i="5"/>
  <c r="P418" i="5"/>
  <c r="T418" i="5"/>
  <c r="D419" i="5"/>
  <c r="K419" i="5"/>
  <c r="L419" i="5"/>
  <c r="P419" i="5"/>
  <c r="T419" i="5"/>
  <c r="D420" i="5"/>
  <c r="K420" i="5"/>
  <c r="L420" i="5"/>
  <c r="P420" i="5"/>
  <c r="T420" i="5"/>
  <c r="D421" i="5"/>
  <c r="K421" i="5"/>
  <c r="L421" i="5"/>
  <c r="P421" i="5"/>
  <c r="T421" i="5"/>
  <c r="D422" i="5"/>
  <c r="K422" i="5"/>
  <c r="L422" i="5"/>
  <c r="P422" i="5"/>
  <c r="T422" i="5"/>
  <c r="D423" i="5"/>
  <c r="K423" i="5"/>
  <c r="L423" i="5"/>
  <c r="P423" i="5"/>
  <c r="T423" i="5"/>
  <c r="D424" i="5"/>
  <c r="K424" i="5"/>
  <c r="L424" i="5"/>
  <c r="P424" i="5"/>
  <c r="T424" i="5"/>
  <c r="D425" i="5"/>
  <c r="K425" i="5"/>
  <c r="L425" i="5"/>
  <c r="P425" i="5"/>
  <c r="T425" i="5"/>
  <c r="D426" i="5"/>
  <c r="K426" i="5"/>
  <c r="L426" i="5"/>
  <c r="P426" i="5"/>
  <c r="T426" i="5"/>
  <c r="D427" i="5"/>
  <c r="K427" i="5"/>
  <c r="L427" i="5"/>
  <c r="P427" i="5"/>
  <c r="T427" i="5"/>
  <c r="D428" i="5"/>
  <c r="K428" i="5"/>
  <c r="L428" i="5"/>
  <c r="P428" i="5"/>
  <c r="T428" i="5"/>
  <c r="D429" i="5"/>
  <c r="K429" i="5"/>
  <c r="L429" i="5"/>
  <c r="P429" i="5"/>
  <c r="T429" i="5"/>
  <c r="D430" i="5"/>
  <c r="K430" i="5"/>
  <c r="L430" i="5"/>
  <c r="P430" i="5"/>
  <c r="T430" i="5"/>
  <c r="D431" i="5"/>
  <c r="K431" i="5"/>
  <c r="L431" i="5"/>
  <c r="P431" i="5"/>
  <c r="T431" i="5"/>
  <c r="D432" i="5"/>
  <c r="K432" i="5"/>
  <c r="L432" i="5"/>
  <c r="P432" i="5"/>
  <c r="T432" i="5"/>
  <c r="D433" i="5"/>
  <c r="K433" i="5"/>
  <c r="L433" i="5"/>
  <c r="P433" i="5"/>
  <c r="T433" i="5"/>
  <c r="D434" i="5"/>
  <c r="K434" i="5"/>
  <c r="L434" i="5"/>
  <c r="P434" i="5"/>
  <c r="T434" i="5"/>
  <c r="D435" i="5"/>
  <c r="K435" i="5"/>
  <c r="L435" i="5"/>
  <c r="P435" i="5"/>
  <c r="T435" i="5"/>
  <c r="D436" i="5"/>
  <c r="K436" i="5"/>
  <c r="L436" i="5"/>
  <c r="P436" i="5"/>
  <c r="T436" i="5"/>
  <c r="D437" i="5"/>
  <c r="K437" i="5"/>
  <c r="L437" i="5"/>
  <c r="P437" i="5"/>
  <c r="T437" i="5"/>
  <c r="D438" i="5"/>
  <c r="K438" i="5"/>
  <c r="L438" i="5"/>
  <c r="P438" i="5"/>
  <c r="T438" i="5"/>
  <c r="D439" i="5"/>
  <c r="K439" i="5"/>
  <c r="L439" i="5"/>
  <c r="P439" i="5"/>
  <c r="T439" i="5"/>
  <c r="D440" i="5"/>
  <c r="K440" i="5"/>
  <c r="L440" i="5"/>
  <c r="P440" i="5"/>
  <c r="T440" i="5"/>
  <c r="D441" i="5"/>
  <c r="K441" i="5"/>
  <c r="L441" i="5"/>
  <c r="P441" i="5"/>
  <c r="T441" i="5"/>
  <c r="D442" i="5"/>
  <c r="K442" i="5"/>
  <c r="L442" i="5"/>
  <c r="P442" i="5"/>
  <c r="T442" i="5"/>
  <c r="D443" i="5"/>
  <c r="K443" i="5"/>
  <c r="L443" i="5"/>
  <c r="P443" i="5"/>
  <c r="T443" i="5"/>
  <c r="D444" i="5"/>
  <c r="K444" i="5"/>
  <c r="L444" i="5"/>
  <c r="P444" i="5"/>
  <c r="T444" i="5"/>
  <c r="D445" i="5"/>
  <c r="K445" i="5"/>
  <c r="L445" i="5"/>
  <c r="P445" i="5"/>
  <c r="T445" i="5"/>
  <c r="D446" i="5"/>
  <c r="K446" i="5"/>
  <c r="L446" i="5"/>
  <c r="P446" i="5"/>
  <c r="T446" i="5"/>
  <c r="D447" i="5"/>
  <c r="K447" i="5"/>
  <c r="L447" i="5"/>
  <c r="P447" i="5"/>
  <c r="T447" i="5"/>
  <c r="D448" i="5"/>
  <c r="K448" i="5"/>
  <c r="L448" i="5"/>
  <c r="P448" i="5"/>
  <c r="T448" i="5"/>
  <c r="D449" i="5"/>
  <c r="K449" i="5"/>
  <c r="L449" i="5"/>
  <c r="P449" i="5"/>
  <c r="T449" i="5"/>
  <c r="D450" i="5"/>
  <c r="K450" i="5"/>
  <c r="L450" i="5"/>
  <c r="P450" i="5"/>
  <c r="T450" i="5"/>
  <c r="D451" i="5"/>
  <c r="K451" i="5"/>
  <c r="L451" i="5"/>
  <c r="P451" i="5"/>
  <c r="T451" i="5"/>
  <c r="D452" i="5"/>
  <c r="K452" i="5"/>
  <c r="L452" i="5"/>
  <c r="P452" i="5"/>
  <c r="T452" i="5"/>
  <c r="D453" i="5"/>
  <c r="K453" i="5"/>
  <c r="L453" i="5"/>
  <c r="P453" i="5"/>
  <c r="T453" i="5"/>
  <c r="D454" i="5"/>
  <c r="K454" i="5"/>
  <c r="L454" i="5"/>
  <c r="P454" i="5"/>
  <c r="T454" i="5"/>
  <c r="D455" i="5"/>
  <c r="K455" i="5"/>
  <c r="L455" i="5"/>
  <c r="P455" i="5"/>
  <c r="T455" i="5"/>
  <c r="D456" i="5"/>
  <c r="K456" i="5"/>
  <c r="L456" i="5"/>
  <c r="P456" i="5"/>
  <c r="T456" i="5"/>
  <c r="D457" i="5"/>
  <c r="K457" i="5"/>
  <c r="L457" i="5"/>
  <c r="P457" i="5"/>
  <c r="T457" i="5"/>
  <c r="D458" i="5"/>
  <c r="K458" i="5"/>
  <c r="L458" i="5"/>
  <c r="P458" i="5"/>
  <c r="T458" i="5"/>
  <c r="D459" i="5"/>
  <c r="K459" i="5"/>
  <c r="L459" i="5"/>
  <c r="P459" i="5"/>
  <c r="T459" i="5"/>
  <c r="D460" i="5"/>
  <c r="K460" i="5"/>
  <c r="L460" i="5"/>
  <c r="P460" i="5"/>
  <c r="T460" i="5"/>
  <c r="D461" i="5"/>
  <c r="K461" i="5"/>
  <c r="L461" i="5"/>
  <c r="P461" i="5"/>
  <c r="T461" i="5"/>
  <c r="D462" i="5"/>
  <c r="K462" i="5"/>
  <c r="L462" i="5"/>
  <c r="P462" i="5"/>
  <c r="T462" i="5"/>
  <c r="D463" i="5"/>
  <c r="K463" i="5"/>
  <c r="L463" i="5"/>
  <c r="P463" i="5"/>
  <c r="T463" i="5"/>
  <c r="D464" i="5"/>
  <c r="K464" i="5"/>
  <c r="L464" i="5"/>
  <c r="P464" i="5"/>
  <c r="T464" i="5"/>
  <c r="D465" i="5"/>
  <c r="K465" i="5"/>
  <c r="L465" i="5"/>
  <c r="P465" i="5"/>
  <c r="T465" i="5"/>
  <c r="D466" i="5"/>
  <c r="K466" i="5"/>
  <c r="L466" i="5"/>
  <c r="P466" i="5"/>
  <c r="T466" i="5"/>
  <c r="D467" i="5"/>
  <c r="K467" i="5"/>
  <c r="L467" i="5"/>
  <c r="P467" i="5"/>
  <c r="T467" i="5"/>
  <c r="D468" i="5"/>
  <c r="K468" i="5"/>
  <c r="L468" i="5"/>
  <c r="P468" i="5"/>
  <c r="T468" i="5"/>
  <c r="D469" i="5"/>
  <c r="K469" i="5"/>
  <c r="L469" i="5"/>
  <c r="P469" i="5"/>
  <c r="T469" i="5"/>
  <c r="D470" i="5"/>
  <c r="K470" i="5"/>
  <c r="L470" i="5"/>
  <c r="P470" i="5"/>
  <c r="T470" i="5"/>
  <c r="D471" i="5"/>
  <c r="K471" i="5"/>
  <c r="L471" i="5"/>
  <c r="P471" i="5"/>
  <c r="T471" i="5"/>
  <c r="D472" i="5"/>
  <c r="K472" i="5"/>
  <c r="L472" i="5"/>
  <c r="P472" i="5"/>
  <c r="T472" i="5"/>
  <c r="D473" i="5"/>
  <c r="K473" i="5"/>
  <c r="L473" i="5"/>
  <c r="P473" i="5"/>
  <c r="T473" i="5"/>
  <c r="D474" i="5"/>
  <c r="K474" i="5"/>
  <c r="L474" i="5"/>
  <c r="P474" i="5"/>
  <c r="T474" i="5"/>
  <c r="D475" i="5"/>
  <c r="K475" i="5"/>
  <c r="L475" i="5"/>
  <c r="P475" i="5"/>
  <c r="T475" i="5"/>
  <c r="D476" i="5"/>
  <c r="K476" i="5"/>
  <c r="L476" i="5"/>
  <c r="P476" i="5"/>
  <c r="T476" i="5"/>
  <c r="D477" i="5"/>
  <c r="K477" i="5"/>
  <c r="L477" i="5"/>
  <c r="P477" i="5"/>
  <c r="T477" i="5"/>
  <c r="D478" i="5"/>
  <c r="K478" i="5"/>
  <c r="L478" i="5"/>
  <c r="P478" i="5"/>
  <c r="T478" i="5"/>
  <c r="D479" i="5"/>
  <c r="K479" i="5"/>
  <c r="L479" i="5"/>
  <c r="P479" i="5"/>
  <c r="T479" i="5"/>
  <c r="D480" i="5"/>
  <c r="K480" i="5"/>
  <c r="L480" i="5"/>
  <c r="P480" i="5"/>
  <c r="T480" i="5"/>
  <c r="D481" i="5"/>
  <c r="K481" i="5"/>
  <c r="L481" i="5"/>
  <c r="P481" i="5"/>
  <c r="T481" i="5"/>
  <c r="D482" i="5"/>
  <c r="K482" i="5"/>
  <c r="L482" i="5"/>
  <c r="P482" i="5"/>
  <c r="T482" i="5"/>
  <c r="D483" i="5"/>
  <c r="K483" i="5"/>
  <c r="L483" i="5"/>
  <c r="P483" i="5"/>
  <c r="T483" i="5"/>
  <c r="D484" i="5"/>
  <c r="K484" i="5"/>
  <c r="L484" i="5"/>
  <c r="P484" i="5"/>
  <c r="T484" i="5"/>
  <c r="D485" i="5"/>
  <c r="K485" i="5"/>
  <c r="L485" i="5"/>
  <c r="P485" i="5"/>
  <c r="T485" i="5"/>
  <c r="D486" i="5"/>
  <c r="K486" i="5"/>
  <c r="L486" i="5"/>
  <c r="P486" i="5"/>
  <c r="T486" i="5"/>
  <c r="D487" i="5"/>
  <c r="K487" i="5"/>
  <c r="L487" i="5"/>
  <c r="P487" i="5"/>
  <c r="T487" i="5"/>
  <c r="D488" i="5"/>
  <c r="K488" i="5"/>
  <c r="L488" i="5"/>
  <c r="P488" i="5"/>
  <c r="T488" i="5"/>
  <c r="D489" i="5"/>
  <c r="K489" i="5"/>
  <c r="L489" i="5"/>
  <c r="P489" i="5"/>
  <c r="T489" i="5"/>
  <c r="D490" i="5"/>
  <c r="K490" i="5"/>
  <c r="L490" i="5"/>
  <c r="P490" i="5"/>
  <c r="T490" i="5"/>
  <c r="D491" i="5"/>
  <c r="K491" i="5"/>
  <c r="L491" i="5"/>
  <c r="P491" i="5"/>
  <c r="T491" i="5"/>
  <c r="D492" i="5"/>
  <c r="K492" i="5"/>
  <c r="L492" i="5"/>
  <c r="P492" i="5"/>
  <c r="T492" i="5"/>
  <c r="D493" i="5"/>
  <c r="K493" i="5"/>
  <c r="L493" i="5"/>
  <c r="P493" i="5"/>
  <c r="T493" i="5"/>
  <c r="D494" i="5"/>
  <c r="K494" i="5"/>
  <c r="L494" i="5"/>
  <c r="P494" i="5"/>
  <c r="T494" i="5"/>
  <c r="D495" i="5"/>
  <c r="K495" i="5"/>
  <c r="L495" i="5"/>
  <c r="P495" i="5"/>
  <c r="T495" i="5"/>
  <c r="D496" i="5"/>
  <c r="K496" i="5"/>
  <c r="L496" i="5"/>
  <c r="P496" i="5"/>
  <c r="T496" i="5"/>
  <c r="D497" i="5"/>
  <c r="K497" i="5"/>
  <c r="L497" i="5"/>
  <c r="P497" i="5"/>
  <c r="T497" i="5"/>
  <c r="D498" i="5"/>
  <c r="K498" i="5"/>
  <c r="L498" i="5"/>
  <c r="P498" i="5"/>
  <c r="T498" i="5"/>
  <c r="D499" i="5"/>
  <c r="K499" i="5"/>
  <c r="L499" i="5"/>
  <c r="P499" i="5"/>
  <c r="T499" i="5"/>
  <c r="D500" i="5"/>
  <c r="K500" i="5"/>
  <c r="L500" i="5"/>
  <c r="P500" i="5"/>
  <c r="T500" i="5"/>
  <c r="D501" i="5"/>
  <c r="K501" i="5"/>
  <c r="L501" i="5"/>
  <c r="P501" i="5"/>
  <c r="T501" i="5"/>
  <c r="D502" i="5"/>
  <c r="K502" i="5"/>
  <c r="L502" i="5"/>
  <c r="P502" i="5"/>
  <c r="T502" i="5"/>
  <c r="D503" i="5"/>
  <c r="K503" i="5"/>
  <c r="L503" i="5"/>
  <c r="P503" i="5"/>
  <c r="T503" i="5"/>
  <c r="D504" i="5"/>
  <c r="K504" i="5"/>
  <c r="L504" i="5"/>
  <c r="P504" i="5"/>
  <c r="T504" i="5"/>
  <c r="D505" i="5"/>
  <c r="K505" i="5"/>
  <c r="L505" i="5"/>
  <c r="P505" i="5"/>
  <c r="T505" i="5"/>
  <c r="D506" i="5"/>
  <c r="K506" i="5"/>
  <c r="L506" i="5"/>
  <c r="P506" i="5"/>
  <c r="T506" i="5"/>
  <c r="D507" i="5"/>
  <c r="K507" i="5"/>
  <c r="L507" i="5"/>
  <c r="P507" i="5"/>
  <c r="T507" i="5"/>
  <c r="D508" i="5"/>
  <c r="K508" i="5"/>
  <c r="L508" i="5"/>
  <c r="P508" i="5"/>
  <c r="T508" i="5"/>
  <c r="D509" i="5"/>
  <c r="K509" i="5"/>
  <c r="L509" i="5"/>
  <c r="P509" i="5"/>
  <c r="T509" i="5"/>
  <c r="D510" i="5"/>
  <c r="K510" i="5"/>
  <c r="L510" i="5"/>
  <c r="P510" i="5"/>
  <c r="T510" i="5"/>
  <c r="D511" i="5"/>
  <c r="K511" i="5"/>
  <c r="L511" i="5"/>
  <c r="P511" i="5"/>
  <c r="T511" i="5"/>
  <c r="D512" i="5"/>
  <c r="K512" i="5"/>
  <c r="L512" i="5"/>
  <c r="P512" i="5"/>
  <c r="T512" i="5"/>
  <c r="D513" i="5"/>
  <c r="K513" i="5"/>
  <c r="L513" i="5"/>
  <c r="P513" i="5"/>
  <c r="T513" i="5"/>
  <c r="D514" i="5"/>
  <c r="K514" i="5"/>
  <c r="L514" i="5"/>
  <c r="P514" i="5"/>
  <c r="T514" i="5"/>
  <c r="D515" i="5"/>
  <c r="K515" i="5"/>
  <c r="L515" i="5"/>
  <c r="P515" i="5"/>
  <c r="T515" i="5"/>
  <c r="D516" i="5"/>
  <c r="K516" i="5"/>
  <c r="L516" i="5"/>
  <c r="P516" i="5"/>
  <c r="T516" i="5"/>
  <c r="D517" i="5"/>
  <c r="K517" i="5"/>
  <c r="L517" i="5"/>
  <c r="P517" i="5"/>
  <c r="T517" i="5"/>
  <c r="D518" i="5"/>
  <c r="K518" i="5"/>
  <c r="L518" i="5"/>
  <c r="P518" i="5"/>
  <c r="T518" i="5"/>
  <c r="D519" i="5"/>
  <c r="K519" i="5"/>
  <c r="L519" i="5"/>
  <c r="P519" i="5"/>
  <c r="T519" i="5"/>
  <c r="D520" i="5"/>
  <c r="K520" i="5"/>
  <c r="L520" i="5"/>
  <c r="P520" i="5"/>
  <c r="T520" i="5"/>
  <c r="D521" i="5"/>
  <c r="K521" i="5"/>
  <c r="L521" i="5"/>
  <c r="P521" i="5"/>
  <c r="T521" i="5"/>
  <c r="D522" i="5"/>
  <c r="K522" i="5"/>
  <c r="L522" i="5"/>
  <c r="P522" i="5"/>
  <c r="T522" i="5"/>
  <c r="D523" i="5"/>
  <c r="K523" i="5"/>
  <c r="L523" i="5"/>
  <c r="P523" i="5"/>
  <c r="T523" i="5"/>
  <c r="D524" i="5"/>
  <c r="K524" i="5"/>
  <c r="L524" i="5"/>
  <c r="P524" i="5"/>
  <c r="T524" i="5"/>
  <c r="D525" i="5"/>
  <c r="K525" i="5"/>
  <c r="L525" i="5"/>
  <c r="P525" i="5"/>
  <c r="T525" i="5"/>
  <c r="D526" i="5"/>
  <c r="K526" i="5"/>
  <c r="L526" i="5"/>
  <c r="P526" i="5"/>
  <c r="T526" i="5"/>
  <c r="D527" i="5"/>
  <c r="K527" i="5"/>
  <c r="L527" i="5"/>
  <c r="P527" i="5"/>
  <c r="T527" i="5"/>
  <c r="D528" i="5"/>
  <c r="K528" i="5"/>
  <c r="L528" i="5"/>
  <c r="P528" i="5"/>
  <c r="T528" i="5"/>
  <c r="D529" i="5"/>
  <c r="K529" i="5"/>
  <c r="L529" i="5"/>
  <c r="P529" i="5"/>
  <c r="T529" i="5"/>
  <c r="D530" i="5"/>
  <c r="K530" i="5"/>
  <c r="L530" i="5"/>
  <c r="P530" i="5"/>
  <c r="T530" i="5"/>
  <c r="D531" i="5"/>
  <c r="K531" i="5"/>
  <c r="L531" i="5"/>
  <c r="P531" i="5"/>
  <c r="T531" i="5"/>
  <c r="D532" i="5"/>
  <c r="K532" i="5"/>
  <c r="L532" i="5"/>
  <c r="P532" i="5"/>
  <c r="T532" i="5"/>
  <c r="D533" i="5"/>
  <c r="K533" i="5"/>
  <c r="L533" i="5"/>
  <c r="P533" i="5"/>
  <c r="T533" i="5"/>
  <c r="D534" i="5"/>
  <c r="K534" i="5"/>
  <c r="L534" i="5"/>
  <c r="P534" i="5"/>
  <c r="T534" i="5"/>
  <c r="D535" i="5"/>
  <c r="K535" i="5"/>
  <c r="L535" i="5"/>
  <c r="P535" i="5"/>
  <c r="T535" i="5"/>
  <c r="D536" i="5"/>
  <c r="K536" i="5"/>
  <c r="L536" i="5"/>
  <c r="P536" i="5"/>
  <c r="T536" i="5"/>
  <c r="D537" i="5"/>
  <c r="K537" i="5"/>
  <c r="L537" i="5"/>
  <c r="P537" i="5"/>
  <c r="T537" i="5"/>
  <c r="D538" i="5"/>
  <c r="K538" i="5"/>
  <c r="L538" i="5"/>
  <c r="P538" i="5"/>
  <c r="T538" i="5"/>
  <c r="D539" i="5"/>
  <c r="K539" i="5"/>
  <c r="L539" i="5"/>
  <c r="P539" i="5"/>
  <c r="T539" i="5"/>
  <c r="D540" i="5"/>
  <c r="K540" i="5"/>
  <c r="L540" i="5"/>
  <c r="P540" i="5"/>
  <c r="T540" i="5"/>
  <c r="D541" i="5"/>
  <c r="K541" i="5"/>
  <c r="L541" i="5"/>
  <c r="P541" i="5"/>
  <c r="T541" i="5"/>
  <c r="D542" i="5"/>
  <c r="K542" i="5"/>
  <c r="L542" i="5"/>
  <c r="P542" i="5"/>
  <c r="T542" i="5"/>
  <c r="D543" i="5"/>
  <c r="K543" i="5"/>
  <c r="L543" i="5"/>
  <c r="P543" i="5"/>
  <c r="T543" i="5"/>
  <c r="D544" i="5"/>
  <c r="K544" i="5"/>
  <c r="L544" i="5"/>
  <c r="P544" i="5"/>
  <c r="T544" i="5"/>
  <c r="D545" i="5"/>
  <c r="K545" i="5"/>
  <c r="L545" i="5"/>
  <c r="P545" i="5"/>
  <c r="T545" i="5"/>
  <c r="D546" i="5"/>
  <c r="K546" i="5"/>
  <c r="L546" i="5"/>
  <c r="P546" i="5"/>
  <c r="T546" i="5"/>
  <c r="D547" i="5"/>
  <c r="K547" i="5"/>
  <c r="L547" i="5"/>
  <c r="P547" i="5"/>
  <c r="T547" i="5"/>
  <c r="D548" i="5"/>
  <c r="K548" i="5"/>
  <c r="L548" i="5"/>
  <c r="P548" i="5"/>
  <c r="T548" i="5"/>
  <c r="D549" i="5"/>
  <c r="K549" i="5"/>
  <c r="L549" i="5"/>
  <c r="P549" i="5"/>
  <c r="T549" i="5"/>
  <c r="D550" i="5"/>
  <c r="K550" i="5"/>
  <c r="L550" i="5"/>
  <c r="P550" i="5"/>
  <c r="T550" i="5"/>
  <c r="D551" i="5"/>
  <c r="K551" i="5"/>
  <c r="L551" i="5"/>
  <c r="P551" i="5"/>
  <c r="T551" i="5"/>
  <c r="D552" i="5"/>
  <c r="K552" i="5"/>
  <c r="L552" i="5"/>
  <c r="P552" i="5"/>
  <c r="T552" i="5"/>
  <c r="D553" i="5"/>
  <c r="K553" i="5"/>
  <c r="L553" i="5"/>
  <c r="P553" i="5"/>
  <c r="T553" i="5"/>
  <c r="D554" i="5"/>
  <c r="K554" i="5"/>
  <c r="L554" i="5"/>
  <c r="P554" i="5"/>
  <c r="T554" i="5"/>
  <c r="D555" i="5"/>
  <c r="K555" i="5"/>
  <c r="L555" i="5"/>
  <c r="P555" i="5"/>
  <c r="T555" i="5"/>
  <c r="D556" i="5"/>
  <c r="K556" i="5"/>
  <c r="L556" i="5"/>
  <c r="P556" i="5"/>
  <c r="T556" i="5"/>
  <c r="D557" i="5"/>
  <c r="K557" i="5"/>
  <c r="L557" i="5"/>
  <c r="P557" i="5"/>
  <c r="T557" i="5"/>
  <c r="D558" i="5"/>
  <c r="K558" i="5"/>
  <c r="L558" i="5"/>
  <c r="P558" i="5"/>
  <c r="T558" i="5"/>
  <c r="D559" i="5"/>
  <c r="K559" i="5"/>
  <c r="L559" i="5"/>
  <c r="P559" i="5"/>
  <c r="T559" i="5"/>
  <c r="D560" i="5"/>
  <c r="K560" i="5"/>
  <c r="L560" i="5"/>
  <c r="P560" i="5"/>
  <c r="T560" i="5"/>
  <c r="D561" i="5"/>
  <c r="K561" i="5"/>
  <c r="L561" i="5"/>
  <c r="P561" i="5"/>
  <c r="T561" i="5"/>
  <c r="D562" i="5"/>
  <c r="K562" i="5"/>
  <c r="L562" i="5"/>
  <c r="P562" i="5"/>
  <c r="T562" i="5"/>
  <c r="D563" i="5"/>
  <c r="K563" i="5"/>
  <c r="L563" i="5"/>
  <c r="P563" i="5"/>
  <c r="T563" i="5"/>
  <c r="D564" i="5"/>
  <c r="K564" i="5"/>
  <c r="L564" i="5"/>
  <c r="P564" i="5"/>
  <c r="T564" i="5"/>
  <c r="D565" i="5"/>
  <c r="K565" i="5"/>
  <c r="L565" i="5"/>
  <c r="P565" i="5"/>
  <c r="T565" i="5"/>
  <c r="D566" i="5"/>
  <c r="K566" i="5"/>
  <c r="L566" i="5"/>
  <c r="P566" i="5"/>
  <c r="T566" i="5"/>
  <c r="D567" i="5"/>
  <c r="K567" i="5"/>
  <c r="L567" i="5"/>
  <c r="P567" i="5"/>
  <c r="T567" i="5"/>
  <c r="D568" i="5"/>
  <c r="K568" i="5"/>
  <c r="L568" i="5"/>
  <c r="P568" i="5"/>
  <c r="T568" i="5"/>
  <c r="D569" i="5"/>
  <c r="K569" i="5"/>
  <c r="L569" i="5"/>
  <c r="P569" i="5"/>
  <c r="T569" i="5"/>
  <c r="D570" i="5"/>
  <c r="K570" i="5"/>
  <c r="L570" i="5"/>
  <c r="P570" i="5"/>
  <c r="T570" i="5"/>
  <c r="D571" i="5"/>
  <c r="K571" i="5"/>
  <c r="L571" i="5"/>
  <c r="P571" i="5"/>
  <c r="T571" i="5"/>
  <c r="D572" i="5"/>
  <c r="K572" i="5"/>
  <c r="L572" i="5"/>
  <c r="P572" i="5"/>
  <c r="T572" i="5"/>
  <c r="D573" i="5"/>
  <c r="K573" i="5"/>
  <c r="L573" i="5"/>
  <c r="P573" i="5"/>
  <c r="T573" i="5"/>
  <c r="D574" i="5"/>
  <c r="K574" i="5"/>
  <c r="L574" i="5"/>
  <c r="P574" i="5"/>
  <c r="T574" i="5"/>
  <c r="D575" i="5"/>
  <c r="K575" i="5"/>
  <c r="L575" i="5"/>
  <c r="P575" i="5"/>
  <c r="T575" i="5"/>
  <c r="D576" i="5"/>
  <c r="K576" i="5"/>
  <c r="L576" i="5"/>
  <c r="P576" i="5"/>
  <c r="T576" i="5"/>
  <c r="D577" i="5"/>
  <c r="K577" i="5"/>
  <c r="L577" i="5"/>
  <c r="P577" i="5"/>
  <c r="T577" i="5"/>
  <c r="D578" i="5"/>
  <c r="K578" i="5"/>
  <c r="L578" i="5"/>
  <c r="P578" i="5"/>
  <c r="T578" i="5"/>
  <c r="D579" i="5"/>
  <c r="K579" i="5"/>
  <c r="L579" i="5"/>
  <c r="P579" i="5"/>
  <c r="T579" i="5"/>
  <c r="D580" i="5"/>
  <c r="K580" i="5"/>
  <c r="L580" i="5"/>
  <c r="P580" i="5"/>
  <c r="T580" i="5"/>
  <c r="D581" i="5"/>
  <c r="K581" i="5"/>
  <c r="L581" i="5"/>
  <c r="P581" i="5"/>
  <c r="T581" i="5"/>
  <c r="D582" i="5"/>
  <c r="K582" i="5"/>
  <c r="L582" i="5"/>
  <c r="P582" i="5"/>
  <c r="T582" i="5"/>
  <c r="D583" i="5"/>
  <c r="K583" i="5"/>
  <c r="L583" i="5"/>
  <c r="P583" i="5"/>
  <c r="T583" i="5"/>
  <c r="D584" i="5"/>
  <c r="K584" i="5"/>
  <c r="L584" i="5"/>
  <c r="P584" i="5"/>
  <c r="T584" i="5"/>
  <c r="D585" i="5"/>
  <c r="K585" i="5"/>
  <c r="L585" i="5"/>
  <c r="P585" i="5"/>
  <c r="T585" i="5"/>
  <c r="D586" i="5"/>
  <c r="K586" i="5"/>
  <c r="L586" i="5"/>
  <c r="P586" i="5"/>
  <c r="T586" i="5"/>
  <c r="D587" i="5"/>
  <c r="K587" i="5"/>
  <c r="L587" i="5"/>
  <c r="P587" i="5"/>
  <c r="T587" i="5"/>
  <c r="D588" i="5"/>
  <c r="K588" i="5"/>
  <c r="L588" i="5"/>
  <c r="P588" i="5"/>
  <c r="T588" i="5"/>
  <c r="D589" i="5"/>
  <c r="K589" i="5"/>
  <c r="L589" i="5"/>
  <c r="P589" i="5"/>
  <c r="T589" i="5"/>
  <c r="D590" i="5"/>
  <c r="K590" i="5"/>
  <c r="L590" i="5"/>
  <c r="P590" i="5"/>
  <c r="T590" i="5"/>
  <c r="D591" i="5"/>
  <c r="K591" i="5"/>
  <c r="L591" i="5"/>
  <c r="P591" i="5"/>
  <c r="T591" i="5"/>
  <c r="D592" i="5"/>
  <c r="K592" i="5"/>
  <c r="L592" i="5"/>
  <c r="P592" i="5"/>
  <c r="T592" i="5"/>
  <c r="D593" i="5"/>
  <c r="K593" i="5"/>
  <c r="L593" i="5"/>
  <c r="P593" i="5"/>
  <c r="T593" i="5"/>
  <c r="D594" i="5"/>
  <c r="K594" i="5"/>
  <c r="L594" i="5"/>
  <c r="P594" i="5"/>
  <c r="T594" i="5"/>
  <c r="D595" i="5"/>
  <c r="K595" i="5"/>
  <c r="L595" i="5"/>
  <c r="P595" i="5"/>
  <c r="T595" i="5"/>
  <c r="D596" i="5"/>
  <c r="K596" i="5"/>
  <c r="L596" i="5"/>
  <c r="P596" i="5"/>
  <c r="T596" i="5"/>
  <c r="D597" i="5"/>
  <c r="K597" i="5"/>
  <c r="L597" i="5"/>
  <c r="P597" i="5"/>
  <c r="T597" i="5"/>
  <c r="D598" i="5"/>
  <c r="K598" i="5"/>
  <c r="L598" i="5"/>
  <c r="P598" i="5"/>
  <c r="T598" i="5"/>
  <c r="D599" i="5"/>
  <c r="K599" i="5"/>
  <c r="L599" i="5"/>
  <c r="P599" i="5"/>
  <c r="T599" i="5"/>
  <c r="D600" i="5"/>
  <c r="K600" i="5"/>
  <c r="L600" i="5"/>
  <c r="P600" i="5"/>
  <c r="T600" i="5"/>
  <c r="D601" i="5"/>
  <c r="K601" i="5"/>
  <c r="L601" i="5"/>
  <c r="P601" i="5"/>
  <c r="T601" i="5"/>
  <c r="D602" i="5"/>
  <c r="K602" i="5"/>
  <c r="L602" i="5"/>
  <c r="P602" i="5"/>
  <c r="T602" i="5"/>
  <c r="D603" i="5"/>
  <c r="K603" i="5"/>
  <c r="L603" i="5"/>
  <c r="P603" i="5"/>
  <c r="T603" i="5"/>
  <c r="D604" i="5"/>
  <c r="K604" i="5"/>
  <c r="L604" i="5"/>
  <c r="P604" i="5"/>
  <c r="T604" i="5"/>
  <c r="D605" i="5"/>
  <c r="K605" i="5"/>
  <c r="L605" i="5"/>
  <c r="P605" i="5"/>
  <c r="T605" i="5"/>
  <c r="D606" i="5"/>
  <c r="K606" i="5"/>
  <c r="L606" i="5"/>
  <c r="P606" i="5"/>
  <c r="T606" i="5"/>
  <c r="D607" i="5"/>
  <c r="K607" i="5"/>
  <c r="L607" i="5"/>
  <c r="P607" i="5"/>
  <c r="T607" i="5"/>
  <c r="D608" i="5"/>
  <c r="K608" i="5"/>
  <c r="L608" i="5"/>
  <c r="P608" i="5"/>
  <c r="T608" i="5"/>
  <c r="D609" i="5"/>
  <c r="K609" i="5"/>
  <c r="L609" i="5"/>
  <c r="P609" i="5"/>
  <c r="T609" i="5"/>
  <c r="D610" i="5"/>
  <c r="K610" i="5"/>
  <c r="L610" i="5"/>
  <c r="P610" i="5"/>
  <c r="T610" i="5"/>
  <c r="D611" i="5"/>
  <c r="K611" i="5"/>
  <c r="L611" i="5"/>
  <c r="P611" i="5"/>
  <c r="T611" i="5"/>
  <c r="D612" i="5"/>
  <c r="K612" i="5"/>
  <c r="L612" i="5"/>
  <c r="P612" i="5"/>
  <c r="T612" i="5"/>
  <c r="D613" i="5"/>
  <c r="K613" i="5"/>
  <c r="L613" i="5"/>
  <c r="P613" i="5"/>
  <c r="T613" i="5"/>
  <c r="D614" i="5"/>
  <c r="K614" i="5"/>
  <c r="L614" i="5"/>
  <c r="P614" i="5"/>
  <c r="T614" i="5"/>
  <c r="D615" i="5"/>
  <c r="K615" i="5"/>
  <c r="L615" i="5"/>
  <c r="P615" i="5"/>
  <c r="T615" i="5"/>
  <c r="D616" i="5"/>
  <c r="K616" i="5"/>
  <c r="L616" i="5"/>
  <c r="P616" i="5"/>
  <c r="T616" i="5"/>
  <c r="D617" i="5"/>
  <c r="K617" i="5"/>
  <c r="L617" i="5"/>
  <c r="P617" i="5"/>
  <c r="T617" i="5"/>
  <c r="D618" i="5"/>
  <c r="K618" i="5"/>
  <c r="L618" i="5"/>
  <c r="P618" i="5"/>
  <c r="T618" i="5"/>
  <c r="D619" i="5"/>
  <c r="K619" i="5"/>
  <c r="L619" i="5"/>
  <c r="P619" i="5"/>
  <c r="T619" i="5"/>
  <c r="D620" i="5"/>
  <c r="K620" i="5"/>
  <c r="L620" i="5"/>
  <c r="P620" i="5"/>
  <c r="T620" i="5"/>
  <c r="D621" i="5"/>
  <c r="K621" i="5"/>
  <c r="L621" i="5"/>
  <c r="P621" i="5"/>
  <c r="T621" i="5"/>
  <c r="D622" i="5"/>
  <c r="K622" i="5"/>
  <c r="L622" i="5"/>
  <c r="P622" i="5"/>
  <c r="T622" i="5"/>
  <c r="D623" i="5"/>
  <c r="K623" i="5"/>
  <c r="L623" i="5"/>
  <c r="P623" i="5"/>
  <c r="T623" i="5"/>
  <c r="D624" i="5"/>
  <c r="K624" i="5"/>
  <c r="L624" i="5"/>
  <c r="P624" i="5"/>
  <c r="T624" i="5"/>
  <c r="D625" i="5"/>
  <c r="K625" i="5"/>
  <c r="L625" i="5"/>
  <c r="P625" i="5"/>
  <c r="T625" i="5"/>
  <c r="D626" i="5"/>
  <c r="K626" i="5"/>
  <c r="L626" i="5"/>
  <c r="P626" i="5"/>
  <c r="T626" i="5"/>
  <c r="D627" i="5"/>
  <c r="K627" i="5"/>
  <c r="L627" i="5"/>
  <c r="P627" i="5"/>
  <c r="T627" i="5"/>
  <c r="D628" i="5"/>
  <c r="K628" i="5"/>
  <c r="L628" i="5"/>
  <c r="P628" i="5"/>
  <c r="T628" i="5"/>
  <c r="D629" i="5"/>
  <c r="K629" i="5"/>
  <c r="L629" i="5"/>
  <c r="P629" i="5"/>
  <c r="T629" i="5"/>
  <c r="D630" i="5"/>
  <c r="K630" i="5"/>
  <c r="L630" i="5"/>
  <c r="P630" i="5"/>
  <c r="T630" i="5"/>
  <c r="D631" i="5"/>
  <c r="K631" i="5"/>
  <c r="L631" i="5"/>
  <c r="P631" i="5"/>
  <c r="T631" i="5"/>
  <c r="D632" i="5"/>
  <c r="K632" i="5"/>
  <c r="L632" i="5"/>
  <c r="P632" i="5"/>
  <c r="T632" i="5"/>
  <c r="D633" i="5"/>
  <c r="K633" i="5"/>
  <c r="L633" i="5"/>
  <c r="P633" i="5"/>
  <c r="T633" i="5"/>
  <c r="D634" i="5"/>
  <c r="K634" i="5"/>
  <c r="L634" i="5"/>
  <c r="P634" i="5"/>
  <c r="T634" i="5"/>
  <c r="D635" i="5"/>
  <c r="K635" i="5"/>
  <c r="L635" i="5"/>
  <c r="P635" i="5"/>
  <c r="T635" i="5"/>
  <c r="D636" i="5"/>
  <c r="K636" i="5"/>
  <c r="L636" i="5"/>
  <c r="P636" i="5"/>
  <c r="T636" i="5"/>
  <c r="D637" i="5"/>
  <c r="K637" i="5"/>
  <c r="L637" i="5"/>
  <c r="P637" i="5"/>
  <c r="T637" i="5"/>
  <c r="D638" i="5"/>
  <c r="K638" i="5"/>
  <c r="L638" i="5"/>
  <c r="P638" i="5"/>
  <c r="T638" i="5"/>
  <c r="D639" i="5"/>
  <c r="K639" i="5"/>
  <c r="L639" i="5"/>
  <c r="P639" i="5"/>
  <c r="T639" i="5"/>
  <c r="D640" i="5"/>
  <c r="K640" i="5"/>
  <c r="L640" i="5"/>
  <c r="P640" i="5"/>
  <c r="T640" i="5"/>
  <c r="D641" i="5"/>
  <c r="K641" i="5"/>
  <c r="L641" i="5"/>
  <c r="P641" i="5"/>
  <c r="T641" i="5"/>
  <c r="D642" i="5"/>
  <c r="K642" i="5"/>
  <c r="L642" i="5"/>
  <c r="P642" i="5"/>
  <c r="T642" i="5"/>
  <c r="D643" i="5"/>
  <c r="K643" i="5"/>
  <c r="L643" i="5"/>
  <c r="P643" i="5"/>
  <c r="T643" i="5"/>
  <c r="D644" i="5"/>
  <c r="K644" i="5"/>
  <c r="L644" i="5"/>
  <c r="P644" i="5"/>
  <c r="T644" i="5"/>
  <c r="D645" i="5"/>
  <c r="K645" i="5"/>
  <c r="L645" i="5"/>
  <c r="P645" i="5"/>
  <c r="T645" i="5"/>
  <c r="D646" i="5"/>
  <c r="K646" i="5"/>
  <c r="L646" i="5"/>
  <c r="P646" i="5"/>
  <c r="T646" i="5"/>
  <c r="D647" i="5"/>
  <c r="K647" i="5"/>
  <c r="L647" i="5"/>
  <c r="P647" i="5"/>
  <c r="T647" i="5"/>
  <c r="D648" i="5"/>
  <c r="K648" i="5"/>
  <c r="L648" i="5"/>
  <c r="P648" i="5"/>
  <c r="T648" i="5"/>
  <c r="D649" i="5"/>
  <c r="K649" i="5"/>
  <c r="L649" i="5"/>
  <c r="P649" i="5"/>
  <c r="T649" i="5"/>
  <c r="D650" i="5"/>
  <c r="K650" i="5"/>
  <c r="L650" i="5"/>
  <c r="P650" i="5"/>
  <c r="T650" i="5"/>
  <c r="D651" i="5"/>
  <c r="K651" i="5"/>
  <c r="L651" i="5"/>
  <c r="P651" i="5"/>
  <c r="T651" i="5"/>
  <c r="D652" i="5"/>
  <c r="K652" i="5"/>
  <c r="L652" i="5"/>
  <c r="P652" i="5"/>
  <c r="T652" i="5"/>
  <c r="D653" i="5"/>
  <c r="K653" i="5"/>
  <c r="L653" i="5"/>
  <c r="P653" i="5"/>
  <c r="T653" i="5"/>
  <c r="D654" i="5"/>
  <c r="K654" i="5"/>
  <c r="L654" i="5"/>
  <c r="P654" i="5"/>
  <c r="T654" i="5"/>
  <c r="D655" i="5"/>
  <c r="K655" i="5"/>
  <c r="L655" i="5"/>
  <c r="P655" i="5"/>
  <c r="T655" i="5"/>
  <c r="D656" i="5"/>
  <c r="K656" i="5"/>
  <c r="L656" i="5"/>
  <c r="P656" i="5"/>
  <c r="T656" i="5"/>
  <c r="D657" i="5"/>
  <c r="K657" i="5"/>
  <c r="L657" i="5"/>
  <c r="P657" i="5"/>
  <c r="T657" i="5"/>
  <c r="D658" i="5"/>
  <c r="K658" i="5"/>
  <c r="L658" i="5"/>
  <c r="P658" i="5"/>
  <c r="T658" i="5"/>
  <c r="D659" i="5"/>
  <c r="K659" i="5"/>
  <c r="L659" i="5"/>
  <c r="P659" i="5"/>
  <c r="T659" i="5"/>
  <c r="D660" i="5"/>
  <c r="K660" i="5"/>
  <c r="L660" i="5"/>
  <c r="P660" i="5"/>
  <c r="T660" i="5"/>
  <c r="D661" i="5"/>
  <c r="K661" i="5"/>
  <c r="L661" i="5"/>
  <c r="P661" i="5"/>
  <c r="T661" i="5"/>
  <c r="D662" i="5"/>
  <c r="K662" i="5"/>
  <c r="L662" i="5"/>
  <c r="P662" i="5"/>
  <c r="T662" i="5"/>
  <c r="D663" i="5"/>
  <c r="K663" i="5"/>
  <c r="L663" i="5"/>
  <c r="P663" i="5"/>
  <c r="T663" i="5"/>
  <c r="D664" i="5"/>
  <c r="K664" i="5"/>
  <c r="L664" i="5"/>
  <c r="P664" i="5"/>
  <c r="T664" i="5"/>
  <c r="D665" i="5"/>
  <c r="K665" i="5"/>
  <c r="L665" i="5"/>
  <c r="P665" i="5"/>
  <c r="T665" i="5"/>
  <c r="D666" i="5"/>
  <c r="K666" i="5"/>
  <c r="L666" i="5"/>
  <c r="P666" i="5"/>
  <c r="T666" i="5"/>
  <c r="D667" i="5"/>
  <c r="K667" i="5"/>
  <c r="L667" i="5"/>
  <c r="P667" i="5"/>
  <c r="T667" i="5"/>
  <c r="D668" i="5"/>
  <c r="K668" i="5"/>
  <c r="L668" i="5"/>
  <c r="P668" i="5"/>
  <c r="T668" i="5"/>
  <c r="D669" i="5"/>
  <c r="K669" i="5"/>
  <c r="L669" i="5"/>
  <c r="P669" i="5"/>
  <c r="T669" i="5"/>
  <c r="D670" i="5"/>
  <c r="K670" i="5"/>
  <c r="L670" i="5"/>
  <c r="P670" i="5"/>
  <c r="T670" i="5"/>
  <c r="D671" i="5"/>
  <c r="K671" i="5"/>
  <c r="L671" i="5"/>
  <c r="P671" i="5"/>
  <c r="T671" i="5"/>
  <c r="D672" i="5"/>
  <c r="K672" i="5"/>
  <c r="L672" i="5"/>
  <c r="P672" i="5"/>
  <c r="T672" i="5"/>
  <c r="D673" i="5"/>
  <c r="K673" i="5"/>
  <c r="L673" i="5"/>
  <c r="P673" i="5"/>
  <c r="T673" i="5"/>
  <c r="D674" i="5"/>
  <c r="K674" i="5"/>
  <c r="L674" i="5"/>
  <c r="P674" i="5"/>
  <c r="T674" i="5"/>
  <c r="D675" i="5"/>
  <c r="K675" i="5"/>
  <c r="L675" i="5"/>
  <c r="P675" i="5"/>
  <c r="T675" i="5"/>
  <c r="D676" i="5"/>
  <c r="K676" i="5"/>
  <c r="L676" i="5"/>
  <c r="P676" i="5"/>
  <c r="T676" i="5"/>
  <c r="D677" i="5"/>
  <c r="K677" i="5"/>
  <c r="L677" i="5"/>
  <c r="P677" i="5"/>
  <c r="T677" i="5"/>
  <c r="D678" i="5"/>
  <c r="K678" i="5"/>
  <c r="L678" i="5"/>
  <c r="P678" i="5"/>
  <c r="T678" i="5"/>
  <c r="D679" i="5"/>
  <c r="K679" i="5"/>
  <c r="L679" i="5"/>
  <c r="P679" i="5"/>
  <c r="T679" i="5"/>
  <c r="D680" i="5"/>
  <c r="K680" i="5"/>
  <c r="L680" i="5"/>
  <c r="P680" i="5"/>
  <c r="T680" i="5"/>
  <c r="D681" i="5"/>
  <c r="K681" i="5"/>
  <c r="L681" i="5"/>
  <c r="P681" i="5"/>
  <c r="T681" i="5"/>
  <c r="D682" i="5"/>
  <c r="K682" i="5"/>
  <c r="L682" i="5"/>
  <c r="P682" i="5"/>
  <c r="T682" i="5"/>
  <c r="D683" i="5"/>
  <c r="K683" i="5"/>
  <c r="L683" i="5"/>
  <c r="P683" i="5"/>
  <c r="T683" i="5"/>
  <c r="D684" i="5"/>
  <c r="K684" i="5"/>
  <c r="L684" i="5"/>
  <c r="P684" i="5"/>
  <c r="T684" i="5"/>
  <c r="D685" i="5"/>
  <c r="K685" i="5"/>
  <c r="L685" i="5"/>
  <c r="P685" i="5"/>
  <c r="T685" i="5"/>
  <c r="D686" i="5"/>
  <c r="K686" i="5"/>
  <c r="L686" i="5"/>
  <c r="P686" i="5"/>
  <c r="T686" i="5"/>
  <c r="D687" i="5"/>
  <c r="K687" i="5"/>
  <c r="L687" i="5"/>
  <c r="P687" i="5"/>
  <c r="T687" i="5"/>
  <c r="D688" i="5"/>
  <c r="K688" i="5"/>
  <c r="L688" i="5"/>
  <c r="P688" i="5"/>
  <c r="T688" i="5"/>
  <c r="D689" i="5"/>
  <c r="K689" i="5"/>
  <c r="L689" i="5"/>
  <c r="P689" i="5"/>
  <c r="T689" i="5"/>
  <c r="D690" i="5"/>
  <c r="K690" i="5"/>
  <c r="L690" i="5"/>
  <c r="P690" i="5"/>
  <c r="T690" i="5"/>
  <c r="D691" i="5"/>
  <c r="K691" i="5"/>
  <c r="L691" i="5"/>
  <c r="P691" i="5"/>
  <c r="T691" i="5"/>
  <c r="D692" i="5"/>
  <c r="K692" i="5"/>
  <c r="L692" i="5"/>
  <c r="P692" i="5"/>
  <c r="T692" i="5"/>
  <c r="D693" i="5"/>
  <c r="K693" i="5"/>
  <c r="L693" i="5"/>
  <c r="P693" i="5"/>
  <c r="T693" i="5"/>
  <c r="D694" i="5"/>
  <c r="K694" i="5"/>
  <c r="L694" i="5"/>
  <c r="P694" i="5"/>
  <c r="T694" i="5"/>
  <c r="D695" i="5"/>
  <c r="K695" i="5"/>
  <c r="L695" i="5"/>
  <c r="P695" i="5"/>
  <c r="T695" i="5"/>
  <c r="D696" i="5"/>
  <c r="K696" i="5"/>
  <c r="L696" i="5"/>
  <c r="P696" i="5"/>
  <c r="T696" i="5"/>
  <c r="D697" i="5"/>
  <c r="K697" i="5"/>
  <c r="L697" i="5"/>
  <c r="P697" i="5"/>
  <c r="T697" i="5"/>
  <c r="D698" i="5"/>
  <c r="K698" i="5"/>
  <c r="L698" i="5"/>
  <c r="P698" i="5"/>
  <c r="T698" i="5"/>
  <c r="D699" i="5"/>
  <c r="K699" i="5"/>
  <c r="L699" i="5"/>
  <c r="P699" i="5"/>
  <c r="T699" i="5"/>
  <c r="D700" i="5"/>
  <c r="K700" i="5"/>
  <c r="L700" i="5"/>
  <c r="P700" i="5"/>
  <c r="T700" i="5"/>
  <c r="D701" i="5"/>
  <c r="K701" i="5"/>
  <c r="L701" i="5"/>
  <c r="P701" i="5"/>
  <c r="T701" i="5"/>
  <c r="D702" i="5"/>
  <c r="K702" i="5"/>
  <c r="L702" i="5"/>
  <c r="P702" i="5"/>
  <c r="T702" i="5"/>
  <c r="D703" i="5"/>
  <c r="K703" i="5"/>
  <c r="L703" i="5"/>
  <c r="P703" i="5"/>
  <c r="T703" i="5"/>
  <c r="D704" i="5"/>
  <c r="K704" i="5"/>
  <c r="L704" i="5"/>
  <c r="P704" i="5"/>
  <c r="T704" i="5"/>
  <c r="D705" i="5"/>
  <c r="K705" i="5"/>
  <c r="L705" i="5"/>
  <c r="P705" i="5"/>
  <c r="T705" i="5"/>
  <c r="D706" i="5"/>
  <c r="K706" i="5"/>
  <c r="L706" i="5"/>
  <c r="P706" i="5"/>
  <c r="T706" i="5"/>
  <c r="D707" i="5"/>
  <c r="K707" i="5"/>
  <c r="L707" i="5"/>
  <c r="P707" i="5"/>
  <c r="T707" i="5"/>
  <c r="D708" i="5"/>
  <c r="K708" i="5"/>
  <c r="L708" i="5"/>
  <c r="P708" i="5"/>
  <c r="T708" i="5"/>
  <c r="D709" i="5"/>
  <c r="K709" i="5"/>
  <c r="L709" i="5"/>
  <c r="P709" i="5"/>
  <c r="T709" i="5"/>
  <c r="D710" i="5"/>
  <c r="K710" i="5"/>
  <c r="L710" i="5"/>
  <c r="P710" i="5"/>
  <c r="T710" i="5"/>
  <c r="D711" i="5"/>
  <c r="K711" i="5"/>
  <c r="L711" i="5"/>
  <c r="P711" i="5"/>
  <c r="T711" i="5"/>
  <c r="D712" i="5"/>
  <c r="K712" i="5"/>
  <c r="L712" i="5"/>
  <c r="P712" i="5"/>
  <c r="T712" i="5"/>
  <c r="D713" i="5"/>
  <c r="K713" i="5"/>
  <c r="L713" i="5"/>
  <c r="P713" i="5"/>
  <c r="T713" i="5"/>
  <c r="D714" i="5"/>
  <c r="K714" i="5"/>
  <c r="L714" i="5"/>
  <c r="P714" i="5"/>
  <c r="T714" i="5"/>
  <c r="D715" i="5"/>
  <c r="K715" i="5"/>
  <c r="L715" i="5"/>
  <c r="P715" i="5"/>
  <c r="T715" i="5"/>
  <c r="D716" i="5"/>
  <c r="K716" i="5"/>
  <c r="L716" i="5"/>
  <c r="P716" i="5"/>
  <c r="T716" i="5"/>
  <c r="D717" i="5"/>
  <c r="K717" i="5"/>
  <c r="L717" i="5"/>
  <c r="P717" i="5"/>
  <c r="T717" i="5"/>
  <c r="D718" i="5"/>
  <c r="K718" i="5"/>
  <c r="L718" i="5"/>
  <c r="P718" i="5"/>
  <c r="T718" i="5"/>
  <c r="D719" i="5"/>
  <c r="K719" i="5"/>
  <c r="L719" i="5"/>
  <c r="P719" i="5"/>
  <c r="T719" i="5"/>
  <c r="D720" i="5"/>
  <c r="K720" i="5"/>
  <c r="L720" i="5"/>
  <c r="P720" i="5"/>
  <c r="T720" i="5"/>
  <c r="D721" i="5"/>
  <c r="K721" i="5"/>
  <c r="L721" i="5"/>
  <c r="P721" i="5"/>
  <c r="T721" i="5"/>
  <c r="D722" i="5"/>
  <c r="K722" i="5"/>
  <c r="L722" i="5"/>
  <c r="P722" i="5"/>
  <c r="T722" i="5"/>
  <c r="D723" i="5"/>
  <c r="K723" i="5"/>
  <c r="L723" i="5"/>
  <c r="P723" i="5"/>
  <c r="T723" i="5"/>
  <c r="D724" i="5"/>
  <c r="K724" i="5"/>
  <c r="L724" i="5"/>
  <c r="P724" i="5"/>
  <c r="T724" i="5"/>
  <c r="D725" i="5"/>
  <c r="K725" i="5"/>
  <c r="L725" i="5"/>
  <c r="P725" i="5"/>
  <c r="T725" i="5"/>
  <c r="D726" i="5"/>
  <c r="K726" i="5"/>
  <c r="L726" i="5"/>
  <c r="P726" i="5"/>
  <c r="T726" i="5"/>
  <c r="D727" i="5"/>
  <c r="K727" i="5"/>
  <c r="L727" i="5"/>
  <c r="P727" i="5"/>
  <c r="T727" i="5"/>
  <c r="D728" i="5"/>
  <c r="K728" i="5"/>
  <c r="L728" i="5"/>
  <c r="P728" i="5"/>
  <c r="T728" i="5"/>
  <c r="D729" i="5"/>
  <c r="K729" i="5"/>
  <c r="L729" i="5"/>
  <c r="P729" i="5"/>
  <c r="T729" i="5"/>
  <c r="D730" i="5"/>
  <c r="K730" i="5"/>
  <c r="L730" i="5"/>
  <c r="P730" i="5"/>
  <c r="T730" i="5"/>
  <c r="D731" i="5"/>
  <c r="K731" i="5"/>
  <c r="L731" i="5"/>
  <c r="P731" i="5"/>
  <c r="T731" i="5"/>
  <c r="D732" i="5"/>
  <c r="K732" i="5"/>
  <c r="L732" i="5"/>
  <c r="P732" i="5"/>
  <c r="T732" i="5"/>
  <c r="D733" i="5"/>
  <c r="K733" i="5"/>
  <c r="L733" i="5"/>
  <c r="P733" i="5"/>
  <c r="T733" i="5"/>
  <c r="D734" i="5"/>
  <c r="K734" i="5"/>
  <c r="L734" i="5"/>
  <c r="P734" i="5"/>
  <c r="T734" i="5"/>
  <c r="D735" i="5"/>
  <c r="K735" i="5"/>
  <c r="L735" i="5"/>
  <c r="P735" i="5"/>
  <c r="T735" i="5"/>
  <c r="D736" i="5"/>
  <c r="K736" i="5"/>
  <c r="L736" i="5"/>
  <c r="P736" i="5"/>
  <c r="T736" i="5"/>
  <c r="D737" i="5"/>
  <c r="K737" i="5"/>
  <c r="L737" i="5"/>
  <c r="P737" i="5"/>
  <c r="T737" i="5"/>
  <c r="D738" i="5"/>
  <c r="K738" i="5"/>
  <c r="L738" i="5"/>
  <c r="P738" i="5"/>
  <c r="T738" i="5"/>
  <c r="D739" i="5"/>
  <c r="K739" i="5"/>
  <c r="L739" i="5"/>
  <c r="P739" i="5"/>
  <c r="T739" i="5"/>
  <c r="D740" i="5"/>
  <c r="K740" i="5"/>
  <c r="L740" i="5"/>
  <c r="P740" i="5"/>
  <c r="T740" i="5"/>
  <c r="D741" i="5"/>
  <c r="K741" i="5"/>
  <c r="L741" i="5"/>
  <c r="P741" i="5"/>
  <c r="T741" i="5"/>
  <c r="D742" i="5"/>
  <c r="K742" i="5"/>
  <c r="L742" i="5"/>
  <c r="P742" i="5"/>
  <c r="T742" i="5"/>
  <c r="D743" i="5"/>
  <c r="K743" i="5"/>
  <c r="L743" i="5"/>
  <c r="P743" i="5"/>
  <c r="T743" i="5"/>
  <c r="D744" i="5"/>
  <c r="K744" i="5"/>
  <c r="L744" i="5"/>
  <c r="P744" i="5"/>
  <c r="T744" i="5"/>
  <c r="D745" i="5"/>
  <c r="K745" i="5"/>
  <c r="L745" i="5"/>
  <c r="P745" i="5"/>
  <c r="T745" i="5"/>
  <c r="D746" i="5"/>
  <c r="K746" i="5"/>
  <c r="L746" i="5"/>
  <c r="P746" i="5"/>
  <c r="T746" i="5"/>
  <c r="D747" i="5"/>
  <c r="K747" i="5"/>
  <c r="L747" i="5"/>
  <c r="P747" i="5"/>
  <c r="T747" i="5"/>
  <c r="D748" i="5"/>
  <c r="K748" i="5"/>
  <c r="L748" i="5"/>
  <c r="P748" i="5"/>
  <c r="T748" i="5"/>
  <c r="D749" i="5"/>
  <c r="K749" i="5"/>
  <c r="L749" i="5"/>
  <c r="P749" i="5"/>
  <c r="T749" i="5"/>
  <c r="D750" i="5"/>
  <c r="K750" i="5"/>
  <c r="L750" i="5"/>
  <c r="P750" i="5"/>
  <c r="T750" i="5"/>
  <c r="D751" i="5"/>
  <c r="K751" i="5"/>
  <c r="L751" i="5"/>
  <c r="P751" i="5"/>
  <c r="T751" i="5"/>
  <c r="D752" i="5"/>
  <c r="K752" i="5"/>
  <c r="L752" i="5"/>
  <c r="P752" i="5"/>
  <c r="T752" i="5"/>
  <c r="D753" i="5"/>
  <c r="K753" i="5"/>
  <c r="L753" i="5"/>
  <c r="P753" i="5"/>
  <c r="T753" i="5"/>
  <c r="D754" i="5"/>
  <c r="K754" i="5"/>
  <c r="L754" i="5"/>
  <c r="P754" i="5"/>
  <c r="T754" i="5"/>
  <c r="D755" i="5"/>
  <c r="K755" i="5"/>
  <c r="L755" i="5"/>
  <c r="P755" i="5"/>
  <c r="T755" i="5"/>
  <c r="D756" i="5"/>
  <c r="K756" i="5"/>
  <c r="L756" i="5"/>
  <c r="P756" i="5"/>
  <c r="T756" i="5"/>
  <c r="D757" i="5"/>
  <c r="K757" i="5"/>
  <c r="L757" i="5"/>
  <c r="P757" i="5"/>
  <c r="T757" i="5"/>
  <c r="D758" i="5"/>
  <c r="K758" i="5"/>
  <c r="L758" i="5"/>
  <c r="P758" i="5"/>
  <c r="T758" i="5"/>
  <c r="D759" i="5"/>
  <c r="K759" i="5"/>
  <c r="L759" i="5"/>
  <c r="P759" i="5"/>
  <c r="T759" i="5"/>
  <c r="D760" i="5"/>
  <c r="K760" i="5"/>
  <c r="L760" i="5"/>
  <c r="P760" i="5"/>
  <c r="T760" i="5"/>
  <c r="D761" i="5"/>
  <c r="K761" i="5"/>
  <c r="L761" i="5"/>
  <c r="P761" i="5"/>
  <c r="T761" i="5"/>
  <c r="D762" i="5"/>
  <c r="K762" i="5"/>
  <c r="L762" i="5"/>
  <c r="P762" i="5"/>
  <c r="T762" i="5"/>
  <c r="D763" i="5"/>
  <c r="K763" i="5"/>
  <c r="L763" i="5"/>
  <c r="P763" i="5"/>
  <c r="T763" i="5"/>
  <c r="D764" i="5"/>
  <c r="K764" i="5"/>
  <c r="L764" i="5"/>
  <c r="P764" i="5"/>
  <c r="T764" i="5"/>
  <c r="D765" i="5"/>
  <c r="K765" i="5"/>
  <c r="L765" i="5"/>
  <c r="P765" i="5"/>
  <c r="T765" i="5"/>
  <c r="D766" i="5"/>
  <c r="K766" i="5"/>
  <c r="L766" i="5"/>
  <c r="P766" i="5"/>
  <c r="T766" i="5"/>
  <c r="D767" i="5"/>
  <c r="K767" i="5"/>
  <c r="L767" i="5"/>
  <c r="P767" i="5"/>
  <c r="T767" i="5"/>
  <c r="D768" i="5"/>
  <c r="K768" i="5"/>
  <c r="L768" i="5"/>
  <c r="P768" i="5"/>
  <c r="T768" i="5"/>
  <c r="D769" i="5"/>
  <c r="K769" i="5"/>
  <c r="L769" i="5"/>
  <c r="P769" i="5"/>
  <c r="T769" i="5"/>
  <c r="D770" i="5"/>
  <c r="K770" i="5"/>
  <c r="L770" i="5"/>
  <c r="P770" i="5"/>
  <c r="T770" i="5"/>
  <c r="D771" i="5"/>
  <c r="K771" i="5"/>
  <c r="L771" i="5"/>
  <c r="P771" i="5"/>
  <c r="T771" i="5"/>
  <c r="D772" i="5"/>
  <c r="K772" i="5"/>
  <c r="L772" i="5"/>
  <c r="P772" i="5"/>
  <c r="T772" i="5"/>
  <c r="D773" i="5"/>
  <c r="K773" i="5"/>
  <c r="L773" i="5"/>
  <c r="P773" i="5"/>
  <c r="T773" i="5"/>
  <c r="D774" i="5"/>
  <c r="K774" i="5"/>
  <c r="L774" i="5"/>
  <c r="P774" i="5"/>
  <c r="T774" i="5"/>
  <c r="D775" i="5"/>
  <c r="K775" i="5"/>
  <c r="L775" i="5"/>
  <c r="P775" i="5"/>
  <c r="T775" i="5"/>
  <c r="D776" i="5"/>
  <c r="K776" i="5"/>
  <c r="L776" i="5"/>
  <c r="P776" i="5"/>
  <c r="T776" i="5"/>
  <c r="D777" i="5"/>
  <c r="K777" i="5"/>
  <c r="L777" i="5"/>
  <c r="P777" i="5"/>
  <c r="T777" i="5"/>
  <c r="D778" i="5"/>
  <c r="K778" i="5"/>
  <c r="L778" i="5"/>
  <c r="P778" i="5"/>
  <c r="T778" i="5"/>
  <c r="D779" i="5"/>
  <c r="K779" i="5"/>
  <c r="L779" i="5"/>
  <c r="P779" i="5"/>
  <c r="T779" i="5"/>
  <c r="D780" i="5"/>
  <c r="K780" i="5"/>
  <c r="L780" i="5"/>
  <c r="P780" i="5"/>
  <c r="T780" i="5"/>
  <c r="D781" i="5"/>
  <c r="K781" i="5"/>
  <c r="L781" i="5"/>
  <c r="P781" i="5"/>
  <c r="T781" i="5"/>
  <c r="D782" i="5"/>
  <c r="K782" i="5"/>
  <c r="L782" i="5"/>
  <c r="P782" i="5"/>
  <c r="T782" i="5"/>
  <c r="D783" i="5"/>
  <c r="K783" i="5"/>
  <c r="L783" i="5"/>
  <c r="P783" i="5"/>
  <c r="T783" i="5"/>
  <c r="D784" i="5"/>
  <c r="K784" i="5"/>
  <c r="L784" i="5"/>
  <c r="P784" i="5"/>
  <c r="T784" i="5"/>
  <c r="D785" i="5"/>
  <c r="K785" i="5"/>
  <c r="L785" i="5"/>
  <c r="P785" i="5"/>
  <c r="T785" i="5"/>
  <c r="D786" i="5"/>
  <c r="K786" i="5"/>
  <c r="L786" i="5"/>
  <c r="P786" i="5"/>
  <c r="T786" i="5"/>
  <c r="D787" i="5"/>
  <c r="K787" i="5"/>
  <c r="L787" i="5"/>
  <c r="P787" i="5"/>
  <c r="T787" i="5"/>
  <c r="D788" i="5"/>
  <c r="K788" i="5"/>
  <c r="L788" i="5"/>
  <c r="P788" i="5"/>
  <c r="T788" i="5"/>
  <c r="D789" i="5"/>
  <c r="K789" i="5"/>
  <c r="L789" i="5"/>
  <c r="P789" i="5"/>
  <c r="T789" i="5"/>
  <c r="D790" i="5"/>
  <c r="K790" i="5"/>
  <c r="L790" i="5"/>
  <c r="P790" i="5"/>
  <c r="T790" i="5"/>
  <c r="D791" i="5"/>
  <c r="K791" i="5"/>
  <c r="L791" i="5"/>
  <c r="P791" i="5"/>
  <c r="T791" i="5"/>
  <c r="D792" i="5"/>
  <c r="K792" i="5"/>
  <c r="L792" i="5"/>
  <c r="P792" i="5"/>
  <c r="T792" i="5"/>
  <c r="D793" i="5"/>
  <c r="K793" i="5"/>
  <c r="L793" i="5"/>
  <c r="P793" i="5"/>
  <c r="T793" i="5"/>
  <c r="D794" i="5"/>
  <c r="K794" i="5"/>
  <c r="L794" i="5"/>
  <c r="P794" i="5"/>
  <c r="T794" i="5"/>
  <c r="D795" i="5"/>
  <c r="K795" i="5"/>
  <c r="L795" i="5"/>
  <c r="P795" i="5"/>
  <c r="T795" i="5"/>
  <c r="D796" i="5"/>
  <c r="K796" i="5"/>
  <c r="L796" i="5"/>
  <c r="P796" i="5"/>
  <c r="T796" i="5"/>
  <c r="D797" i="5"/>
  <c r="K797" i="5"/>
  <c r="L797" i="5"/>
  <c r="P797" i="5"/>
  <c r="T797" i="5"/>
  <c r="D798" i="5"/>
  <c r="K798" i="5"/>
  <c r="L798" i="5"/>
  <c r="P798" i="5"/>
  <c r="T798" i="5"/>
  <c r="D799" i="5"/>
  <c r="K799" i="5"/>
  <c r="L799" i="5"/>
  <c r="P799" i="5"/>
  <c r="T799" i="5"/>
  <c r="D800" i="5"/>
  <c r="K800" i="5"/>
  <c r="L800" i="5"/>
  <c r="P800" i="5"/>
  <c r="T800" i="5"/>
  <c r="D801" i="5"/>
  <c r="K801" i="5"/>
  <c r="L801" i="5"/>
  <c r="P801" i="5"/>
  <c r="T801" i="5"/>
  <c r="D802" i="5"/>
  <c r="K802" i="5"/>
  <c r="L802" i="5"/>
  <c r="P802" i="5"/>
  <c r="T802" i="5"/>
  <c r="D803" i="5"/>
  <c r="K803" i="5"/>
  <c r="L803" i="5"/>
  <c r="P803" i="5"/>
  <c r="T803" i="5"/>
  <c r="D804" i="5"/>
  <c r="K804" i="5"/>
  <c r="L804" i="5"/>
  <c r="P804" i="5"/>
  <c r="T804" i="5"/>
  <c r="D805" i="5"/>
  <c r="K805" i="5"/>
  <c r="L805" i="5"/>
  <c r="P805" i="5"/>
  <c r="T805" i="5"/>
  <c r="D806" i="5"/>
  <c r="K806" i="5"/>
  <c r="L806" i="5"/>
  <c r="P806" i="5"/>
  <c r="T806" i="5"/>
  <c r="D807" i="5"/>
  <c r="K807" i="5"/>
  <c r="L807" i="5"/>
  <c r="P807" i="5"/>
  <c r="T807" i="5"/>
  <c r="D808" i="5"/>
  <c r="K808" i="5"/>
  <c r="L808" i="5"/>
  <c r="P808" i="5"/>
  <c r="T808" i="5"/>
  <c r="D809" i="5"/>
  <c r="K809" i="5"/>
  <c r="L809" i="5"/>
  <c r="P809" i="5"/>
  <c r="T809" i="5"/>
  <c r="D810" i="5"/>
  <c r="K810" i="5"/>
  <c r="L810" i="5"/>
  <c r="P810" i="5"/>
  <c r="T810" i="5"/>
  <c r="D811" i="5"/>
  <c r="K811" i="5"/>
  <c r="L811" i="5"/>
  <c r="P811" i="5"/>
  <c r="T811" i="5"/>
  <c r="D812" i="5"/>
  <c r="K812" i="5"/>
  <c r="L812" i="5"/>
  <c r="P812" i="5"/>
  <c r="T812" i="5"/>
  <c r="D813" i="5"/>
  <c r="K813" i="5"/>
  <c r="L813" i="5"/>
  <c r="P813" i="5"/>
  <c r="T813" i="5"/>
  <c r="D814" i="5"/>
  <c r="K814" i="5"/>
  <c r="L814" i="5"/>
  <c r="P814" i="5"/>
  <c r="T814" i="5"/>
  <c r="D815" i="5"/>
  <c r="K815" i="5"/>
  <c r="L815" i="5"/>
  <c r="P815" i="5"/>
  <c r="T815" i="5"/>
  <c r="D816" i="5"/>
  <c r="K816" i="5"/>
  <c r="L816" i="5"/>
  <c r="P816" i="5"/>
  <c r="T816" i="5"/>
  <c r="D817" i="5"/>
  <c r="K817" i="5"/>
  <c r="L817" i="5"/>
  <c r="P817" i="5"/>
  <c r="T817" i="5"/>
  <c r="D818" i="5"/>
  <c r="K818" i="5"/>
  <c r="L818" i="5"/>
  <c r="P818" i="5"/>
  <c r="T818" i="5"/>
  <c r="D819" i="5"/>
  <c r="K819" i="5"/>
  <c r="L819" i="5"/>
  <c r="P819" i="5"/>
  <c r="T819" i="5"/>
  <c r="D820" i="5"/>
  <c r="K820" i="5"/>
  <c r="L820" i="5"/>
  <c r="P820" i="5"/>
  <c r="T820" i="5"/>
  <c r="D821" i="5"/>
  <c r="K821" i="5"/>
  <c r="L821" i="5"/>
  <c r="P821" i="5"/>
  <c r="T821" i="5"/>
  <c r="D822" i="5"/>
  <c r="K822" i="5"/>
  <c r="L822" i="5"/>
  <c r="P822" i="5"/>
  <c r="T822" i="5"/>
  <c r="D823" i="5"/>
  <c r="K823" i="5"/>
  <c r="L823" i="5"/>
  <c r="P823" i="5"/>
  <c r="T823" i="5"/>
  <c r="D824" i="5"/>
  <c r="K824" i="5"/>
  <c r="L824" i="5"/>
  <c r="P824" i="5"/>
  <c r="T824" i="5"/>
  <c r="D825" i="5"/>
  <c r="K825" i="5"/>
  <c r="L825" i="5"/>
  <c r="P825" i="5"/>
  <c r="T825" i="5"/>
  <c r="D826" i="5"/>
  <c r="K826" i="5"/>
  <c r="L826" i="5"/>
  <c r="P826" i="5"/>
  <c r="T826" i="5"/>
  <c r="D827" i="5"/>
  <c r="K827" i="5"/>
  <c r="L827" i="5"/>
  <c r="P827" i="5"/>
  <c r="T827" i="5"/>
  <c r="D828" i="5"/>
  <c r="K828" i="5"/>
  <c r="L828" i="5"/>
  <c r="P828" i="5"/>
  <c r="T828" i="5"/>
  <c r="D829" i="5"/>
  <c r="K829" i="5"/>
  <c r="L829" i="5"/>
  <c r="P829" i="5"/>
  <c r="T829" i="5"/>
  <c r="D830" i="5"/>
  <c r="K830" i="5"/>
  <c r="L830" i="5"/>
  <c r="P830" i="5"/>
  <c r="T830" i="5"/>
  <c r="D831" i="5"/>
  <c r="K831" i="5"/>
  <c r="L831" i="5"/>
  <c r="P831" i="5"/>
  <c r="T831" i="5"/>
  <c r="D832" i="5"/>
  <c r="K832" i="5"/>
  <c r="L832" i="5"/>
  <c r="P832" i="5"/>
  <c r="T832" i="5"/>
  <c r="D833" i="5"/>
  <c r="K833" i="5"/>
  <c r="L833" i="5"/>
  <c r="P833" i="5"/>
  <c r="T833" i="5"/>
  <c r="D834" i="5"/>
  <c r="K834" i="5"/>
  <c r="L834" i="5"/>
  <c r="P834" i="5"/>
  <c r="T834" i="5"/>
  <c r="D835" i="5"/>
  <c r="K835" i="5"/>
  <c r="L835" i="5"/>
  <c r="P835" i="5"/>
  <c r="T835" i="5"/>
  <c r="D836" i="5"/>
  <c r="K836" i="5"/>
  <c r="L836" i="5"/>
  <c r="P836" i="5"/>
  <c r="T836" i="5"/>
  <c r="D837" i="5"/>
  <c r="K837" i="5"/>
  <c r="L837" i="5"/>
  <c r="P837" i="5"/>
  <c r="T837" i="5"/>
  <c r="D838" i="5"/>
  <c r="K838" i="5"/>
  <c r="L838" i="5"/>
  <c r="P838" i="5"/>
  <c r="T838" i="5"/>
  <c r="D839" i="5"/>
  <c r="K839" i="5"/>
  <c r="L839" i="5"/>
  <c r="P839" i="5"/>
  <c r="T839" i="5"/>
  <c r="D840" i="5"/>
  <c r="K840" i="5"/>
  <c r="L840" i="5"/>
  <c r="P840" i="5"/>
  <c r="T840" i="5"/>
  <c r="D841" i="5"/>
  <c r="K841" i="5"/>
  <c r="L841" i="5"/>
  <c r="P841" i="5"/>
  <c r="T841" i="5"/>
  <c r="D842" i="5"/>
  <c r="K842" i="5"/>
  <c r="L842" i="5"/>
  <c r="P842" i="5"/>
  <c r="T842" i="5"/>
  <c r="D843" i="5"/>
  <c r="K843" i="5"/>
  <c r="L843" i="5"/>
  <c r="P843" i="5"/>
  <c r="T843" i="5"/>
  <c r="D844" i="5"/>
  <c r="K844" i="5"/>
  <c r="L844" i="5"/>
  <c r="P844" i="5"/>
  <c r="T844" i="5"/>
  <c r="D845" i="5"/>
  <c r="K845" i="5"/>
  <c r="L845" i="5"/>
  <c r="P845" i="5"/>
  <c r="T845" i="5"/>
  <c r="D846" i="5"/>
  <c r="K846" i="5"/>
  <c r="L846" i="5"/>
  <c r="P846" i="5"/>
  <c r="T846" i="5"/>
  <c r="D847" i="5"/>
  <c r="K847" i="5"/>
  <c r="L847" i="5"/>
  <c r="P847" i="5"/>
  <c r="T847" i="5"/>
  <c r="D848" i="5"/>
  <c r="K848" i="5"/>
  <c r="L848" i="5"/>
  <c r="P848" i="5"/>
  <c r="T848" i="5"/>
  <c r="D849" i="5"/>
  <c r="K849" i="5"/>
  <c r="L849" i="5"/>
  <c r="P849" i="5"/>
  <c r="T849" i="5"/>
  <c r="D850" i="5"/>
  <c r="K850" i="5"/>
  <c r="L850" i="5"/>
  <c r="P850" i="5"/>
  <c r="T850" i="5"/>
  <c r="D851" i="5"/>
  <c r="K851" i="5"/>
  <c r="L851" i="5"/>
  <c r="P851" i="5"/>
  <c r="T851" i="5"/>
  <c r="D852" i="5"/>
  <c r="K852" i="5"/>
  <c r="L852" i="5"/>
  <c r="P852" i="5"/>
  <c r="T852" i="5"/>
  <c r="D853" i="5"/>
  <c r="K853" i="5"/>
  <c r="L853" i="5"/>
  <c r="P853" i="5"/>
  <c r="T853" i="5"/>
  <c r="D854" i="5"/>
  <c r="K854" i="5"/>
  <c r="L854" i="5"/>
  <c r="P854" i="5"/>
  <c r="T854" i="5"/>
  <c r="D855" i="5"/>
  <c r="K855" i="5"/>
  <c r="L855" i="5"/>
  <c r="P855" i="5"/>
  <c r="T855" i="5"/>
  <c r="D856" i="5"/>
  <c r="K856" i="5"/>
  <c r="L856" i="5"/>
  <c r="P856" i="5"/>
  <c r="T856" i="5"/>
  <c r="D857" i="5"/>
  <c r="K857" i="5"/>
  <c r="L857" i="5"/>
  <c r="P857" i="5"/>
  <c r="T857" i="5"/>
  <c r="D858" i="5"/>
  <c r="K858" i="5"/>
  <c r="L858" i="5"/>
  <c r="P858" i="5"/>
  <c r="T858" i="5"/>
  <c r="D859" i="5"/>
  <c r="K859" i="5"/>
  <c r="L859" i="5"/>
  <c r="P859" i="5"/>
  <c r="T859" i="5"/>
  <c r="D860" i="5"/>
  <c r="K860" i="5"/>
  <c r="L860" i="5"/>
  <c r="P860" i="5"/>
  <c r="T860" i="5"/>
  <c r="D861" i="5"/>
  <c r="K861" i="5"/>
  <c r="L861" i="5"/>
  <c r="P861" i="5"/>
  <c r="T861" i="5"/>
  <c r="D862" i="5"/>
  <c r="K862" i="5"/>
  <c r="L862" i="5"/>
  <c r="P862" i="5"/>
  <c r="T862" i="5"/>
  <c r="D863" i="5"/>
  <c r="K863" i="5"/>
  <c r="L863" i="5"/>
  <c r="P863" i="5"/>
  <c r="T863" i="5"/>
  <c r="D864" i="5"/>
  <c r="K864" i="5"/>
  <c r="L864" i="5"/>
  <c r="P864" i="5"/>
  <c r="T864" i="5"/>
  <c r="D865" i="5"/>
  <c r="K865" i="5"/>
  <c r="L865" i="5"/>
  <c r="P865" i="5"/>
  <c r="T865" i="5"/>
  <c r="D866" i="5"/>
  <c r="K866" i="5"/>
  <c r="L866" i="5"/>
  <c r="P866" i="5"/>
  <c r="T866" i="5"/>
  <c r="D867" i="5"/>
  <c r="K867" i="5"/>
  <c r="L867" i="5"/>
  <c r="P867" i="5"/>
  <c r="T867" i="5"/>
  <c r="D868" i="5"/>
  <c r="K868" i="5"/>
  <c r="L868" i="5"/>
  <c r="P868" i="5"/>
  <c r="T868" i="5"/>
  <c r="D869" i="5"/>
  <c r="K869" i="5"/>
  <c r="L869" i="5"/>
  <c r="P869" i="5"/>
  <c r="T869" i="5"/>
  <c r="D870" i="5"/>
  <c r="K870" i="5"/>
  <c r="L870" i="5"/>
  <c r="P870" i="5"/>
  <c r="T870" i="5"/>
  <c r="D871" i="5"/>
  <c r="K871" i="5"/>
  <c r="L871" i="5"/>
  <c r="P871" i="5"/>
  <c r="T871" i="5"/>
  <c r="D872" i="5"/>
  <c r="K872" i="5"/>
  <c r="L872" i="5"/>
  <c r="P872" i="5"/>
  <c r="T872" i="5"/>
  <c r="D873" i="5"/>
  <c r="K873" i="5"/>
  <c r="L873" i="5"/>
  <c r="P873" i="5"/>
  <c r="T873" i="5"/>
  <c r="D874" i="5"/>
  <c r="K874" i="5"/>
  <c r="L874" i="5"/>
  <c r="P874" i="5"/>
  <c r="T874" i="5"/>
  <c r="D875" i="5"/>
  <c r="K875" i="5"/>
  <c r="L875" i="5"/>
  <c r="P875" i="5"/>
  <c r="T875" i="5"/>
  <c r="D876" i="5"/>
  <c r="K876" i="5"/>
  <c r="L876" i="5"/>
  <c r="P876" i="5"/>
  <c r="T876" i="5"/>
  <c r="D877" i="5"/>
  <c r="K877" i="5"/>
  <c r="L877" i="5"/>
  <c r="P877" i="5"/>
  <c r="T877" i="5"/>
  <c r="D878" i="5"/>
  <c r="K878" i="5"/>
  <c r="L878" i="5"/>
  <c r="P878" i="5"/>
  <c r="T878" i="5"/>
  <c r="D879" i="5"/>
  <c r="K879" i="5"/>
  <c r="L879" i="5"/>
  <c r="P879" i="5"/>
  <c r="T879" i="5"/>
  <c r="D880" i="5"/>
  <c r="K880" i="5"/>
  <c r="L880" i="5"/>
  <c r="P880" i="5"/>
  <c r="T880" i="5"/>
  <c r="D881" i="5"/>
  <c r="K881" i="5"/>
  <c r="L881" i="5"/>
  <c r="P881" i="5"/>
  <c r="T881" i="5"/>
  <c r="D882" i="5"/>
  <c r="K882" i="5"/>
  <c r="L882" i="5"/>
  <c r="P882" i="5"/>
  <c r="T882" i="5"/>
  <c r="D883" i="5"/>
  <c r="K883" i="5"/>
  <c r="L883" i="5"/>
  <c r="P883" i="5"/>
  <c r="T883" i="5"/>
  <c r="D884" i="5"/>
  <c r="K884" i="5"/>
  <c r="L884" i="5"/>
  <c r="P884" i="5"/>
  <c r="T884" i="5"/>
  <c r="D885" i="5"/>
  <c r="K885" i="5"/>
  <c r="L885" i="5"/>
  <c r="P885" i="5"/>
  <c r="T885" i="5"/>
  <c r="D886" i="5"/>
  <c r="K886" i="5"/>
  <c r="L886" i="5"/>
  <c r="P886" i="5"/>
  <c r="T886" i="5"/>
  <c r="D887" i="5"/>
  <c r="K887" i="5"/>
  <c r="L887" i="5"/>
  <c r="P887" i="5"/>
  <c r="T887" i="5"/>
  <c r="D888" i="5"/>
  <c r="K888" i="5"/>
  <c r="L888" i="5"/>
  <c r="P888" i="5"/>
  <c r="T888" i="5"/>
  <c r="D889" i="5"/>
  <c r="K889" i="5"/>
  <c r="L889" i="5"/>
  <c r="P889" i="5"/>
  <c r="T889" i="5"/>
  <c r="D890" i="5"/>
  <c r="K890" i="5"/>
  <c r="L890" i="5"/>
  <c r="P890" i="5"/>
  <c r="T890" i="5"/>
  <c r="D891" i="5"/>
  <c r="K891" i="5"/>
  <c r="L891" i="5"/>
  <c r="P891" i="5"/>
  <c r="T891" i="5"/>
  <c r="D892" i="5"/>
  <c r="K892" i="5"/>
  <c r="L892" i="5"/>
  <c r="P892" i="5"/>
  <c r="T892" i="5"/>
  <c r="D893" i="5"/>
  <c r="K893" i="5"/>
  <c r="L893" i="5"/>
  <c r="P893" i="5"/>
  <c r="T893" i="5"/>
  <c r="D894" i="5"/>
  <c r="K894" i="5"/>
  <c r="L894" i="5"/>
  <c r="P894" i="5"/>
  <c r="T894" i="5"/>
  <c r="D895" i="5"/>
  <c r="K895" i="5"/>
  <c r="L895" i="5"/>
  <c r="P895" i="5"/>
  <c r="T895" i="5"/>
  <c r="D896" i="5"/>
  <c r="K896" i="5"/>
  <c r="L896" i="5"/>
  <c r="P896" i="5"/>
  <c r="T896" i="5"/>
  <c r="D897" i="5"/>
  <c r="K897" i="5"/>
  <c r="L897" i="5"/>
  <c r="P897" i="5"/>
  <c r="T897" i="5"/>
  <c r="D898" i="5"/>
  <c r="K898" i="5"/>
  <c r="L898" i="5"/>
  <c r="P898" i="5"/>
  <c r="T898" i="5"/>
  <c r="D899" i="5"/>
  <c r="K899" i="5"/>
  <c r="L899" i="5"/>
  <c r="P899" i="5"/>
  <c r="T899" i="5"/>
  <c r="D900" i="5"/>
  <c r="K900" i="5"/>
  <c r="L900" i="5"/>
  <c r="P900" i="5"/>
  <c r="T900" i="5"/>
  <c r="D901" i="5"/>
  <c r="K901" i="5"/>
  <c r="L901" i="5"/>
  <c r="P901" i="5"/>
  <c r="T901" i="5"/>
  <c r="D902" i="5"/>
  <c r="K902" i="5"/>
  <c r="L902" i="5"/>
  <c r="P902" i="5"/>
  <c r="T902" i="5"/>
  <c r="D903" i="5"/>
  <c r="K903" i="5"/>
  <c r="L903" i="5"/>
  <c r="P903" i="5"/>
  <c r="T903" i="5"/>
  <c r="D904" i="5"/>
  <c r="K904" i="5"/>
  <c r="L904" i="5"/>
  <c r="P904" i="5"/>
  <c r="T904" i="5"/>
  <c r="D905" i="5"/>
  <c r="K905" i="5"/>
  <c r="L905" i="5"/>
  <c r="P905" i="5"/>
  <c r="T905" i="5"/>
  <c r="D906" i="5"/>
  <c r="K906" i="5"/>
  <c r="L906" i="5"/>
  <c r="P906" i="5"/>
  <c r="T906" i="5"/>
  <c r="D907" i="5"/>
  <c r="K907" i="5"/>
  <c r="L907" i="5"/>
  <c r="P907" i="5"/>
  <c r="T907" i="5"/>
  <c r="D908" i="5"/>
  <c r="K908" i="5"/>
  <c r="L908" i="5"/>
  <c r="P908" i="5"/>
  <c r="T908" i="5"/>
  <c r="D909" i="5"/>
  <c r="K909" i="5"/>
  <c r="L909" i="5"/>
  <c r="P909" i="5"/>
  <c r="T909" i="5"/>
  <c r="D910" i="5"/>
  <c r="K910" i="5"/>
  <c r="L910" i="5"/>
  <c r="P910" i="5"/>
  <c r="T910" i="5"/>
  <c r="D911" i="5"/>
  <c r="K911" i="5"/>
  <c r="L911" i="5"/>
  <c r="P911" i="5"/>
  <c r="T911" i="5"/>
  <c r="D912" i="5"/>
  <c r="K912" i="5"/>
  <c r="L912" i="5"/>
  <c r="P912" i="5"/>
  <c r="T912" i="5"/>
  <c r="D913" i="5"/>
  <c r="K913" i="5"/>
  <c r="L913" i="5"/>
  <c r="P913" i="5"/>
  <c r="T913" i="5"/>
  <c r="D914" i="5"/>
  <c r="K914" i="5"/>
  <c r="L914" i="5"/>
  <c r="P914" i="5"/>
  <c r="T914" i="5"/>
  <c r="D915" i="5"/>
  <c r="K915" i="5"/>
  <c r="L915" i="5"/>
  <c r="P915" i="5"/>
  <c r="T915" i="5"/>
  <c r="D916" i="5"/>
  <c r="K916" i="5"/>
  <c r="L916" i="5"/>
  <c r="P916" i="5"/>
  <c r="T916" i="5"/>
  <c r="D917" i="5"/>
  <c r="K917" i="5"/>
  <c r="L917" i="5"/>
  <c r="P917" i="5"/>
  <c r="T917" i="5"/>
  <c r="D918" i="5"/>
  <c r="K918" i="5"/>
  <c r="L918" i="5"/>
  <c r="P918" i="5"/>
  <c r="T918" i="5"/>
  <c r="D919" i="5"/>
  <c r="K919" i="5"/>
  <c r="L919" i="5"/>
  <c r="P919" i="5"/>
  <c r="T919" i="5"/>
  <c r="D920" i="5"/>
  <c r="K920" i="5"/>
  <c r="L920" i="5"/>
  <c r="P920" i="5"/>
  <c r="T920" i="5"/>
  <c r="D921" i="5"/>
  <c r="K921" i="5"/>
  <c r="L921" i="5"/>
  <c r="P921" i="5"/>
  <c r="T921" i="5"/>
  <c r="D922" i="5"/>
  <c r="K922" i="5"/>
  <c r="L922" i="5"/>
  <c r="P922" i="5"/>
  <c r="T922" i="5"/>
  <c r="D923" i="5"/>
  <c r="K923" i="5"/>
  <c r="L923" i="5"/>
  <c r="P923" i="5"/>
  <c r="T923" i="5"/>
  <c r="D924" i="5"/>
  <c r="K924" i="5"/>
  <c r="L924" i="5"/>
  <c r="P924" i="5"/>
  <c r="T924" i="5"/>
  <c r="D925" i="5"/>
  <c r="K925" i="5"/>
  <c r="L925" i="5"/>
  <c r="P925" i="5"/>
  <c r="T925" i="5"/>
  <c r="D926" i="5"/>
  <c r="K926" i="5"/>
  <c r="L926" i="5"/>
  <c r="P926" i="5"/>
  <c r="T926" i="5"/>
  <c r="D927" i="5"/>
  <c r="K927" i="5"/>
  <c r="L927" i="5"/>
  <c r="P927" i="5"/>
  <c r="T927" i="5"/>
  <c r="D928" i="5"/>
  <c r="K928" i="5"/>
  <c r="L928" i="5"/>
  <c r="P928" i="5"/>
  <c r="T928" i="5"/>
  <c r="D929" i="5"/>
  <c r="K929" i="5"/>
  <c r="L929" i="5"/>
  <c r="P929" i="5"/>
  <c r="T929" i="5"/>
  <c r="D930" i="5"/>
  <c r="K930" i="5"/>
  <c r="L930" i="5"/>
  <c r="P930" i="5"/>
  <c r="T930" i="5"/>
  <c r="D931" i="5"/>
  <c r="K931" i="5"/>
  <c r="L931" i="5"/>
  <c r="P931" i="5"/>
  <c r="T931" i="5"/>
  <c r="D932" i="5"/>
  <c r="K932" i="5"/>
  <c r="L932" i="5"/>
  <c r="P932" i="5"/>
  <c r="T932" i="5"/>
  <c r="D933" i="5"/>
  <c r="K933" i="5"/>
  <c r="L933" i="5"/>
  <c r="P933" i="5"/>
  <c r="T933" i="5"/>
  <c r="D934" i="5"/>
  <c r="K934" i="5"/>
  <c r="L934" i="5"/>
  <c r="P934" i="5"/>
  <c r="T934" i="5"/>
  <c r="D935" i="5"/>
  <c r="K935" i="5"/>
  <c r="L935" i="5"/>
  <c r="P935" i="5"/>
  <c r="T935" i="5"/>
  <c r="D936" i="5"/>
  <c r="K936" i="5"/>
  <c r="L936" i="5"/>
  <c r="P936" i="5"/>
  <c r="T936" i="5"/>
  <c r="D937" i="5"/>
  <c r="K937" i="5"/>
  <c r="L937" i="5"/>
  <c r="P937" i="5"/>
  <c r="T937" i="5"/>
  <c r="D938" i="5"/>
  <c r="K938" i="5"/>
  <c r="L938" i="5"/>
  <c r="P938" i="5"/>
  <c r="T938" i="5"/>
  <c r="D939" i="5"/>
  <c r="K939" i="5"/>
  <c r="L939" i="5"/>
  <c r="P939" i="5"/>
  <c r="T939" i="5"/>
  <c r="D940" i="5"/>
  <c r="K940" i="5"/>
  <c r="L940" i="5"/>
  <c r="P940" i="5"/>
  <c r="T940" i="5"/>
  <c r="D941" i="5"/>
  <c r="K941" i="5"/>
  <c r="L941" i="5"/>
  <c r="P941" i="5"/>
  <c r="T941" i="5"/>
  <c r="D942" i="5"/>
  <c r="K942" i="5"/>
  <c r="L942" i="5"/>
  <c r="P942" i="5"/>
  <c r="T942" i="5"/>
  <c r="D943" i="5"/>
  <c r="K943" i="5"/>
  <c r="L943" i="5"/>
  <c r="P943" i="5"/>
  <c r="T943" i="5"/>
  <c r="D944" i="5"/>
  <c r="K944" i="5"/>
  <c r="L944" i="5"/>
  <c r="P944" i="5"/>
  <c r="T944" i="5"/>
  <c r="D945" i="5"/>
  <c r="K945" i="5"/>
  <c r="L945" i="5"/>
  <c r="P945" i="5"/>
  <c r="T945" i="5"/>
  <c r="D946" i="5"/>
  <c r="K946" i="5"/>
  <c r="L946" i="5"/>
  <c r="P946" i="5"/>
  <c r="T946" i="5"/>
  <c r="D947" i="5"/>
  <c r="K947" i="5"/>
  <c r="L947" i="5"/>
  <c r="P947" i="5"/>
  <c r="T947" i="5"/>
  <c r="D948" i="5"/>
  <c r="K948" i="5"/>
  <c r="L948" i="5"/>
  <c r="P948" i="5"/>
  <c r="T948" i="5"/>
  <c r="D949" i="5"/>
  <c r="K949" i="5"/>
  <c r="L949" i="5"/>
  <c r="P949" i="5"/>
  <c r="T949" i="5"/>
  <c r="D950" i="5"/>
  <c r="K950" i="5"/>
  <c r="L950" i="5"/>
  <c r="P950" i="5"/>
  <c r="T950" i="5"/>
  <c r="D951" i="5"/>
  <c r="K951" i="5"/>
  <c r="L951" i="5"/>
  <c r="P951" i="5"/>
  <c r="T951" i="5"/>
  <c r="D952" i="5"/>
  <c r="K952" i="5"/>
  <c r="L952" i="5"/>
  <c r="P952" i="5"/>
  <c r="T952" i="5"/>
  <c r="D953" i="5"/>
  <c r="K953" i="5"/>
  <c r="L953" i="5"/>
  <c r="P953" i="5"/>
  <c r="T953" i="5"/>
  <c r="D954" i="5"/>
  <c r="K954" i="5"/>
  <c r="L954" i="5"/>
  <c r="P954" i="5"/>
  <c r="T954" i="5"/>
  <c r="D955" i="5"/>
  <c r="K955" i="5"/>
  <c r="L955" i="5"/>
  <c r="P955" i="5"/>
  <c r="T955" i="5"/>
  <c r="D956" i="5"/>
  <c r="K956" i="5"/>
  <c r="L956" i="5"/>
  <c r="P956" i="5"/>
  <c r="T956" i="5"/>
  <c r="D957" i="5"/>
  <c r="K957" i="5"/>
  <c r="L957" i="5"/>
  <c r="P957" i="5"/>
  <c r="T957" i="5"/>
  <c r="D958" i="5"/>
  <c r="K958" i="5"/>
  <c r="L958" i="5"/>
  <c r="P958" i="5"/>
  <c r="T958" i="5"/>
  <c r="D959" i="5"/>
  <c r="K959" i="5"/>
  <c r="L959" i="5"/>
  <c r="P959" i="5"/>
  <c r="T959" i="5"/>
  <c r="D960" i="5"/>
  <c r="K960" i="5"/>
  <c r="L960" i="5"/>
  <c r="P960" i="5"/>
  <c r="T960" i="5"/>
  <c r="D961" i="5"/>
  <c r="K961" i="5"/>
  <c r="L961" i="5"/>
  <c r="P961" i="5"/>
  <c r="T961" i="5"/>
  <c r="D962" i="5"/>
  <c r="K962" i="5"/>
  <c r="L962" i="5"/>
  <c r="P962" i="5"/>
  <c r="T962" i="5"/>
  <c r="D963" i="5"/>
  <c r="K963" i="5"/>
  <c r="L963" i="5"/>
  <c r="P963" i="5"/>
  <c r="T963" i="5"/>
  <c r="D964" i="5"/>
  <c r="K964" i="5"/>
  <c r="L964" i="5"/>
  <c r="P964" i="5"/>
  <c r="T964" i="5"/>
  <c r="D965" i="5"/>
  <c r="K965" i="5"/>
  <c r="L965" i="5"/>
  <c r="P965" i="5"/>
  <c r="T965" i="5"/>
  <c r="D966" i="5"/>
  <c r="K966" i="5"/>
  <c r="L966" i="5"/>
  <c r="P966" i="5"/>
  <c r="T966" i="5"/>
  <c r="D967" i="5"/>
  <c r="K967" i="5"/>
  <c r="L967" i="5"/>
  <c r="P967" i="5"/>
  <c r="T967" i="5"/>
  <c r="D968" i="5"/>
  <c r="K968" i="5"/>
  <c r="L968" i="5"/>
  <c r="P968" i="5"/>
  <c r="T968" i="5"/>
  <c r="D969" i="5"/>
  <c r="K969" i="5"/>
  <c r="L969" i="5"/>
  <c r="P969" i="5"/>
  <c r="T969" i="5"/>
  <c r="D970" i="5"/>
  <c r="K970" i="5"/>
  <c r="L970" i="5"/>
  <c r="P970" i="5"/>
  <c r="T970" i="5"/>
  <c r="D971" i="5"/>
  <c r="K971" i="5"/>
  <c r="L971" i="5"/>
  <c r="P971" i="5"/>
  <c r="T971" i="5"/>
  <c r="D972" i="5"/>
  <c r="K972" i="5"/>
  <c r="L972" i="5"/>
  <c r="P972" i="5"/>
  <c r="T972" i="5"/>
  <c r="D973" i="5"/>
  <c r="K973" i="5"/>
  <c r="L973" i="5"/>
  <c r="P973" i="5"/>
  <c r="T973" i="5"/>
  <c r="D974" i="5"/>
  <c r="K974" i="5"/>
  <c r="L974" i="5"/>
  <c r="P974" i="5"/>
  <c r="T974" i="5"/>
  <c r="D975" i="5"/>
  <c r="K975" i="5"/>
  <c r="L975" i="5"/>
  <c r="P975" i="5"/>
  <c r="T975" i="5"/>
  <c r="D976" i="5"/>
  <c r="K976" i="5"/>
  <c r="L976" i="5"/>
  <c r="P976" i="5"/>
  <c r="T976" i="5"/>
  <c r="D977" i="5"/>
  <c r="K977" i="5"/>
  <c r="L977" i="5"/>
  <c r="P977" i="5"/>
  <c r="T977" i="5"/>
  <c r="D978" i="5"/>
  <c r="K978" i="5"/>
  <c r="L978" i="5"/>
  <c r="P978" i="5"/>
  <c r="T978" i="5"/>
  <c r="D979" i="5"/>
  <c r="K979" i="5"/>
  <c r="L979" i="5"/>
  <c r="P979" i="5"/>
  <c r="T979" i="5"/>
  <c r="D980" i="5"/>
  <c r="K980" i="5"/>
  <c r="L980" i="5"/>
  <c r="P980" i="5"/>
  <c r="T980" i="5"/>
  <c r="D981" i="5"/>
  <c r="K981" i="5"/>
  <c r="L981" i="5"/>
  <c r="P981" i="5"/>
  <c r="T981" i="5"/>
  <c r="D982" i="5"/>
  <c r="K982" i="5"/>
  <c r="L982" i="5"/>
  <c r="P982" i="5"/>
  <c r="T982" i="5"/>
  <c r="D983" i="5"/>
  <c r="K983" i="5"/>
  <c r="L983" i="5"/>
  <c r="P983" i="5"/>
  <c r="T983" i="5"/>
  <c r="D984" i="5"/>
  <c r="K984" i="5"/>
  <c r="L984" i="5"/>
  <c r="P984" i="5"/>
  <c r="T984" i="5"/>
  <c r="D985" i="5"/>
  <c r="K985" i="5"/>
  <c r="L985" i="5"/>
  <c r="P985" i="5"/>
  <c r="T985" i="5"/>
  <c r="D986" i="5"/>
  <c r="K986" i="5"/>
  <c r="L986" i="5"/>
  <c r="P986" i="5"/>
  <c r="T986" i="5"/>
  <c r="D987" i="5"/>
  <c r="K987" i="5"/>
  <c r="L987" i="5"/>
  <c r="P987" i="5"/>
  <c r="T987" i="5"/>
  <c r="D988" i="5"/>
  <c r="K988" i="5"/>
  <c r="L988" i="5"/>
  <c r="P988" i="5"/>
  <c r="T988" i="5"/>
  <c r="D989" i="5"/>
  <c r="K989" i="5"/>
  <c r="L989" i="5"/>
  <c r="P989" i="5"/>
  <c r="T989" i="5"/>
  <c r="D990" i="5"/>
  <c r="K990" i="5"/>
  <c r="L990" i="5"/>
  <c r="P990" i="5"/>
  <c r="T990" i="5"/>
  <c r="D991" i="5"/>
  <c r="K991" i="5"/>
  <c r="L991" i="5"/>
  <c r="P991" i="5"/>
  <c r="T991" i="5"/>
  <c r="D992" i="5"/>
  <c r="K992" i="5"/>
  <c r="L992" i="5"/>
  <c r="P992" i="5"/>
  <c r="T992" i="5"/>
  <c r="D993" i="5"/>
  <c r="K993" i="5"/>
  <c r="L993" i="5"/>
  <c r="P993" i="5"/>
  <c r="T993" i="5"/>
  <c r="D994" i="5"/>
  <c r="K994" i="5"/>
  <c r="L994" i="5"/>
  <c r="P994" i="5"/>
  <c r="T994" i="5"/>
  <c r="D995" i="5"/>
  <c r="K995" i="5"/>
  <c r="L995" i="5"/>
  <c r="P995" i="5"/>
  <c r="T995" i="5"/>
  <c r="D996" i="5"/>
  <c r="K996" i="5"/>
  <c r="L996" i="5"/>
  <c r="P996" i="5"/>
  <c r="T996" i="5"/>
  <c r="D997" i="5"/>
  <c r="K997" i="5"/>
  <c r="L997" i="5"/>
  <c r="P997" i="5"/>
  <c r="T997" i="5"/>
  <c r="D998" i="5"/>
  <c r="K998" i="5"/>
  <c r="L998" i="5"/>
  <c r="P998" i="5"/>
  <c r="T998" i="5"/>
  <c r="D999" i="5"/>
  <c r="K999" i="5"/>
  <c r="L999" i="5"/>
  <c r="P999" i="5"/>
  <c r="T999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7" i="5"/>
  <c r="K14" i="3"/>
  <c r="L3" i="3"/>
  <c r="L4" i="3"/>
  <c r="L5" i="3"/>
  <c r="L6" i="3"/>
  <c r="L7" i="3"/>
  <c r="L8" i="3"/>
  <c r="K17" i="3"/>
  <c r="K1" i="3"/>
  <c r="O188" i="2"/>
  <c r="K2" i="2"/>
  <c r="O2" i="2" s="1"/>
  <c r="D16" i="5"/>
  <c r="K92" i="2"/>
  <c r="O92" i="2" s="1"/>
  <c r="K53" i="2"/>
  <c r="O53" i="2" s="1"/>
  <c r="J53" i="2"/>
  <c r="N53" i="2" s="1"/>
  <c r="I53" i="2"/>
  <c r="M53" i="2" s="1"/>
  <c r="H53" i="2"/>
  <c r="L53" i="2" s="1"/>
  <c r="H52" i="2"/>
  <c r="L52" i="2" s="1"/>
  <c r="I52" i="2"/>
  <c r="M52" i="2" s="1"/>
  <c r="J52" i="2"/>
  <c r="N52" i="2" s="1"/>
  <c r="K52" i="2"/>
  <c r="O52" i="2" s="1"/>
  <c r="J110" i="2"/>
  <c r="H122" i="2"/>
  <c r="K15" i="3"/>
  <c r="K16" i="3"/>
  <c r="M65" i="5" a="1"/>
  <c r="M110" i="5" a="1"/>
  <c r="M446" i="5" a="1"/>
  <c r="M436" i="5" a="1"/>
  <c r="M822" i="5" a="1"/>
  <c r="M77" i="5" a="1"/>
  <c r="M427" i="5" a="1"/>
  <c r="M959" i="5" a="1"/>
  <c r="M933" i="5" a="1"/>
  <c r="M299" i="5" a="1"/>
  <c r="M731" i="5" a="1"/>
  <c r="M857" i="5" a="1"/>
  <c r="M345" i="5" a="1"/>
  <c r="M934" i="5" a="1"/>
  <c r="M870" i="5" a="1"/>
  <c r="M414" i="5" a="1"/>
  <c r="M188" i="5" a="1"/>
  <c r="M518" i="5" a="1"/>
  <c r="M927" i="5" a="1"/>
  <c r="M945" i="5" a="1"/>
  <c r="M850" i="5" a="1"/>
  <c r="M222" i="5" a="1"/>
  <c r="M881" i="5" a="1"/>
  <c r="M127" i="5" a="1"/>
  <c r="M193" i="5" a="1"/>
  <c r="M397" i="5" a="1"/>
  <c r="M58" i="5" a="1"/>
  <c r="M341" i="5" a="1"/>
  <c r="M136" i="5" a="1"/>
  <c r="M653" i="5" a="1"/>
  <c r="M63" i="5" a="1"/>
  <c r="M327" i="5" a="1"/>
  <c r="M774" i="5" a="1"/>
  <c r="M914" i="5" a="1"/>
  <c r="M691" i="5" a="1"/>
  <c r="M501" i="5" a="1"/>
  <c r="M681" i="5" a="1"/>
  <c r="M379" i="5" a="1"/>
  <c r="M205" i="5" a="1"/>
  <c r="M876" i="5" a="1"/>
  <c r="M799" i="5" a="1"/>
  <c r="M275" i="5" a="1"/>
  <c r="M916" i="5" a="1"/>
  <c r="M610" i="5" a="1"/>
  <c r="M743" i="5" a="1"/>
  <c r="M770" i="5" a="1"/>
  <c r="M53" i="5" a="1"/>
  <c r="M56" i="5" a="1"/>
  <c r="M725" i="5" a="1"/>
  <c r="M590" i="5" a="1"/>
  <c r="M285" i="5" a="1"/>
  <c r="M860" i="5" a="1"/>
  <c r="M530" i="5" a="1"/>
  <c r="M466" i="5" a="1"/>
  <c r="M778" i="5" a="1"/>
  <c r="M511" i="5" a="1"/>
  <c r="M411" i="5" a="1"/>
  <c r="M638" i="5" a="1"/>
  <c r="M128" i="5" a="1"/>
  <c r="M287" i="5" a="1"/>
  <c r="M228" i="5" a="1"/>
  <c r="M154" i="5" a="1"/>
  <c r="M318" i="5" a="1"/>
  <c r="M548" i="5" a="1"/>
  <c r="M899" i="5" a="1"/>
  <c r="M91" i="5" a="1"/>
  <c r="M463" i="5" a="1"/>
  <c r="M771" i="5" a="1"/>
  <c r="M252" i="5" a="1"/>
  <c r="M80" i="5" a="1"/>
  <c r="M533" i="5" a="1"/>
  <c r="M172" i="5" a="1"/>
  <c r="M797" i="5" a="1"/>
  <c r="M508" i="5" a="1"/>
  <c r="M732" i="5" a="1"/>
  <c r="M391" i="5" a="1"/>
  <c r="M319" i="5" a="1"/>
  <c r="M734" i="5" a="1"/>
  <c r="M813" i="5" a="1"/>
  <c r="M563" i="5" a="1"/>
  <c r="M993" i="5" a="1"/>
  <c r="M547" i="5" a="1"/>
  <c r="M996" i="5" a="1"/>
  <c r="M256" i="5" a="1"/>
  <c r="M317" i="5" a="1"/>
  <c r="M997" i="5" a="1"/>
  <c r="M74" i="5" a="1"/>
  <c r="M165" i="5" a="1"/>
  <c r="M401" i="5" a="1"/>
  <c r="M788" i="5" a="1"/>
  <c r="M145" i="5" a="1"/>
  <c r="M442" i="5" a="1"/>
  <c r="M631" i="5" a="1"/>
  <c r="M639" i="5" a="1"/>
  <c r="M268" i="5" a="1"/>
  <c r="M890" i="5" a="1"/>
  <c r="M92" i="5" a="1"/>
  <c r="M500" i="5" a="1"/>
  <c r="M203" i="5" a="1"/>
  <c r="M806" i="5" a="1"/>
  <c r="M504" i="5" a="1"/>
  <c r="M581" i="5" a="1"/>
  <c r="M510" i="5" a="1"/>
  <c r="M438" i="5" a="1"/>
  <c r="M601" i="5" a="1"/>
  <c r="M107" i="5" a="1"/>
  <c r="M868" i="5" a="1"/>
  <c r="M247" i="5" a="1"/>
  <c r="M618" i="5" a="1"/>
  <c r="M677" i="5" a="1"/>
  <c r="M182" i="5" a="1"/>
  <c r="M614" i="5" a="1"/>
  <c r="M445" i="5" a="1"/>
  <c r="M575" i="5" a="1"/>
  <c r="M477" i="5" a="1"/>
  <c r="M703" i="5" a="1"/>
  <c r="M825" i="5" a="1"/>
  <c r="M621" i="5" a="1"/>
  <c r="M158" i="5" a="1"/>
  <c r="M882" i="5" a="1"/>
  <c r="M243" i="5" a="1"/>
  <c r="M220" i="5" a="1"/>
  <c r="M448" i="5" a="1"/>
  <c r="M943" i="5" a="1"/>
  <c r="M586" i="5" a="1"/>
  <c r="M294" i="5" a="1"/>
  <c r="M718" i="5" a="1"/>
  <c r="M267" i="5" a="1"/>
  <c r="M340" i="5" a="1"/>
  <c r="M928" i="5" a="1"/>
  <c r="M490" i="5" a="1"/>
  <c r="M467" i="5" a="1"/>
  <c r="M674" i="5" a="1"/>
  <c r="M989" i="5" a="1"/>
  <c r="M207" i="5" a="1"/>
  <c r="M700" i="5" a="1"/>
  <c r="M827" i="5" a="1"/>
  <c r="M699" i="5" a="1"/>
  <c r="M372" i="5" a="1"/>
  <c r="M260" i="5" a="1"/>
  <c r="M137" i="5" a="1"/>
  <c r="M838" i="5" a="1"/>
  <c r="M417" i="5" a="1"/>
  <c r="M849" i="5" a="1"/>
  <c r="M209" i="5" a="1"/>
  <c r="M381" i="5" a="1"/>
  <c r="M144" i="5" a="1"/>
  <c r="M263" i="5" a="1"/>
  <c r="M235" i="5" a="1"/>
  <c r="M95" i="5" a="1"/>
  <c r="M470" i="5" a="1"/>
  <c r="M986" i="5" a="1"/>
  <c r="M86" i="5" a="1"/>
  <c r="M499" i="5" a="1"/>
  <c r="M539" i="5" a="1"/>
  <c r="M751" i="5" a="1"/>
  <c r="M484" i="5" a="1"/>
  <c r="M79" i="5" a="1"/>
  <c r="M515" i="5" a="1"/>
  <c r="M680" i="5" a="1"/>
  <c r="M622" i="5" a="1"/>
  <c r="M707" i="5" a="1"/>
  <c r="M115" i="5" a="1"/>
  <c r="M197" i="5" a="1"/>
  <c r="M643" i="5" a="1"/>
  <c r="M952" i="5" a="1"/>
  <c r="M837" i="5" a="1"/>
  <c r="M113" i="5" a="1"/>
  <c r="M642" i="5" a="1"/>
  <c r="M403" i="5" a="1"/>
  <c r="M976" i="5" a="1"/>
  <c r="M364" i="5" a="1"/>
  <c r="M270" i="5" a="1"/>
  <c r="M896" i="5" a="1"/>
  <c r="M888" i="5" a="1"/>
  <c r="M624" i="5" a="1"/>
  <c r="M879" i="5" a="1"/>
  <c r="M398" i="5" a="1"/>
  <c r="M580" i="5" a="1"/>
  <c r="M592" i="5" a="1"/>
  <c r="M781" i="5" a="1"/>
  <c r="M238" i="5" a="1"/>
  <c r="M349" i="5" a="1"/>
  <c r="M284" i="5" a="1"/>
  <c r="M413" i="5" a="1"/>
  <c r="M450" i="5" a="1"/>
  <c r="M302" i="5" a="1"/>
  <c r="M764" i="5" a="1"/>
  <c r="M304" i="5" a="1"/>
  <c r="M690" i="5" a="1"/>
  <c r="M328" i="5" a="1"/>
  <c r="M353" i="5" a="1"/>
  <c r="M288" i="5" a="1"/>
  <c r="M472" i="5" a="1"/>
  <c r="M129" i="5" a="1"/>
  <c r="M386" i="5" a="1"/>
  <c r="M104" i="5" a="1"/>
  <c r="M587" i="5" a="1"/>
  <c r="M768" i="5" a="1"/>
  <c r="M836" i="5" a="1"/>
  <c r="M480" i="5" a="1"/>
  <c r="M370" i="5" a="1"/>
  <c r="M124" i="5" a="1"/>
  <c r="M661" i="5" a="1"/>
  <c r="M258" i="5" a="1"/>
  <c r="M150" i="5" a="1"/>
  <c r="M607" i="5" a="1"/>
  <c r="M688" i="5" a="1"/>
  <c r="M893" i="5" a="1"/>
  <c r="M894" i="5" a="1"/>
  <c r="M722" i="5" a="1"/>
  <c r="M361" i="5" a="1"/>
  <c r="M473" i="5" a="1"/>
  <c r="M720" i="5" a="1"/>
  <c r="M509" i="5" a="1"/>
  <c r="M831" i="5" a="1"/>
  <c r="M506" i="5" a="1"/>
  <c r="M848" i="5" a="1"/>
  <c r="M316" i="5" a="1"/>
  <c r="M290" i="5" a="1"/>
  <c r="M939" i="5" a="1"/>
  <c r="M756" i="5" a="1"/>
  <c r="M334" i="5" a="1"/>
  <c r="M416" i="5" a="1"/>
  <c r="M415" i="5" a="1"/>
  <c r="M748" i="5" a="1"/>
  <c r="M891" i="5" a="1"/>
  <c r="M174" i="5" a="1"/>
  <c r="M212" i="5" a="1"/>
  <c r="M970" i="5" a="1"/>
  <c r="M368" i="5" a="1"/>
  <c r="M694" i="5" a="1"/>
  <c r="M819" i="5" a="1"/>
  <c r="M464" i="5" a="1"/>
  <c r="M546" i="5" a="1"/>
  <c r="M109" i="5" a="1"/>
  <c r="M103" i="5" a="1"/>
  <c r="M551" i="5" a="1"/>
  <c r="M676" i="5" a="1"/>
  <c r="M400" i="5" a="1"/>
  <c r="M535" i="5" a="1"/>
  <c r="M740" i="5" a="1"/>
  <c r="M962" i="5" a="1"/>
  <c r="M331" i="5" a="1"/>
  <c r="M550" i="5" a="1"/>
  <c r="M656" i="5" a="1"/>
  <c r="M375" i="5" a="1"/>
  <c r="M964" i="5" a="1"/>
  <c r="M525" i="5" a="1"/>
  <c r="M428" i="5" a="1"/>
  <c r="M418" i="5" a="1"/>
  <c r="M195" i="5" a="1"/>
  <c r="M253" i="5" a="1"/>
  <c r="M669" i="5" a="1"/>
  <c r="M846" i="5" a="1"/>
  <c r="M727" i="5" a="1"/>
  <c r="M549" i="5" a="1"/>
  <c r="M443" i="5" a="1"/>
  <c r="M313" i="5" a="1"/>
  <c r="M315" i="5" a="1"/>
  <c r="M371" i="5" a="1"/>
  <c r="M199" i="5" a="1"/>
  <c r="M483" i="5" a="1"/>
  <c r="M625" i="5" a="1"/>
  <c r="M211" i="5" a="1"/>
  <c r="M538" i="5" a="1"/>
  <c r="M685" i="5" a="1"/>
  <c r="M923" i="5" a="1"/>
  <c r="M911" i="5" a="1"/>
  <c r="M387" i="5" a="1"/>
  <c r="M512" i="5" a="1"/>
  <c r="M902" i="5" a="1"/>
  <c r="M373" i="5" a="1"/>
  <c r="M359" i="5" a="1"/>
  <c r="M982" i="5" a="1"/>
  <c r="M513" i="5" a="1"/>
  <c r="M922" i="5" a="1"/>
  <c r="M524" i="5" a="1"/>
  <c r="M409" i="5" a="1"/>
  <c r="M196" i="5" a="1"/>
  <c r="M584" i="5" a="1"/>
  <c r="M620" i="5" a="1"/>
  <c r="M672" i="5" a="1"/>
  <c r="M647" i="5" a="1"/>
  <c r="M98" i="5" a="1"/>
  <c r="M543" i="5" a="1"/>
  <c r="M523" i="5" a="1"/>
  <c r="M903" i="5" a="1"/>
  <c r="M249" i="5" a="1"/>
  <c r="M632" i="5" a="1"/>
  <c r="M87" i="5" a="1"/>
  <c r="M754" i="5" a="1"/>
  <c r="M153" i="5" a="1"/>
  <c r="M652" i="5" a="1"/>
  <c r="M454" i="5" a="1"/>
  <c r="M216" i="5" a="1"/>
  <c r="M724" i="5" a="1"/>
  <c r="M360" i="5" a="1"/>
  <c r="M265" i="5" a="1"/>
  <c r="M762" i="5" a="1"/>
  <c r="M90" i="5" a="1"/>
  <c r="M844" i="5" a="1"/>
  <c r="M859" i="5" a="1"/>
  <c r="M488" i="5" a="1"/>
  <c r="M283" i="5" a="1"/>
  <c r="M314" i="5" a="1"/>
  <c r="M979" i="5" a="1"/>
  <c r="M117" i="5" a="1"/>
  <c r="M937" i="5" a="1"/>
  <c r="M459" i="5" a="1"/>
  <c r="M541" i="5" a="1"/>
  <c r="M141" i="5" a="1"/>
  <c r="M965" i="5" a="1"/>
  <c r="M767" i="5" a="1"/>
  <c r="M561" i="5" a="1"/>
  <c r="M967" i="5" a="1"/>
  <c r="M192" i="5" a="1"/>
  <c r="M992" i="5" a="1"/>
  <c r="M491" i="5" a="1"/>
  <c r="M421" i="5" a="1"/>
  <c r="M721" i="5" a="1"/>
  <c r="M399" i="5" a="1"/>
  <c r="M619" i="5" a="1"/>
  <c r="M291" i="5" a="1"/>
  <c r="M431" i="5" a="1"/>
  <c r="M777" i="5" a="1"/>
  <c r="M281" i="5" a="1"/>
  <c r="M804" i="5" a="1"/>
  <c r="M517" i="5" a="1"/>
  <c r="M236" i="5" a="1"/>
  <c r="M598" i="5" a="1"/>
  <c r="M714" i="5" a="1"/>
  <c r="M367" i="5" a="1"/>
  <c r="M230" i="5" a="1"/>
  <c r="M815" i="5" a="1"/>
  <c r="M190" i="5" a="1"/>
  <c r="M709" i="5" a="1"/>
  <c r="M59" i="5" a="1"/>
  <c r="M202" i="5" a="1"/>
  <c r="M603" i="5" a="1"/>
  <c r="M441" i="5" a="1"/>
  <c r="M863" i="5" a="1"/>
  <c r="M858" i="5" a="1"/>
  <c r="M666" i="5" a="1"/>
  <c r="M453" i="5" a="1"/>
  <c r="M529" i="5" a="1"/>
  <c r="M227" i="5" a="1"/>
  <c r="M597" i="5" a="1"/>
  <c r="M419" i="5" a="1"/>
  <c r="M786" i="5" a="1"/>
  <c r="M348" i="5" a="1"/>
  <c r="M475" i="5" a="1"/>
  <c r="M612" i="5" a="1"/>
  <c r="M920" i="5" a="1"/>
  <c r="M532" i="5" a="1"/>
  <c r="M826" i="5" a="1"/>
  <c r="M143" i="5" a="1"/>
  <c r="M553" i="5" a="1"/>
  <c r="M155" i="5" a="1"/>
  <c r="M276" i="5" a="1"/>
  <c r="M696" i="5" a="1"/>
  <c r="M537" i="5" a="1"/>
  <c r="M872" i="5" a="1"/>
  <c r="M186" i="5" a="1"/>
  <c r="M877" i="5" a="1"/>
  <c r="M865" i="5" a="1"/>
  <c r="M390" i="5" a="1"/>
  <c r="M376" i="5" a="1"/>
  <c r="M407" i="5" a="1"/>
  <c r="M854" i="5" a="1"/>
  <c r="M926" i="5" a="1"/>
  <c r="M980" i="5" a="1"/>
  <c r="M717" i="5" a="1"/>
  <c r="M783" i="5" a="1"/>
  <c r="M264" i="5" a="1"/>
  <c r="M908" i="5" a="1"/>
  <c r="M950" i="5" a="1"/>
  <c r="M181" i="5" a="1"/>
  <c r="M133" i="5" a="1"/>
  <c r="M591" i="5" a="1"/>
  <c r="M924" i="5" a="1"/>
  <c r="M487" i="5" a="1"/>
  <c r="M582" i="5" a="1"/>
  <c r="M377" i="5" a="1"/>
  <c r="M829" i="5" a="1"/>
  <c r="M845" i="5" a="1"/>
  <c r="M355" i="5" a="1"/>
  <c r="M262" i="5" a="1"/>
  <c r="M447" i="5" a="1"/>
  <c r="M437" i="5" a="1"/>
  <c r="M649" i="5" a="1"/>
  <c r="M81" i="5" a="1"/>
  <c r="M481" i="5" a="1"/>
  <c r="M184" i="5" a="1"/>
  <c r="M72" i="5" a="1"/>
  <c r="M433" i="5" a="1"/>
  <c r="M521" i="5" a="1"/>
  <c r="M687" i="5" a="1"/>
  <c r="M780" i="5" a="1"/>
  <c r="M134" i="5" a="1"/>
  <c r="M310" i="5" a="1"/>
  <c r="M219" i="5" a="1"/>
  <c r="M402" i="5" a="1"/>
  <c r="M757" i="5" a="1"/>
  <c r="M121" i="5" a="1"/>
  <c r="M747" i="5" a="1"/>
  <c r="M708" i="5" a="1"/>
  <c r="M940" i="5" a="1"/>
  <c r="M83" i="5" a="1"/>
  <c r="M130" i="5" a="1"/>
  <c r="M67" i="5" a="1"/>
  <c r="M658" i="5" a="1"/>
  <c r="M152" i="5" a="1"/>
  <c r="M246" i="5" a="1"/>
  <c r="M650" i="5" a="1"/>
  <c r="M325" i="5" a="1"/>
  <c r="M339" i="5" a="1"/>
  <c r="M146" i="5" a="1"/>
  <c r="M245" i="5" a="1"/>
  <c r="M683" i="5" a="1"/>
  <c r="M684" i="5" a="1"/>
  <c r="M994" i="5" a="1"/>
  <c r="M485" i="5" a="1"/>
  <c r="M374" i="5" a="1"/>
  <c r="M157" i="5" a="1"/>
  <c r="M862" i="5" a="1"/>
  <c r="M178" i="5" a="1"/>
  <c r="M214" i="5" a="1"/>
  <c r="M139" i="5" a="1"/>
  <c r="M461" i="5" a="1"/>
  <c r="M713" i="5" a="1"/>
  <c r="M194" i="5" a="1"/>
  <c r="M583" i="5" a="1"/>
  <c r="M723" i="5" a="1"/>
  <c r="M745" i="5" a="1"/>
  <c r="M215" i="5" a="1"/>
  <c r="M556" i="5" a="1"/>
  <c r="M726" i="5" a="1"/>
  <c r="M628" i="5" a="1"/>
  <c r="M772" i="5" a="1"/>
  <c r="M452" i="5" a="1"/>
  <c r="M422" i="5" a="1"/>
  <c r="M972" i="5" a="1"/>
  <c r="M689" i="5" a="1"/>
  <c r="M766" i="5" a="1"/>
  <c r="M801" i="5" a="1"/>
  <c r="M507" i="5" a="1"/>
  <c r="M542" i="5" a="1"/>
  <c r="M779" i="5" a="1"/>
  <c r="M408" i="5" a="1"/>
  <c r="M232" i="5" a="1"/>
  <c r="M322" i="5" a="1"/>
  <c r="M832" i="5" a="1"/>
  <c r="M237" i="5" a="1"/>
  <c r="M589" i="5" a="1"/>
  <c r="M111" i="5" a="1"/>
  <c r="M55" i="5" a="1"/>
  <c r="M936" i="5" a="1"/>
  <c r="M576" i="5" a="1"/>
  <c r="M919" i="5" a="1"/>
  <c r="M634" i="5" a="1"/>
  <c r="M462" i="5" a="1"/>
  <c r="M978" i="5" a="1"/>
  <c r="M736" i="5" a="1"/>
  <c r="M608" i="5" a="1"/>
  <c r="M191" i="5" a="1"/>
  <c r="M884" i="5" a="1"/>
  <c r="M76" i="5" a="1"/>
  <c r="M817" i="5" a="1"/>
  <c r="M366" i="5" a="1"/>
  <c r="M864" i="5" a="1"/>
  <c r="M430" i="5" a="1"/>
  <c r="M68" i="5" a="1"/>
  <c r="M493" i="5" a="1"/>
  <c r="M49" i="5" a="1"/>
  <c r="M167" i="5" a="1"/>
  <c r="M715" i="5" a="1"/>
  <c r="M659" i="5" a="1"/>
  <c r="M223" i="5" a="1"/>
  <c r="M520" i="5" a="1"/>
  <c r="M744" i="5" a="1"/>
  <c r="M225" i="5" a="1"/>
  <c r="M474" i="5" a="1"/>
  <c r="M951" i="5" a="1"/>
  <c r="M861" i="5" a="1"/>
  <c r="M820" i="5" a="1"/>
  <c r="M498" i="5" a="1"/>
  <c r="M560" i="5" a="1"/>
  <c r="M880" i="5" a="1"/>
  <c r="M802" i="5" a="1"/>
  <c r="M465" i="5" a="1"/>
  <c r="M449" i="5" a="1"/>
  <c r="M579" i="5" a="1"/>
  <c r="M308" i="5" a="1"/>
  <c r="M898" i="5" a="1"/>
  <c r="M782" i="5" a="1"/>
  <c r="M885" i="5" a="1"/>
  <c r="M824" i="5" a="1"/>
  <c r="M333" i="5" a="1"/>
  <c r="M476" i="5" a="1"/>
  <c r="M572" i="5" a="1"/>
  <c r="M160" i="5" a="1"/>
  <c r="M75" i="5" a="1"/>
  <c r="M497" i="5" a="1"/>
  <c r="M973" i="5" a="1"/>
  <c r="M54" i="5" a="1"/>
  <c r="M170" i="5" a="1"/>
  <c r="M875" i="5" a="1"/>
  <c r="M867" i="5" a="1"/>
  <c r="M380" i="5" a="1"/>
  <c r="M695" i="5" a="1"/>
  <c r="M426" i="5" a="1"/>
  <c r="M335" i="5" a="1"/>
  <c r="M567" i="5" a="1"/>
  <c r="M791" i="5" a="1"/>
  <c r="M312" i="5" a="1"/>
  <c r="M655" i="5" a="1"/>
  <c r="M792" i="5" a="1"/>
  <c r="M818" i="5" a="1"/>
  <c r="M388" i="5" a="1"/>
  <c r="M555" i="5" a="1"/>
  <c r="M679" i="5" a="1"/>
  <c r="M988" i="5" a="1"/>
  <c r="M163" i="5" a="1"/>
  <c r="M293" i="5" a="1"/>
  <c r="M895" i="5" a="1"/>
  <c r="M878" i="5" a="1"/>
  <c r="M311" i="5" a="1"/>
  <c r="M917" i="5" a="1"/>
  <c r="M761" i="5" a="1"/>
  <c r="M60" i="5" a="1"/>
  <c r="M527" i="5" a="1"/>
  <c r="M705" i="5" a="1"/>
  <c r="M180" i="5" a="1"/>
  <c r="M412" i="5" a="1"/>
  <c r="M273" i="5" a="1"/>
  <c r="M907" i="5" a="1"/>
  <c r="M175" i="5" a="1"/>
  <c r="M271" i="5" a="1"/>
  <c r="M704" i="5" a="1"/>
  <c r="M241" i="5" a="1"/>
  <c r="M78" i="5" a="1"/>
  <c r="M444" i="5" a="1"/>
  <c r="M633" i="5" a="1"/>
  <c r="M929" i="5" a="1"/>
  <c r="M578" i="5" a="1"/>
  <c r="M173" i="5" a="1"/>
  <c r="M455" i="5" a="1"/>
  <c r="M585" i="5" a="1"/>
  <c r="M365" i="5" a="1"/>
  <c r="M949" i="5" a="1"/>
  <c r="M496" i="5" a="1"/>
  <c r="M954" i="5" a="1"/>
  <c r="M566" i="5" a="1"/>
  <c r="M889" i="5" a="1"/>
  <c r="M752" i="5" a="1"/>
  <c r="M159" i="5" a="1"/>
  <c r="M439" i="5" a="1"/>
  <c r="M843" i="5" a="1"/>
  <c r="M990" i="5" a="1"/>
  <c r="M977" i="5" a="1"/>
  <c r="M785" i="5" a="1"/>
  <c r="M324" i="5" a="1"/>
  <c r="M73" i="5" a="1"/>
  <c r="M775" i="5" a="1"/>
  <c r="M912" i="5" a="1"/>
  <c r="M201" i="5" a="1"/>
  <c r="M811" i="5" a="1"/>
  <c r="M931" i="5" a="1"/>
  <c r="M161" i="5" a="1"/>
  <c r="M206" i="5" a="1"/>
  <c r="M739" i="5" a="1"/>
  <c r="M503" i="5" a="1"/>
  <c r="M629" i="5" a="1"/>
  <c r="M828" i="5" a="1"/>
  <c r="M852" i="5" a="1"/>
  <c r="M254" i="5" a="1"/>
  <c r="M604" i="5" a="1"/>
  <c r="M760" i="5" a="1"/>
  <c r="M577" i="5" a="1"/>
  <c r="M796" i="5" a="1"/>
  <c r="M840" i="5" a="1"/>
  <c r="M995" i="5" a="1"/>
  <c r="M469" i="5" a="1"/>
  <c r="M887" i="5" a="1"/>
  <c r="M410" i="5" a="1"/>
  <c r="M434" i="5" a="1"/>
  <c r="M670" i="5" a="1"/>
  <c r="M321" i="5" a="1"/>
  <c r="M396" i="5" a="1"/>
  <c r="M901" i="5" a="1"/>
  <c r="M385" i="5" a="1"/>
  <c r="M706" i="5" a="1"/>
  <c r="M424" i="5" a="1"/>
  <c r="M615" i="5" a="1"/>
  <c r="M516" i="5" a="1"/>
  <c r="M229" i="5" a="1"/>
  <c r="M344" i="5" a="1"/>
  <c r="M613" i="5" a="1"/>
  <c r="M261" i="5" a="1"/>
  <c r="M974" i="5" a="1"/>
  <c r="M279" i="5" a="1"/>
  <c r="M406" i="5" a="1"/>
  <c r="M350" i="5" a="1"/>
  <c r="M588" i="5" a="1"/>
  <c r="M871" i="5" a="1"/>
  <c r="M946" i="5" a="1"/>
  <c r="M458" i="5" a="1"/>
  <c r="M984" i="5" a="1"/>
  <c r="M108" i="5" a="1"/>
  <c r="M244" i="5" a="1"/>
  <c r="M795" i="5" a="1"/>
  <c r="M853" i="5" a="1"/>
  <c r="M198" i="5" a="1"/>
  <c r="M961" i="5" a="1"/>
  <c r="M833" i="5" a="1"/>
  <c r="M105" i="5" a="1"/>
  <c r="M295" i="5" a="1"/>
  <c r="M913" i="5" a="1"/>
  <c r="M605" i="5" a="1"/>
  <c r="M187" i="5" a="1"/>
  <c r="M123" i="5" a="1"/>
  <c r="M479" i="5" a="1"/>
  <c r="M451" i="5" a="1"/>
  <c r="M240" i="5" a="1"/>
  <c r="M231" i="5" a="1"/>
  <c r="M729" i="5" a="1"/>
  <c r="M834" i="5" a="1"/>
  <c r="M883" i="5" a="1"/>
  <c r="M816" i="5" a="1"/>
  <c r="M596" i="5" a="1"/>
  <c r="M682" i="5" a="1"/>
  <c r="M148" i="5" a="1"/>
  <c r="M99" i="5" a="1"/>
  <c r="M728" i="5" a="1"/>
  <c r="M623" i="5" a="1"/>
  <c r="M300" i="5" a="1"/>
  <c r="M918" i="5" a="1"/>
  <c r="M233" i="5" a="1"/>
  <c r="M540" i="5" a="1"/>
  <c r="M698" i="5" a="1"/>
  <c r="M733" i="5" a="1"/>
  <c r="M176" i="5" a="1"/>
  <c r="M637" i="5" a="1"/>
  <c r="M905" i="5" a="1"/>
  <c r="M156" i="5" a="1"/>
  <c r="M326" i="5" a="1"/>
  <c r="M847" i="5" a="1"/>
  <c r="M856" i="5" a="1"/>
  <c r="M502" i="5" a="1"/>
  <c r="M278" i="5" a="1"/>
  <c r="M289" i="5" a="1"/>
  <c r="M800" i="5" a="1"/>
  <c r="M210" i="5" a="1"/>
  <c r="M947" i="5" a="1"/>
  <c r="M749" i="5" a="1"/>
  <c r="M64" i="5" a="1"/>
  <c r="M557" i="5" a="1"/>
  <c r="M142" i="5" a="1"/>
  <c r="M101" i="5" a="1"/>
  <c r="M274" i="5" a="1"/>
  <c r="M808" i="5" a="1"/>
  <c r="M814" i="5" a="1"/>
  <c r="M342" i="5" a="1"/>
  <c r="M595" i="5" a="1"/>
  <c r="M821" i="5" a="1"/>
  <c r="M217" i="5" a="1"/>
  <c r="M125" i="5" a="1"/>
  <c r="M975" i="5" a="1"/>
  <c r="M957" i="5" a="1"/>
  <c r="M519" i="5" a="1"/>
  <c r="M594" i="5" a="1"/>
  <c r="M332" i="5" a="1"/>
  <c r="M486" i="5" a="1"/>
  <c r="M963" i="5" a="1"/>
  <c r="M900" i="5" a="1"/>
  <c r="M776" i="5" a="1"/>
  <c r="M531" i="5" a="1"/>
  <c r="M177" i="5" a="1"/>
  <c r="M803" i="5" a="1"/>
  <c r="M793" i="5" a="1"/>
  <c r="M841" i="5" a="1"/>
  <c r="M298" i="5" a="1"/>
  <c r="M823" i="5" a="1"/>
  <c r="M282" i="5" a="1"/>
  <c r="M303" i="5" a="1"/>
  <c r="M660" i="5" a="1"/>
  <c r="M663" i="5" a="1"/>
  <c r="M272" i="5" a="1"/>
  <c r="M664" i="5" a="1"/>
  <c r="M602" i="5" a="1"/>
  <c r="M930" i="5" a="1"/>
  <c r="M737" i="5" a="1"/>
  <c r="M257" i="5" a="1"/>
  <c r="M710" i="5" a="1"/>
  <c r="M528" i="5" a="1"/>
  <c r="M432" i="5" a="1"/>
  <c r="M162" i="5" a="1"/>
  <c r="M514" i="5" a="1"/>
  <c r="M968" i="5" a="1"/>
  <c r="M790" i="5" a="1"/>
  <c r="M753" i="5" a="1"/>
  <c r="M351" i="5" a="1"/>
  <c r="M100" i="5" a="1"/>
  <c r="M119" i="5" a="1"/>
  <c r="M794" i="5" a="1"/>
  <c r="M545" i="5" a="1"/>
  <c r="M742" i="5" a="1"/>
  <c r="M251" i="5" a="1"/>
  <c r="M280" i="5" a="1"/>
  <c r="M330" i="5" a="1"/>
  <c r="M166" i="5" a="1"/>
  <c r="M960" i="5" a="1"/>
  <c r="M392" i="5" a="1"/>
  <c r="M958" i="5" a="1"/>
  <c r="M998" i="5" a="1"/>
  <c r="M565" i="5" a="1"/>
  <c r="M423" i="5" a="1"/>
  <c r="M457" i="5" a="1"/>
  <c r="M347" i="5" a="1"/>
  <c r="M306" i="5" a="1"/>
  <c r="M394" i="5" a="1"/>
  <c r="M277" i="5" a="1"/>
  <c r="M323" i="5" a="1"/>
  <c r="M226" i="5" a="1"/>
  <c r="M830" i="5" a="1"/>
  <c r="M665" i="5" a="1"/>
  <c r="M94" i="5" a="1"/>
  <c r="M644" i="5" a="1"/>
  <c r="M307" i="5" a="1"/>
  <c r="M337" i="5" a="1"/>
  <c r="M329" i="5" a="1"/>
  <c r="M429" i="5" a="1"/>
  <c r="M738" i="5" a="1"/>
  <c r="M135" i="5" a="1"/>
  <c r="M250" i="5" a="1"/>
  <c r="M765" i="5" a="1"/>
  <c r="M242" i="5" a="1"/>
  <c r="M593" i="5" a="1"/>
  <c r="M915" i="5" a="1"/>
  <c r="M981" i="5" a="1"/>
  <c r="M941" i="5" a="1"/>
  <c r="M574" i="5" a="1"/>
  <c r="M570" i="5" a="1"/>
  <c r="M384" i="5" a="1"/>
  <c r="M712" i="5" a="1"/>
  <c r="M735" i="5" a="1"/>
  <c r="M599" i="5" a="1"/>
  <c r="M482" i="5" a="1"/>
  <c r="M57" i="5" a="1"/>
  <c r="M869" i="5" a="1"/>
  <c r="M985" i="5" a="1"/>
  <c r="M189" i="5" a="1"/>
  <c r="M305" i="5" a="1"/>
  <c r="M606" i="5" a="1"/>
  <c r="M935" i="5" a="1"/>
  <c r="M383" i="5" a="1"/>
  <c r="M910" i="5" a="1"/>
  <c r="M668" i="5" a="1"/>
  <c r="M393" i="5" a="1"/>
  <c r="M505" i="5" a="1"/>
  <c r="M495" i="5" a="1"/>
  <c r="M809" i="5" a="1"/>
  <c r="M697" i="5" a="1"/>
  <c r="M301" i="5" a="1"/>
  <c r="M750" i="5" a="1"/>
  <c r="M784" i="5" a="1"/>
  <c r="M378" i="5" a="1"/>
  <c r="M71" i="5" a="1"/>
  <c r="M787" i="5" a="1"/>
  <c r="M50" i="5" a="1"/>
  <c r="M640" i="5" a="1"/>
  <c r="M114" i="5" a="1"/>
  <c r="M221" i="5" a="1"/>
  <c r="M746" i="5" a="1"/>
  <c r="M471" i="5" a="1"/>
  <c r="M983" i="5" a="1"/>
  <c r="M522" i="5" a="1"/>
  <c r="M356" i="5" a="1"/>
  <c r="M855" i="5" a="1"/>
  <c r="M987" i="5" a="1"/>
  <c r="M456" i="5" a="1"/>
  <c r="M773" i="5" a="1"/>
  <c r="M66" i="5" a="1"/>
  <c r="M62" i="5" a="1"/>
  <c r="M69" i="5" a="1"/>
  <c r="M678" i="5" a="1"/>
  <c r="M526" i="5" a="1"/>
  <c r="M730" i="5" a="1"/>
  <c r="M701" i="5" a="1"/>
  <c r="M873" i="5" a="1"/>
  <c r="M719" i="5" a="1"/>
  <c r="M645" i="5" a="1"/>
  <c r="M692" i="5" a="1"/>
  <c r="M266" i="5" a="1"/>
  <c r="M96" i="5" a="1"/>
  <c r="M716" i="5" a="1"/>
  <c r="M88" i="5" a="1"/>
  <c r="M468" i="5" a="1"/>
  <c r="M641" i="5" a="1"/>
  <c r="M183" i="5" a="1"/>
  <c r="M93" i="5" a="1"/>
  <c r="M171" i="5" a="1"/>
  <c r="M955" i="5" a="1"/>
  <c r="M147" i="5" a="1"/>
  <c r="M343" i="5" a="1"/>
  <c r="M126" i="5" a="1"/>
  <c r="M106" i="5" a="1"/>
  <c r="M693" i="5" a="1"/>
  <c r="M759" i="5" a="1"/>
  <c r="M164" i="5" a="1"/>
  <c r="M460" i="5" a="1"/>
  <c r="M789" i="5" a="1"/>
  <c r="M382" i="5" a="1"/>
  <c r="M102" i="5" a="1"/>
  <c r="M569" i="5" a="1"/>
  <c r="M662" i="5" a="1"/>
  <c r="M944" i="5" a="1"/>
  <c r="M812" i="5" a="1"/>
  <c r="M84" i="5" a="1"/>
  <c r="M611" i="5" a="1"/>
  <c r="M851" i="5" a="1"/>
  <c r="M654" i="5" a="1"/>
  <c r="M435" i="5" a="1"/>
  <c r="M536" i="5" a="1"/>
  <c r="M909" i="5" a="1"/>
  <c r="M151" i="5" a="1"/>
  <c r="M138" i="5" a="1"/>
  <c r="M925" i="5" a="1"/>
  <c r="M224" i="5" a="1"/>
  <c r="M218" i="5" a="1"/>
  <c r="M842" i="5" a="1"/>
  <c r="M425" i="5" a="1"/>
  <c r="M798" i="5" a="1"/>
  <c r="M358" i="5" a="1"/>
  <c r="M320" i="5" a="1"/>
  <c r="M234" i="5" a="1"/>
  <c r="M616" i="5" a="1"/>
  <c r="M568" i="5" a="1"/>
  <c r="M562" i="5" a="1"/>
  <c r="M404" i="5" a="1"/>
  <c r="M369" i="5" a="1"/>
  <c r="M346" i="5" a="1"/>
  <c r="M389" i="5" a="1"/>
  <c r="M395" i="5" a="1"/>
  <c r="M363" i="5" a="1"/>
  <c r="M132" i="5" a="1"/>
  <c r="M405" i="5" a="1"/>
  <c r="M686" i="5" a="1"/>
  <c r="M627" i="5" a="1"/>
  <c r="M200" i="5" a="1"/>
  <c r="M956" i="5" a="1"/>
  <c r="M953" i="5" a="1"/>
  <c r="M208" i="5" a="1"/>
  <c r="M489" i="5" a="1"/>
  <c r="M769" i="5" a="1"/>
  <c r="M673" i="5" a="1"/>
  <c r="M810" i="5" a="1"/>
  <c r="M874" i="5" a="1"/>
  <c r="M52" i="5" a="1"/>
  <c r="M131" i="5" a="1"/>
  <c r="M991" i="5" a="1"/>
  <c r="M336" i="5" a="1"/>
  <c r="M116" i="5" a="1"/>
  <c r="M886" i="5" a="1"/>
  <c r="M118" i="5" a="1"/>
  <c r="M255" i="5" a="1"/>
  <c r="M906" i="5" a="1"/>
  <c r="M892" i="5" a="1"/>
  <c r="M494" i="5" a="1"/>
  <c r="M763" i="5" a="1"/>
  <c r="M309" i="5" a="1"/>
  <c r="M297" i="5" a="1"/>
  <c r="M938" i="5" a="1"/>
  <c r="M671" i="5" a="1"/>
  <c r="M559" i="5" a="1"/>
  <c r="M478" i="5" a="1"/>
  <c r="M646" i="5" a="1"/>
  <c r="M948" i="5" a="1"/>
  <c r="M85" i="5" a="1"/>
  <c r="M617" i="5" a="1"/>
  <c r="M966" i="5" a="1"/>
  <c r="M657" i="5" a="1"/>
  <c r="M971" i="5" a="1"/>
  <c r="M932" i="5" a="1"/>
  <c r="M554" i="5" a="1"/>
  <c r="M70" i="5" a="1"/>
  <c r="M97" i="5" a="1"/>
  <c r="M921" i="5" a="1"/>
  <c r="M544" i="5" a="1"/>
  <c r="M897" i="5" a="1"/>
  <c r="M835" i="5" a="1"/>
  <c r="M89" i="5" a="1"/>
  <c r="M122" i="5" a="1"/>
  <c r="M269" i="5" a="1"/>
  <c r="M120" i="5" a="1"/>
  <c r="M362" i="5" a="1"/>
  <c r="M338" i="5" a="1"/>
  <c r="M168" i="5" a="1"/>
  <c r="M667" i="5" a="1"/>
  <c r="M357" i="5" a="1"/>
  <c r="M204" i="5" a="1"/>
  <c r="M552" i="5" a="1"/>
  <c r="M636" i="5" a="1"/>
  <c r="M169" i="5" a="1"/>
  <c r="M630" i="5" a="1"/>
  <c r="M839" i="5" a="1"/>
  <c r="M149" i="5" a="1"/>
  <c r="M82" i="5" a="1"/>
  <c r="M292" i="5" a="1"/>
  <c r="M213" i="5" a="1"/>
  <c r="M635" i="5" a="1"/>
  <c r="M807" i="5" a="1"/>
  <c r="M140" i="5" a="1"/>
  <c r="M354" i="5" a="1"/>
  <c r="M112" i="5" a="1"/>
  <c r="M51" i="5" a="1"/>
  <c r="M286" i="5" a="1"/>
  <c r="M239" i="5" a="1"/>
  <c r="M296" i="5" a="1"/>
  <c r="M440" i="5" a="1"/>
  <c r="M651" i="5" a="1"/>
  <c r="M904" i="5" a="1"/>
  <c r="M248" i="5" a="1"/>
  <c r="M626" i="5" a="1"/>
  <c r="M942" i="5" a="1"/>
  <c r="M558" i="5" a="1"/>
  <c r="M179" i="5" a="1"/>
  <c r="M420" i="5" a="1"/>
  <c r="M492" i="5" a="1"/>
  <c r="M648" i="5" a="1"/>
  <c r="M600" i="5" a="1"/>
  <c r="M969" i="5" a="1"/>
  <c r="M702" i="5" a="1"/>
  <c r="M866" i="5" a="1"/>
  <c r="M675" i="5" a="1"/>
  <c r="M534" i="5" a="1"/>
  <c r="M755" i="5" a="1"/>
  <c r="M571" i="5" a="1"/>
  <c r="M185" i="5" a="1"/>
  <c r="M573" i="5" a="1"/>
  <c r="M758" i="5" a="1"/>
  <c r="M564" i="5" a="1"/>
  <c r="M609" i="5" a="1"/>
  <c r="M805" i="5" a="1"/>
  <c r="M999" i="5" a="1"/>
  <c r="M711" i="5" a="1"/>
  <c r="M259" i="5" a="1"/>
  <c r="M741" i="5" a="1"/>
  <c r="M61" i="5" a="1"/>
  <c r="M352" i="5" a="1"/>
  <c r="E13" i="3" l="1"/>
  <c r="B15" i="3"/>
  <c r="K1" i="2"/>
  <c r="I1" i="2"/>
  <c r="B14" i="3"/>
  <c r="J1" i="2"/>
  <c r="H1" i="2"/>
  <c r="M437" i="5"/>
  <c r="S437" i="5" s="1"/>
  <c r="M409" i="5"/>
  <c r="S409" i="5" s="1"/>
  <c r="M770" i="5"/>
  <c r="S770" i="5" s="1"/>
  <c r="M601" i="5"/>
  <c r="S601" i="5" s="1"/>
  <c r="M819" i="5"/>
  <c r="S819" i="5" s="1"/>
  <c r="M622" i="5"/>
  <c r="S622" i="5" s="1"/>
  <c r="M950" i="5"/>
  <c r="S950" i="5" s="1"/>
  <c r="M886" i="5"/>
  <c r="S886" i="5" s="1"/>
  <c r="M994" i="5"/>
  <c r="S994" i="5" s="1"/>
  <c r="M460" i="5"/>
  <c r="S460" i="5" s="1"/>
  <c r="M981" i="5"/>
  <c r="S981" i="5" s="1"/>
  <c r="M926" i="5"/>
  <c r="S926" i="5" s="1"/>
  <c r="M592" i="5"/>
  <c r="S592" i="5" s="1"/>
  <c r="M505" i="5"/>
  <c r="S505" i="5" s="1"/>
  <c r="M923" i="5"/>
  <c r="S923" i="5" s="1"/>
  <c r="M904" i="5"/>
  <c r="S904" i="5" s="1"/>
  <c r="M872" i="5"/>
  <c r="S872" i="5" s="1"/>
  <c r="M456" i="5"/>
  <c r="S456" i="5" s="1"/>
  <c r="M806" i="5"/>
  <c r="S806" i="5" s="1"/>
  <c r="M677" i="5"/>
  <c r="S677" i="5" s="1"/>
  <c r="M646" i="5"/>
  <c r="S646" i="5" s="1"/>
  <c r="M605" i="5"/>
  <c r="S605" i="5" s="1"/>
  <c r="M477" i="5"/>
  <c r="S477" i="5" s="1"/>
  <c r="M997" i="5"/>
  <c r="S997" i="5" s="1"/>
  <c r="M810" i="5"/>
  <c r="S810" i="5" s="1"/>
  <c r="M673" i="5"/>
  <c r="S673" i="5" s="1"/>
  <c r="M957" i="5"/>
  <c r="S957" i="5" s="1"/>
  <c r="M826" i="5"/>
  <c r="S826" i="5" s="1"/>
  <c r="M962" i="5"/>
  <c r="S962" i="5" s="1"/>
  <c r="M858" i="5"/>
  <c r="S858" i="5" s="1"/>
  <c r="M751" i="5"/>
  <c r="S751" i="5" s="1"/>
  <c r="M694" i="5"/>
  <c r="S694" i="5" s="1"/>
  <c r="M658" i="5"/>
  <c r="S658" i="5" s="1"/>
  <c r="M510" i="5"/>
  <c r="S510" i="5" s="1"/>
  <c r="M812" i="5"/>
  <c r="S812" i="5" s="1"/>
  <c r="M743" i="5"/>
  <c r="S743" i="5" s="1"/>
  <c r="M683" i="5"/>
  <c r="S683" i="5" s="1"/>
  <c r="M977" i="5"/>
  <c r="S977" i="5" s="1"/>
  <c r="M844" i="5"/>
  <c r="S844" i="5" s="1"/>
  <c r="M617" i="5"/>
  <c r="S617" i="5" s="1"/>
  <c r="M599" i="5"/>
  <c r="S599" i="5" s="1"/>
  <c r="M563" i="5"/>
  <c r="S563" i="5" s="1"/>
  <c r="M797" i="5"/>
  <c r="S797" i="5" s="1"/>
  <c r="M656" i="5"/>
  <c r="S656" i="5" s="1"/>
  <c r="M490" i="5"/>
  <c r="S490" i="5" s="1"/>
  <c r="M664" i="5"/>
  <c r="S664" i="5" s="1"/>
  <c r="M475" i="5"/>
  <c r="S475" i="5" s="1"/>
  <c r="M842" i="5"/>
  <c r="S842" i="5" s="1"/>
  <c r="M564" i="5"/>
  <c r="S564" i="5" s="1"/>
  <c r="M909" i="5"/>
  <c r="S909" i="5" s="1"/>
  <c r="M492" i="5"/>
  <c r="S492" i="5" s="1"/>
  <c r="M879" i="5"/>
  <c r="S879" i="5" s="1"/>
  <c r="M833" i="5"/>
  <c r="S833" i="5" s="1"/>
  <c r="M795" i="5"/>
  <c r="S795" i="5" s="1"/>
  <c r="M778" i="5"/>
  <c r="S778" i="5" s="1"/>
  <c r="M729" i="5"/>
  <c r="S729" i="5" s="1"/>
  <c r="M566" i="5"/>
  <c r="S566" i="5" s="1"/>
  <c r="M545" i="5"/>
  <c r="S545" i="5" s="1"/>
  <c r="M345" i="5"/>
  <c r="S345" i="5" s="1"/>
  <c r="M989" i="5"/>
  <c r="S989" i="5" s="1"/>
  <c r="M835" i="5"/>
  <c r="S835" i="5" s="1"/>
  <c r="M698" i="5"/>
  <c r="S698" i="5" s="1"/>
  <c r="M942" i="5"/>
  <c r="S942" i="5" s="1"/>
  <c r="M851" i="5"/>
  <c r="S851" i="5" s="1"/>
  <c r="M619" i="5"/>
  <c r="S619" i="5" s="1"/>
  <c r="M837" i="5"/>
  <c r="S837" i="5" s="1"/>
  <c r="M982" i="5"/>
  <c r="S982" i="5" s="1"/>
  <c r="M974" i="5"/>
  <c r="S974" i="5" s="1"/>
  <c r="M671" i="5"/>
  <c r="S671" i="5" s="1"/>
  <c r="M654" i="5"/>
  <c r="S654" i="5" s="1"/>
  <c r="M512" i="5"/>
  <c r="S512" i="5" s="1"/>
  <c r="M397" i="5"/>
  <c r="S397" i="5" s="1"/>
  <c r="M240" i="5"/>
  <c r="S240" i="5" s="1"/>
  <c r="M945" i="5"/>
  <c r="S945" i="5" s="1"/>
  <c r="M503" i="5"/>
  <c r="S503" i="5" s="1"/>
  <c r="M252" i="5"/>
  <c r="S252" i="5" s="1"/>
  <c r="M357" i="5"/>
  <c r="S357" i="5" s="1"/>
  <c r="M706" i="5"/>
  <c r="S706" i="5" s="1"/>
  <c r="M639" i="5"/>
  <c r="S639" i="5" s="1"/>
  <c r="M883" i="5"/>
  <c r="S883" i="5" s="1"/>
  <c r="M692" i="5"/>
  <c r="S692" i="5" s="1"/>
  <c r="M523" i="5"/>
  <c r="S523" i="5" s="1"/>
  <c r="M445" i="5"/>
  <c r="S445" i="5" s="1"/>
  <c r="M733" i="5"/>
  <c r="S733" i="5" s="1"/>
  <c r="M585" i="5"/>
  <c r="S585" i="5" s="1"/>
  <c r="M949" i="5"/>
  <c r="S949" i="5" s="1"/>
  <c r="M893" i="5"/>
  <c r="S893" i="5" s="1"/>
  <c r="M874" i="5"/>
  <c r="S874" i="5" s="1"/>
  <c r="M776" i="5"/>
  <c r="S776" i="5" s="1"/>
  <c r="M735" i="5"/>
  <c r="S735" i="5" s="1"/>
  <c r="M426" i="5"/>
  <c r="S426" i="5" s="1"/>
  <c r="M933" i="5"/>
  <c r="S933" i="5" s="1"/>
  <c r="M666" i="5"/>
  <c r="S666" i="5" s="1"/>
  <c r="M392" i="5"/>
  <c r="S392" i="5" s="1"/>
  <c r="M914" i="5"/>
  <c r="S914" i="5" s="1"/>
  <c r="M935" i="5"/>
  <c r="S935" i="5" s="1"/>
  <c r="M865" i="5"/>
  <c r="S865" i="5" s="1"/>
  <c r="M916" i="5"/>
  <c r="S916" i="5" s="1"/>
  <c r="M709" i="5"/>
  <c r="S709" i="5" s="1"/>
  <c r="M704" i="5"/>
  <c r="S704" i="5" s="1"/>
  <c r="M682" i="5"/>
  <c r="S682" i="5" s="1"/>
  <c r="M648" i="5"/>
  <c r="S648" i="5" s="1"/>
  <c r="M515" i="5"/>
  <c r="S515" i="5" s="1"/>
  <c r="M482" i="5"/>
  <c r="S482" i="5" s="1"/>
  <c r="M255" i="5"/>
  <c r="S255" i="5" s="1"/>
  <c r="M900" i="5"/>
  <c r="S900" i="5" s="1"/>
  <c r="M861" i="5"/>
  <c r="S861" i="5" s="1"/>
  <c r="M741" i="5"/>
  <c r="S741" i="5" s="1"/>
  <c r="M716" i="5"/>
  <c r="S716" i="5" s="1"/>
  <c r="M527" i="5"/>
  <c r="S527" i="5" s="1"/>
  <c r="M439" i="5"/>
  <c r="S439" i="5" s="1"/>
  <c r="M282" i="5"/>
  <c r="S282" i="5" s="1"/>
  <c r="M756" i="5"/>
  <c r="S756" i="5" s="1"/>
  <c r="M720" i="5"/>
  <c r="S720" i="5" s="1"/>
  <c r="M227" i="5"/>
  <c r="S227" i="5" s="1"/>
  <c r="M829" i="5"/>
  <c r="S829" i="5" s="1"/>
  <c r="M758" i="5"/>
  <c r="S758" i="5" s="1"/>
  <c r="M649" i="5"/>
  <c r="S649" i="5" s="1"/>
  <c r="M376" i="5"/>
  <c r="S376" i="5" s="1"/>
  <c r="M72" i="5"/>
  <c r="S72" i="5" s="1"/>
  <c r="M941" i="5"/>
  <c r="S941" i="5" s="1"/>
  <c r="M760" i="5"/>
  <c r="S760" i="5" s="1"/>
  <c r="M726" i="5"/>
  <c r="S726" i="5" s="1"/>
  <c r="M636" i="5"/>
  <c r="S636" i="5" s="1"/>
  <c r="M627" i="5"/>
  <c r="S627" i="5" s="1"/>
  <c r="M614" i="5"/>
  <c r="S614" i="5" s="1"/>
  <c r="M748" i="5"/>
  <c r="S748" i="5" s="1"/>
  <c r="M670" i="5"/>
  <c r="S670" i="5" s="1"/>
  <c r="M584" i="5"/>
  <c r="S584" i="5" s="1"/>
  <c r="M352" i="5"/>
  <c r="S352" i="5" s="1"/>
  <c r="M50" i="5"/>
  <c r="S50" i="5" s="1"/>
  <c r="M978" i="5"/>
  <c r="S978" i="5" s="1"/>
  <c r="M750" i="5"/>
  <c r="S750" i="5" s="1"/>
  <c r="M730" i="5"/>
  <c r="S730" i="5" s="1"/>
  <c r="M551" i="5"/>
  <c r="S551" i="5" s="1"/>
  <c r="M62" i="5"/>
  <c r="S62" i="5" s="1"/>
  <c r="M993" i="5"/>
  <c r="S993" i="5" s="1"/>
  <c r="M792" i="5"/>
  <c r="S792" i="5" s="1"/>
  <c r="M767" i="5"/>
  <c r="S767" i="5" s="1"/>
  <c r="M684" i="5"/>
  <c r="S684" i="5" s="1"/>
  <c r="M586" i="5"/>
  <c r="S586" i="5" s="1"/>
  <c r="M290" i="5"/>
  <c r="S290" i="5" s="1"/>
  <c r="M998" i="5"/>
  <c r="S998" i="5" s="1"/>
  <c r="M878" i="5"/>
  <c r="S878" i="5" s="1"/>
  <c r="M871" i="5"/>
  <c r="S871" i="5" s="1"/>
  <c r="M853" i="5"/>
  <c r="S853" i="5" s="1"/>
  <c r="M805" i="5"/>
  <c r="S805" i="5" s="1"/>
  <c r="M590" i="5"/>
  <c r="S590" i="5" s="1"/>
  <c r="M588" i="5"/>
  <c r="S588" i="5" s="1"/>
  <c r="M576" i="5"/>
  <c r="S576" i="5" s="1"/>
  <c r="M543" i="5"/>
  <c r="S543" i="5" s="1"/>
  <c r="M531" i="5"/>
  <c r="S531" i="5" s="1"/>
  <c r="M519" i="5"/>
  <c r="S519" i="5" s="1"/>
  <c r="M506" i="5"/>
  <c r="S506" i="5" s="1"/>
  <c r="M349" i="5"/>
  <c r="S349" i="5" s="1"/>
  <c r="M925" i="5"/>
  <c r="S925" i="5" s="1"/>
  <c r="M899" i="5"/>
  <c r="S899" i="5" s="1"/>
  <c r="M860" i="5"/>
  <c r="S860" i="5" s="1"/>
  <c r="M816" i="5"/>
  <c r="S816" i="5" s="1"/>
  <c r="M788" i="5"/>
  <c r="S788" i="5" s="1"/>
  <c r="M642" i="5"/>
  <c r="S642" i="5" s="1"/>
  <c r="M435" i="5"/>
  <c r="S435" i="5" s="1"/>
  <c r="M115" i="5"/>
  <c r="S115" i="5" s="1"/>
  <c r="M804" i="5"/>
  <c r="S804" i="5" s="1"/>
  <c r="M710" i="5"/>
  <c r="S710" i="5" s="1"/>
  <c r="M568" i="5"/>
  <c r="S568" i="5" s="1"/>
  <c r="M420" i="5"/>
  <c r="S420" i="5" s="1"/>
  <c r="M394" i="5"/>
  <c r="S394" i="5" s="1"/>
  <c r="M789" i="5"/>
  <c r="S789" i="5" s="1"/>
  <c r="M689" i="5"/>
  <c r="S689" i="5" s="1"/>
  <c r="M525" i="5"/>
  <c r="S525" i="5" s="1"/>
  <c r="M953" i="5"/>
  <c r="S953" i="5" s="1"/>
  <c r="M822" i="5"/>
  <c r="S822" i="5" s="1"/>
  <c r="M722" i="5"/>
  <c r="S722" i="5" s="1"/>
  <c r="M668" i="5"/>
  <c r="S668" i="5" s="1"/>
  <c r="M653" i="5"/>
  <c r="S653" i="5" s="1"/>
  <c r="M645" i="5"/>
  <c r="S645" i="5" s="1"/>
  <c r="M612" i="5"/>
  <c r="S612" i="5" s="1"/>
  <c r="M598" i="5"/>
  <c r="S598" i="5" s="1"/>
  <c r="M572" i="5"/>
  <c r="S572" i="5" s="1"/>
  <c r="M958" i="5"/>
  <c r="S958" i="5" s="1"/>
  <c r="M924" i="5"/>
  <c r="S924" i="5" s="1"/>
  <c r="M896" i="5"/>
  <c r="S896" i="5" s="1"/>
  <c r="M574" i="5"/>
  <c r="S574" i="5" s="1"/>
  <c r="M850" i="5"/>
  <c r="S850" i="5" s="1"/>
  <c r="M836" i="5"/>
  <c r="S836" i="5" s="1"/>
  <c r="M827" i="5"/>
  <c r="S827" i="5" s="1"/>
  <c r="M794" i="5"/>
  <c r="S794" i="5" s="1"/>
  <c r="M773" i="5"/>
  <c r="S773" i="5" s="1"/>
  <c r="M746" i="5"/>
  <c r="S746" i="5" s="1"/>
  <c r="M663" i="5"/>
  <c r="S663" i="5" s="1"/>
  <c r="M634" i="5"/>
  <c r="S634" i="5" s="1"/>
  <c r="M618" i="5"/>
  <c r="S618" i="5" s="1"/>
  <c r="M534" i="5"/>
  <c r="S534" i="5" s="1"/>
  <c r="M473" i="5"/>
  <c r="S473" i="5" s="1"/>
  <c r="M399" i="5"/>
  <c r="S399" i="5" s="1"/>
  <c r="M344" i="5"/>
  <c r="S344" i="5" s="1"/>
  <c r="M809" i="5"/>
  <c r="S809" i="5" s="1"/>
  <c r="M800" i="5"/>
  <c r="S800" i="5" s="1"/>
  <c r="M796" i="5"/>
  <c r="S796" i="5" s="1"/>
  <c r="M629" i="5"/>
  <c r="S629" i="5" s="1"/>
  <c r="M553" i="5"/>
  <c r="S553" i="5" s="1"/>
  <c r="M786" i="5"/>
  <c r="S786" i="5" s="1"/>
  <c r="M765" i="5"/>
  <c r="S765" i="5" s="1"/>
  <c r="M738" i="5"/>
  <c r="S738" i="5" s="1"/>
  <c r="M661" i="5"/>
  <c r="S661" i="5" s="1"/>
  <c r="M901" i="5"/>
  <c r="S901" i="5" s="1"/>
  <c r="M832" i="5"/>
  <c r="S832" i="5" s="1"/>
  <c r="M703" i="5"/>
  <c r="S703" i="5" s="1"/>
  <c r="M680" i="5"/>
  <c r="S680" i="5" s="1"/>
  <c r="M620" i="5"/>
  <c r="S620" i="5" s="1"/>
  <c r="M611" i="5"/>
  <c r="S611" i="5" s="1"/>
  <c r="M954" i="5"/>
  <c r="S954" i="5" s="1"/>
  <c r="M937" i="5"/>
  <c r="S937" i="5" s="1"/>
  <c r="M920" i="5"/>
  <c r="S920" i="5" s="1"/>
  <c r="M906" i="5"/>
  <c r="S906" i="5" s="1"/>
  <c r="M869" i="5"/>
  <c r="S869" i="5" s="1"/>
  <c r="M846" i="5"/>
  <c r="S846" i="5" s="1"/>
  <c r="M839" i="5"/>
  <c r="S839" i="5" s="1"/>
  <c r="M821" i="5"/>
  <c r="S821" i="5" s="1"/>
  <c r="M814" i="5"/>
  <c r="S814" i="5" s="1"/>
  <c r="M790" i="5"/>
  <c r="S790" i="5" s="1"/>
  <c r="M761" i="5"/>
  <c r="S761" i="5" s="1"/>
  <c r="M757" i="5"/>
  <c r="S757" i="5" s="1"/>
  <c r="M725" i="5"/>
  <c r="S725" i="5" s="1"/>
  <c r="M701" i="5"/>
  <c r="S701" i="5" s="1"/>
  <c r="M557" i="5"/>
  <c r="S557" i="5" s="1"/>
  <c r="M488" i="5"/>
  <c r="S488" i="5" s="1"/>
  <c r="M907" i="5"/>
  <c r="S907" i="5" s="1"/>
  <c r="M847" i="5"/>
  <c r="S847" i="5" s="1"/>
  <c r="M840" i="5"/>
  <c r="S840" i="5" s="1"/>
  <c r="M594" i="5"/>
  <c r="S594" i="5" s="1"/>
  <c r="M577" i="5"/>
  <c r="S577" i="5" s="1"/>
  <c r="M417" i="5"/>
  <c r="S417" i="5" s="1"/>
  <c r="M970" i="5"/>
  <c r="S970" i="5" s="1"/>
  <c r="M931" i="5"/>
  <c r="S931" i="5" s="1"/>
  <c r="M912" i="5"/>
  <c r="S912" i="5" s="1"/>
  <c r="M889" i="5"/>
  <c r="S889" i="5" s="1"/>
  <c r="M815" i="5"/>
  <c r="S815" i="5" s="1"/>
  <c r="M762" i="5"/>
  <c r="S762" i="5" s="1"/>
  <c r="M537" i="5"/>
  <c r="S537" i="5" s="1"/>
  <c r="M882" i="5"/>
  <c r="S882" i="5" s="1"/>
  <c r="M868" i="5"/>
  <c r="S868" i="5" s="1"/>
  <c r="M607" i="5"/>
  <c r="S607" i="5" s="1"/>
  <c r="M591" i="5"/>
  <c r="S591" i="5" s="1"/>
  <c r="M579" i="5"/>
  <c r="S579" i="5" s="1"/>
  <c r="M570" i="5"/>
  <c r="S570" i="5" s="1"/>
  <c r="M388" i="5"/>
  <c r="S388" i="5" s="1"/>
  <c r="M335" i="5"/>
  <c r="S335" i="5" s="1"/>
  <c r="M990" i="5"/>
  <c r="S990" i="5" s="1"/>
  <c r="M905" i="5"/>
  <c r="S905" i="5" s="1"/>
  <c r="M875" i="5"/>
  <c r="S875" i="5" s="1"/>
  <c r="M973" i="5"/>
  <c r="S973" i="5" s="1"/>
  <c r="M903" i="5"/>
  <c r="S903" i="5" s="1"/>
  <c r="M777" i="5"/>
  <c r="S777" i="5" s="1"/>
  <c r="M625" i="5"/>
  <c r="S625" i="5" s="1"/>
  <c r="M609" i="5"/>
  <c r="S609" i="5" s="1"/>
  <c r="M946" i="5"/>
  <c r="S946" i="5" s="1"/>
  <c r="M676" i="5"/>
  <c r="S676" i="5" s="1"/>
  <c r="M562" i="5"/>
  <c r="S562" i="5" s="1"/>
  <c r="M961" i="5"/>
  <c r="S961" i="5" s="1"/>
  <c r="M922" i="5"/>
  <c r="S922" i="5" s="1"/>
  <c r="M892" i="5"/>
  <c r="S892" i="5" s="1"/>
  <c r="M834" i="5"/>
  <c r="S834" i="5" s="1"/>
  <c r="M818" i="5"/>
  <c r="S818" i="5" s="1"/>
  <c r="M807" i="5"/>
  <c r="S807" i="5" s="1"/>
  <c r="M769" i="5"/>
  <c r="S769" i="5" s="1"/>
  <c r="M744" i="5"/>
  <c r="S744" i="5" s="1"/>
  <c r="M659" i="5"/>
  <c r="S659" i="5" s="1"/>
  <c r="M939" i="5"/>
  <c r="S939" i="5" s="1"/>
  <c r="M908" i="5"/>
  <c r="S908" i="5" s="1"/>
  <c r="M986" i="5"/>
  <c r="S986" i="5" s="1"/>
  <c r="M930" i="5"/>
  <c r="S930" i="5" s="1"/>
  <c r="M918" i="5"/>
  <c r="S918" i="5" s="1"/>
  <c r="M911" i="5"/>
  <c r="S911" i="5" s="1"/>
  <c r="M897" i="5"/>
  <c r="S897" i="5" s="1"/>
  <c r="M890" i="5"/>
  <c r="S890" i="5" s="1"/>
  <c r="M876" i="5"/>
  <c r="S876" i="5" s="1"/>
  <c r="M867" i="5"/>
  <c r="S867" i="5" s="1"/>
  <c r="M828" i="5"/>
  <c r="S828" i="5" s="1"/>
  <c r="M803" i="5"/>
  <c r="S803" i="5" s="1"/>
  <c r="M782" i="5"/>
  <c r="S782" i="5" s="1"/>
  <c r="M759" i="5"/>
  <c r="S759" i="5" s="1"/>
  <c r="M723" i="5"/>
  <c r="S723" i="5" s="1"/>
  <c r="M713" i="5"/>
  <c r="S713" i="5" s="1"/>
  <c r="M711" i="5"/>
  <c r="S711" i="5" s="1"/>
  <c r="M690" i="5"/>
  <c r="S690" i="5" s="1"/>
  <c r="M644" i="5"/>
  <c r="S644" i="5" s="1"/>
  <c r="M633" i="5"/>
  <c r="S633" i="5" s="1"/>
  <c r="M624" i="5"/>
  <c r="S624" i="5" s="1"/>
  <c r="M597" i="5"/>
  <c r="S597" i="5" s="1"/>
  <c r="M578" i="5"/>
  <c r="S578" i="5" s="1"/>
  <c r="M571" i="5"/>
  <c r="S571" i="5" s="1"/>
  <c r="M559" i="5"/>
  <c r="S559" i="5" s="1"/>
  <c r="M555" i="5"/>
  <c r="S555" i="5" s="1"/>
  <c r="M547" i="5"/>
  <c r="S547" i="5" s="1"/>
  <c r="M508" i="5"/>
  <c r="S508" i="5" s="1"/>
  <c r="M415" i="5"/>
  <c r="S415" i="5" s="1"/>
  <c r="M172" i="5"/>
  <c r="S172" i="5" s="1"/>
  <c r="M965" i="5"/>
  <c r="S965" i="5" s="1"/>
  <c r="M854" i="5"/>
  <c r="S854" i="5" s="1"/>
  <c r="M708" i="5"/>
  <c r="S708" i="5" s="1"/>
  <c r="M685" i="5"/>
  <c r="S685" i="5" s="1"/>
  <c r="M651" i="5"/>
  <c r="S651" i="5" s="1"/>
  <c r="M643" i="5"/>
  <c r="S643" i="5" s="1"/>
  <c r="M582" i="5"/>
  <c r="S582" i="5" s="1"/>
  <c r="M938" i="5"/>
  <c r="S938" i="5" s="1"/>
  <c r="M596" i="5"/>
  <c r="S596" i="5" s="1"/>
  <c r="M484" i="5"/>
  <c r="S484" i="5" s="1"/>
  <c r="M465" i="5"/>
  <c r="S465" i="5" s="1"/>
  <c r="M332" i="5"/>
  <c r="S332" i="5" s="1"/>
  <c r="M985" i="5"/>
  <c r="S985" i="5" s="1"/>
  <c r="M919" i="5"/>
  <c r="S919" i="5" s="1"/>
  <c r="M813" i="5"/>
  <c r="S813" i="5" s="1"/>
  <c r="M857" i="5"/>
  <c r="S857" i="5" s="1"/>
  <c r="M781" i="5"/>
  <c r="S781" i="5" s="1"/>
  <c r="M754" i="5"/>
  <c r="S754" i="5" s="1"/>
  <c r="M728" i="5"/>
  <c r="S728" i="5" s="1"/>
  <c r="M539" i="5"/>
  <c r="S539" i="5" s="1"/>
  <c r="M616" i="5"/>
  <c r="S616" i="5" s="1"/>
  <c r="M885" i="5"/>
  <c r="S885" i="5" s="1"/>
  <c r="M864" i="5"/>
  <c r="S864" i="5" s="1"/>
  <c r="M843" i="5"/>
  <c r="S843" i="5" s="1"/>
  <c r="M825" i="5"/>
  <c r="S825" i="5" s="1"/>
  <c r="M752" i="5"/>
  <c r="S752" i="5" s="1"/>
  <c r="M736" i="5"/>
  <c r="S736" i="5" s="1"/>
  <c r="M678" i="5"/>
  <c r="S678" i="5" s="1"/>
  <c r="M567" i="5"/>
  <c r="S567" i="5" s="1"/>
  <c r="M934" i="5"/>
  <c r="S934" i="5" s="1"/>
  <c r="M927" i="5"/>
  <c r="S927" i="5" s="1"/>
  <c r="M915" i="5"/>
  <c r="S915" i="5" s="1"/>
  <c r="M771" i="5"/>
  <c r="S771" i="5" s="1"/>
  <c r="M740" i="5"/>
  <c r="S740" i="5" s="1"/>
  <c r="M665" i="5"/>
  <c r="S665" i="5" s="1"/>
  <c r="M631" i="5"/>
  <c r="S631" i="5" s="1"/>
  <c r="M966" i="5"/>
  <c r="S966" i="5" s="1"/>
  <c r="M784" i="5"/>
  <c r="S784" i="5" s="1"/>
  <c r="M969" i="5"/>
  <c r="S969" i="5" s="1"/>
  <c r="M780" i="5"/>
  <c r="S780" i="5" s="1"/>
  <c r="M721" i="5"/>
  <c r="S721" i="5" s="1"/>
  <c r="M615" i="5"/>
  <c r="S615" i="5" s="1"/>
  <c r="M495" i="5"/>
  <c r="S495" i="5" s="1"/>
  <c r="M225" i="5"/>
  <c r="S225" i="5" s="1"/>
  <c r="M222" i="5"/>
  <c r="S222" i="5" s="1"/>
  <c r="M995" i="5"/>
  <c r="S995" i="5" s="1"/>
  <c r="M991" i="5"/>
  <c r="S991" i="5" s="1"/>
  <c r="M975" i="5"/>
  <c r="S975" i="5" s="1"/>
  <c r="M959" i="5"/>
  <c r="S959" i="5" s="1"/>
  <c r="M928" i="5"/>
  <c r="S928" i="5" s="1"/>
  <c r="M862" i="5"/>
  <c r="S862" i="5" s="1"/>
  <c r="M774" i="5"/>
  <c r="S774" i="5" s="1"/>
  <c r="M763" i="5"/>
  <c r="S763" i="5" s="1"/>
  <c r="M755" i="5"/>
  <c r="S755" i="5" s="1"/>
  <c r="M747" i="5"/>
  <c r="S747" i="5" s="1"/>
  <c r="M530" i="5"/>
  <c r="S530" i="5" s="1"/>
  <c r="M522" i="5"/>
  <c r="S522" i="5" s="1"/>
  <c r="M509" i="5"/>
  <c r="S509" i="5" s="1"/>
  <c r="M411" i="5"/>
  <c r="S411" i="5" s="1"/>
  <c r="M367" i="5"/>
  <c r="S367" i="5" s="1"/>
  <c r="M793" i="5"/>
  <c r="S793" i="5" s="1"/>
  <c r="M766" i="5"/>
  <c r="S766" i="5" s="1"/>
  <c r="M742" i="5"/>
  <c r="S742" i="5" s="1"/>
  <c r="M739" i="5"/>
  <c r="S739" i="5" s="1"/>
  <c r="M550" i="5"/>
  <c r="S550" i="5" s="1"/>
  <c r="M546" i="5"/>
  <c r="S546" i="5" s="1"/>
  <c r="M478" i="5"/>
  <c r="S478" i="5" s="1"/>
  <c r="M343" i="5"/>
  <c r="S343" i="5" s="1"/>
  <c r="M280" i="5"/>
  <c r="S280" i="5" s="1"/>
  <c r="M936" i="5"/>
  <c r="S936" i="5" s="1"/>
  <c r="M891" i="5"/>
  <c r="S891" i="5" s="1"/>
  <c r="M884" i="5"/>
  <c r="S884" i="5" s="1"/>
  <c r="M877" i="5"/>
  <c r="S877" i="5" s="1"/>
  <c r="M866" i="5"/>
  <c r="S866" i="5" s="1"/>
  <c r="M859" i="5"/>
  <c r="S859" i="5" s="1"/>
  <c r="M852" i="5"/>
  <c r="S852" i="5" s="1"/>
  <c r="M845" i="5"/>
  <c r="S845" i="5" s="1"/>
  <c r="M820" i="5"/>
  <c r="S820" i="5" s="1"/>
  <c r="M712" i="5"/>
  <c r="S712" i="5" s="1"/>
  <c r="M695" i="5"/>
  <c r="S695" i="5" s="1"/>
  <c r="M674" i="5"/>
  <c r="S674" i="5" s="1"/>
  <c r="M667" i="5"/>
  <c r="S667" i="5" s="1"/>
  <c r="M662" i="5"/>
  <c r="S662" i="5" s="1"/>
  <c r="M626" i="5"/>
  <c r="S626" i="5" s="1"/>
  <c r="M606" i="5"/>
  <c r="S606" i="5" s="1"/>
  <c r="M602" i="5"/>
  <c r="S602" i="5" s="1"/>
  <c r="M558" i="5"/>
  <c r="S558" i="5" s="1"/>
  <c r="M513" i="5"/>
  <c r="S513" i="5" s="1"/>
  <c r="M496" i="5"/>
  <c r="S496" i="5" s="1"/>
  <c r="M431" i="5"/>
  <c r="S431" i="5" s="1"/>
  <c r="M390" i="5"/>
  <c r="S390" i="5" s="1"/>
  <c r="M189" i="5"/>
  <c r="S189" i="5" s="1"/>
  <c r="M560" i="5"/>
  <c r="S560" i="5" s="1"/>
  <c r="M967" i="5"/>
  <c r="S967" i="5" s="1"/>
  <c r="M963" i="5"/>
  <c r="S963" i="5" s="1"/>
  <c r="M951" i="5"/>
  <c r="S951" i="5" s="1"/>
  <c r="M947" i="5"/>
  <c r="S947" i="5" s="1"/>
  <c r="M943" i="5"/>
  <c r="S943" i="5" s="1"/>
  <c r="M855" i="5"/>
  <c r="S855" i="5" s="1"/>
  <c r="M830" i="5"/>
  <c r="S830" i="5" s="1"/>
  <c r="M823" i="5"/>
  <c r="S823" i="5" s="1"/>
  <c r="M785" i="5"/>
  <c r="S785" i="5" s="1"/>
  <c r="M719" i="5"/>
  <c r="S719" i="5" s="1"/>
  <c r="M688" i="5"/>
  <c r="S688" i="5" s="1"/>
  <c r="M536" i="5"/>
  <c r="S536" i="5" s="1"/>
  <c r="M528" i="5"/>
  <c r="S528" i="5" s="1"/>
  <c r="M524" i="5"/>
  <c r="S524" i="5" s="1"/>
  <c r="M507" i="5"/>
  <c r="S507" i="5" s="1"/>
  <c r="M469" i="5"/>
  <c r="S469" i="5" s="1"/>
  <c r="M628" i="5"/>
  <c r="S628" i="5" s="1"/>
  <c r="M604" i="5"/>
  <c r="S604" i="5" s="1"/>
  <c r="M556" i="5"/>
  <c r="S556" i="5" s="1"/>
  <c r="M552" i="5"/>
  <c r="S552" i="5" s="1"/>
  <c r="M548" i="5"/>
  <c r="S548" i="5" s="1"/>
  <c r="M544" i="5"/>
  <c r="S544" i="5" s="1"/>
  <c r="M441" i="5"/>
  <c r="S441" i="5" s="1"/>
  <c r="M401" i="5"/>
  <c r="S401" i="5" s="1"/>
  <c r="M359" i="5"/>
  <c r="S359" i="5" s="1"/>
  <c r="M180" i="5"/>
  <c r="S180" i="5" s="1"/>
  <c r="M92" i="5"/>
  <c r="S92" i="5" s="1"/>
  <c r="M921" i="5"/>
  <c r="S921" i="5" s="1"/>
  <c r="M902" i="5"/>
  <c r="S902" i="5" s="1"/>
  <c r="M940" i="5"/>
  <c r="S940" i="5" s="1"/>
  <c r="M791" i="5"/>
  <c r="S791" i="5" s="1"/>
  <c r="M772" i="5"/>
  <c r="S772" i="5" s="1"/>
  <c r="M679" i="5"/>
  <c r="S679" i="5" s="1"/>
  <c r="M655" i="5"/>
  <c r="S655" i="5" s="1"/>
  <c r="M587" i="5"/>
  <c r="S587" i="5" s="1"/>
  <c r="M502" i="5"/>
  <c r="S502" i="5" s="1"/>
  <c r="M436" i="5"/>
  <c r="S436" i="5" s="1"/>
  <c r="M403" i="5"/>
  <c r="S403" i="5" s="1"/>
  <c r="M309" i="5"/>
  <c r="S309" i="5" s="1"/>
  <c r="M136" i="5"/>
  <c r="S136" i="5" s="1"/>
  <c r="M621" i="5"/>
  <c r="S621" i="5" s="1"/>
  <c r="M608" i="5"/>
  <c r="S608" i="5" s="1"/>
  <c r="M999" i="5"/>
  <c r="S999" i="5" s="1"/>
  <c r="M983" i="5"/>
  <c r="S983" i="5" s="1"/>
  <c r="M979" i="5"/>
  <c r="S979" i="5" s="1"/>
  <c r="M873" i="5"/>
  <c r="S873" i="5" s="1"/>
  <c r="M841" i="5"/>
  <c r="S841" i="5" s="1"/>
  <c r="M801" i="5"/>
  <c r="S801" i="5" s="1"/>
  <c r="M724" i="5"/>
  <c r="S724" i="5" s="1"/>
  <c r="M714" i="5"/>
  <c r="S714" i="5" s="1"/>
  <c r="M652" i="5"/>
  <c r="S652" i="5" s="1"/>
  <c r="M637" i="5"/>
  <c r="S637" i="5" s="1"/>
  <c r="M554" i="5"/>
  <c r="S554" i="5" s="1"/>
  <c r="M540" i="5"/>
  <c r="S540" i="5" s="1"/>
  <c r="M526" i="5"/>
  <c r="S526" i="5" s="1"/>
  <c r="M434" i="5"/>
  <c r="S434" i="5" s="1"/>
  <c r="M406" i="5"/>
  <c r="S406" i="5" s="1"/>
  <c r="M898" i="5"/>
  <c r="S898" i="5" s="1"/>
  <c r="M707" i="5"/>
  <c r="S707" i="5" s="1"/>
  <c r="M697" i="5"/>
  <c r="S697" i="5" s="1"/>
  <c r="M681" i="5"/>
  <c r="S681" i="5" s="1"/>
  <c r="M657" i="5"/>
  <c r="S657" i="5" s="1"/>
  <c r="M996" i="5"/>
  <c r="S996" i="5" s="1"/>
  <c r="M988" i="5"/>
  <c r="S988" i="5" s="1"/>
  <c r="M980" i="5"/>
  <c r="S980" i="5" s="1"/>
  <c r="M972" i="5"/>
  <c r="S972" i="5" s="1"/>
  <c r="M964" i="5"/>
  <c r="S964" i="5" s="1"/>
  <c r="M956" i="5"/>
  <c r="S956" i="5" s="1"/>
  <c r="M948" i="5"/>
  <c r="S948" i="5" s="1"/>
  <c r="M929" i="5"/>
  <c r="S929" i="5" s="1"/>
  <c r="M910" i="5"/>
  <c r="S910" i="5" s="1"/>
  <c r="M895" i="5"/>
  <c r="S895" i="5" s="1"/>
  <c r="M888" i="5"/>
  <c r="S888" i="5" s="1"/>
  <c r="M863" i="5"/>
  <c r="S863" i="5" s="1"/>
  <c r="M856" i="5"/>
  <c r="S856" i="5" s="1"/>
  <c r="M831" i="5"/>
  <c r="S831" i="5" s="1"/>
  <c r="M824" i="5"/>
  <c r="S824" i="5" s="1"/>
  <c r="M753" i="5"/>
  <c r="S753" i="5" s="1"/>
  <c r="M745" i="5"/>
  <c r="S745" i="5" s="1"/>
  <c r="M732" i="5"/>
  <c r="S732" i="5" s="1"/>
  <c r="M727" i="5"/>
  <c r="S727" i="5" s="1"/>
  <c r="M717" i="5"/>
  <c r="S717" i="5" s="1"/>
  <c r="M700" i="5"/>
  <c r="S700" i="5" s="1"/>
  <c r="M693" i="5"/>
  <c r="S693" i="5" s="1"/>
  <c r="M686" i="5"/>
  <c r="S686" i="5" s="1"/>
  <c r="M672" i="5"/>
  <c r="S672" i="5" s="1"/>
  <c r="M660" i="5"/>
  <c r="S660" i="5" s="1"/>
  <c r="M650" i="5"/>
  <c r="S650" i="5" s="1"/>
  <c r="M640" i="5"/>
  <c r="S640" i="5" s="1"/>
  <c r="M613" i="5"/>
  <c r="S613" i="5" s="1"/>
  <c r="M581" i="5"/>
  <c r="S581" i="5" s="1"/>
  <c r="M565" i="5"/>
  <c r="S565" i="5" s="1"/>
  <c r="M504" i="5"/>
  <c r="S504" i="5" s="1"/>
  <c r="M500" i="5"/>
  <c r="S500" i="5" s="1"/>
  <c r="M498" i="5"/>
  <c r="S498" i="5" s="1"/>
  <c r="M480" i="5"/>
  <c r="S480" i="5" s="1"/>
  <c r="M454" i="5"/>
  <c r="S454" i="5" s="1"/>
  <c r="M413" i="5"/>
  <c r="S413" i="5" s="1"/>
  <c r="M369" i="5"/>
  <c r="S369" i="5" s="1"/>
  <c r="M250" i="5"/>
  <c r="S250" i="5" s="1"/>
  <c r="M123" i="5"/>
  <c r="S123" i="5" s="1"/>
  <c r="M424" i="5"/>
  <c r="S424" i="5" s="1"/>
  <c r="M396" i="5"/>
  <c r="S396" i="5" s="1"/>
  <c r="M322" i="5"/>
  <c r="S322" i="5" s="1"/>
  <c r="M268" i="5"/>
  <c r="S268" i="5" s="1"/>
  <c r="M987" i="5"/>
  <c r="S987" i="5" s="1"/>
  <c r="M971" i="5"/>
  <c r="S971" i="5" s="1"/>
  <c r="M955" i="5"/>
  <c r="S955" i="5" s="1"/>
  <c r="M913" i="5"/>
  <c r="S913" i="5" s="1"/>
  <c r="M894" i="5"/>
  <c r="S894" i="5" s="1"/>
  <c r="M887" i="5"/>
  <c r="S887" i="5" s="1"/>
  <c r="M880" i="5"/>
  <c r="S880" i="5" s="1"/>
  <c r="M848" i="5"/>
  <c r="S848" i="5" s="1"/>
  <c r="M669" i="5"/>
  <c r="S669" i="5" s="1"/>
  <c r="M630" i="5"/>
  <c r="S630" i="5" s="1"/>
  <c r="M595" i="5"/>
  <c r="S595" i="5" s="1"/>
  <c r="M429" i="5"/>
  <c r="S429" i="5" s="1"/>
  <c r="M932" i="5"/>
  <c r="S932" i="5" s="1"/>
  <c r="M917" i="5"/>
  <c r="S917" i="5" s="1"/>
  <c r="M992" i="5"/>
  <c r="S992" i="5" s="1"/>
  <c r="M984" i="5"/>
  <c r="S984" i="5" s="1"/>
  <c r="M976" i="5"/>
  <c r="S976" i="5" s="1"/>
  <c r="M968" i="5"/>
  <c r="S968" i="5" s="1"/>
  <c r="M960" i="5"/>
  <c r="S960" i="5" s="1"/>
  <c r="M952" i="5"/>
  <c r="S952" i="5" s="1"/>
  <c r="M944" i="5"/>
  <c r="S944" i="5" s="1"/>
  <c r="M881" i="5"/>
  <c r="S881" i="5" s="1"/>
  <c r="M870" i="5"/>
  <c r="S870" i="5" s="1"/>
  <c r="M849" i="5"/>
  <c r="S849" i="5" s="1"/>
  <c r="M838" i="5"/>
  <c r="S838" i="5" s="1"/>
  <c r="M817" i="5"/>
  <c r="S817" i="5" s="1"/>
  <c r="M811" i="5"/>
  <c r="S811" i="5" s="1"/>
  <c r="M808" i="5"/>
  <c r="S808" i="5" s="1"/>
  <c r="M799" i="5"/>
  <c r="S799" i="5" s="1"/>
  <c r="M802" i="5"/>
  <c r="S802" i="5" s="1"/>
  <c r="M764" i="5"/>
  <c r="S764" i="5" s="1"/>
  <c r="M737" i="5"/>
  <c r="S737" i="5" s="1"/>
  <c r="M705" i="5"/>
  <c r="S705" i="5" s="1"/>
  <c r="M691" i="5"/>
  <c r="S691" i="5" s="1"/>
  <c r="M569" i="5"/>
  <c r="S569" i="5" s="1"/>
  <c r="M471" i="5"/>
  <c r="S471" i="5" s="1"/>
  <c r="M458" i="5"/>
  <c r="S458" i="5" s="1"/>
  <c r="M452" i="5"/>
  <c r="S452" i="5" s="1"/>
  <c r="M450" i="5"/>
  <c r="S450" i="5" s="1"/>
  <c r="M428" i="5"/>
  <c r="S428" i="5" s="1"/>
  <c r="M333" i="5"/>
  <c r="S333" i="5" s="1"/>
  <c r="M306" i="5"/>
  <c r="S306" i="5" s="1"/>
  <c r="M170" i="5"/>
  <c r="S170" i="5" s="1"/>
  <c r="M775" i="5"/>
  <c r="S775" i="5" s="1"/>
  <c r="M647" i="5"/>
  <c r="S647" i="5" s="1"/>
  <c r="M589" i="5"/>
  <c r="S589" i="5" s="1"/>
  <c r="M483" i="5"/>
  <c r="S483" i="5" s="1"/>
  <c r="M459" i="5"/>
  <c r="S459" i="5" s="1"/>
  <c r="M457" i="5"/>
  <c r="S457" i="5" s="1"/>
  <c r="M455" i="5"/>
  <c r="S455" i="5" s="1"/>
  <c r="M363" i="5"/>
  <c r="S363" i="5" s="1"/>
  <c r="M350" i="5"/>
  <c r="S350" i="5" s="1"/>
  <c r="M175" i="5"/>
  <c r="S175" i="5" s="1"/>
  <c r="M163" i="5"/>
  <c r="S163" i="5" s="1"/>
  <c r="M779" i="5"/>
  <c r="S779" i="5" s="1"/>
  <c r="M699" i="5"/>
  <c r="S699" i="5" s="1"/>
  <c r="M635" i="5"/>
  <c r="S635" i="5" s="1"/>
  <c r="M533" i="5"/>
  <c r="S533" i="5" s="1"/>
  <c r="M520" i="5"/>
  <c r="S520" i="5" s="1"/>
  <c r="M497" i="5"/>
  <c r="S497" i="5" s="1"/>
  <c r="M493" i="5"/>
  <c r="S493" i="5" s="1"/>
  <c r="M491" i="5"/>
  <c r="S491" i="5" s="1"/>
  <c r="M470" i="5"/>
  <c r="S470" i="5" s="1"/>
  <c r="M438" i="5"/>
  <c r="S438" i="5" s="1"/>
  <c r="M395" i="5"/>
  <c r="S395" i="5" s="1"/>
  <c r="M379" i="5"/>
  <c r="S379" i="5" s="1"/>
  <c r="M325" i="5"/>
  <c r="S325" i="5" s="1"/>
  <c r="M297" i="5"/>
  <c r="S297" i="5" s="1"/>
  <c r="M798" i="5"/>
  <c r="S798" i="5" s="1"/>
  <c r="M783" i="5"/>
  <c r="S783" i="5" s="1"/>
  <c r="M768" i="5"/>
  <c r="S768" i="5" s="1"/>
  <c r="M749" i="5"/>
  <c r="S749" i="5" s="1"/>
  <c r="M734" i="5"/>
  <c r="S734" i="5" s="1"/>
  <c r="M731" i="5"/>
  <c r="S731" i="5" s="1"/>
  <c r="M718" i="5"/>
  <c r="S718" i="5" s="1"/>
  <c r="M715" i="5"/>
  <c r="S715" i="5" s="1"/>
  <c r="M702" i="5"/>
  <c r="S702" i="5" s="1"/>
  <c r="M696" i="5"/>
  <c r="S696" i="5" s="1"/>
  <c r="M687" i="5"/>
  <c r="S687" i="5" s="1"/>
  <c r="M641" i="5"/>
  <c r="S641" i="5" s="1"/>
  <c r="M638" i="5"/>
  <c r="S638" i="5" s="1"/>
  <c r="M632" i="5"/>
  <c r="S632" i="5" s="1"/>
  <c r="M623" i="5"/>
  <c r="S623" i="5" s="1"/>
  <c r="M575" i="5"/>
  <c r="S575" i="5" s="1"/>
  <c r="M573" i="5"/>
  <c r="S573" i="5" s="1"/>
  <c r="M561" i="5"/>
  <c r="S561" i="5" s="1"/>
  <c r="M549" i="5"/>
  <c r="S549" i="5" s="1"/>
  <c r="M542" i="5"/>
  <c r="S542" i="5" s="1"/>
  <c r="M518" i="5"/>
  <c r="S518" i="5" s="1"/>
  <c r="M489" i="5"/>
  <c r="S489" i="5" s="1"/>
  <c r="M463" i="5"/>
  <c r="S463" i="5" s="1"/>
  <c r="M461" i="5"/>
  <c r="S461" i="5" s="1"/>
  <c r="M444" i="5"/>
  <c r="S444" i="5" s="1"/>
  <c r="M442" i="5"/>
  <c r="S442" i="5" s="1"/>
  <c r="M440" i="5"/>
  <c r="S440" i="5" s="1"/>
  <c r="M787" i="5"/>
  <c r="S787" i="5" s="1"/>
  <c r="M675" i="5"/>
  <c r="S675" i="5" s="1"/>
  <c r="M610" i="5"/>
  <c r="S610" i="5" s="1"/>
  <c r="M600" i="5"/>
  <c r="S600" i="5" s="1"/>
  <c r="M516" i="5"/>
  <c r="S516" i="5" s="1"/>
  <c r="M487" i="5"/>
  <c r="S487" i="5" s="1"/>
  <c r="M355" i="5"/>
  <c r="S355" i="5" s="1"/>
  <c r="M192" i="5"/>
  <c r="S192" i="5" s="1"/>
  <c r="M521" i="5"/>
  <c r="S521" i="5" s="1"/>
  <c r="M453" i="5"/>
  <c r="S453" i="5" s="1"/>
  <c r="M451" i="5"/>
  <c r="S451" i="5" s="1"/>
  <c r="M427" i="5"/>
  <c r="S427" i="5" s="1"/>
  <c r="M386" i="5"/>
  <c r="S386" i="5" s="1"/>
  <c r="M330" i="5"/>
  <c r="S330" i="5" s="1"/>
  <c r="M327" i="5"/>
  <c r="S327" i="5" s="1"/>
  <c r="M529" i="5"/>
  <c r="S529" i="5" s="1"/>
  <c r="M511" i="5"/>
  <c r="S511" i="5" s="1"/>
  <c r="M476" i="5"/>
  <c r="S476" i="5" s="1"/>
  <c r="M472" i="5"/>
  <c r="S472" i="5" s="1"/>
  <c r="M423" i="5"/>
  <c r="S423" i="5" s="1"/>
  <c r="M398" i="5"/>
  <c r="S398" i="5" s="1"/>
  <c r="M356" i="5"/>
  <c r="S356" i="5" s="1"/>
  <c r="M155" i="5"/>
  <c r="S155" i="5" s="1"/>
  <c r="M143" i="5"/>
  <c r="S143" i="5" s="1"/>
  <c r="M140" i="5"/>
  <c r="S140" i="5" s="1"/>
  <c r="M603" i="5"/>
  <c r="S603" i="5" s="1"/>
  <c r="M593" i="5"/>
  <c r="S593" i="5" s="1"/>
  <c r="M583" i="5"/>
  <c r="S583" i="5" s="1"/>
  <c r="M580" i="5"/>
  <c r="S580" i="5" s="1"/>
  <c r="M541" i="5"/>
  <c r="S541" i="5" s="1"/>
  <c r="M538" i="5"/>
  <c r="S538" i="5" s="1"/>
  <c r="M468" i="5"/>
  <c r="S468" i="5" s="1"/>
  <c r="M466" i="5"/>
  <c r="S466" i="5" s="1"/>
  <c r="M464" i="5"/>
  <c r="S464" i="5" s="1"/>
  <c r="M449" i="5"/>
  <c r="S449" i="5" s="1"/>
  <c r="M447" i="5"/>
  <c r="S447" i="5" s="1"/>
  <c r="M433" i="5"/>
  <c r="S433" i="5" s="1"/>
  <c r="M378" i="5"/>
  <c r="S378" i="5" s="1"/>
  <c r="M284" i="5"/>
  <c r="S284" i="5" s="1"/>
  <c r="M209" i="5"/>
  <c r="S209" i="5" s="1"/>
  <c r="M149" i="5"/>
  <c r="S149" i="5" s="1"/>
  <c r="M131" i="5"/>
  <c r="S131" i="5" s="1"/>
  <c r="M125" i="5"/>
  <c r="S125" i="5" s="1"/>
  <c r="M104" i="5"/>
  <c r="S104" i="5" s="1"/>
  <c r="M535" i="5"/>
  <c r="S535" i="5" s="1"/>
  <c r="M532" i="5"/>
  <c r="S532" i="5" s="1"/>
  <c r="M499" i="5"/>
  <c r="S499" i="5" s="1"/>
  <c r="M494" i="5"/>
  <c r="S494" i="5" s="1"/>
  <c r="M485" i="5"/>
  <c r="S485" i="5" s="1"/>
  <c r="M462" i="5"/>
  <c r="S462" i="5" s="1"/>
  <c r="M421" i="5"/>
  <c r="S421" i="5" s="1"/>
  <c r="M393" i="5"/>
  <c r="S393" i="5" s="1"/>
  <c r="M287" i="5"/>
  <c r="S287" i="5" s="1"/>
  <c r="M501" i="5"/>
  <c r="S501" i="5" s="1"/>
  <c r="M408" i="5"/>
  <c r="S408" i="5" s="1"/>
  <c r="M302" i="5"/>
  <c r="S302" i="5" s="1"/>
  <c r="M278" i="5"/>
  <c r="S278" i="5" s="1"/>
  <c r="M231" i="5"/>
  <c r="S231" i="5" s="1"/>
  <c r="M206" i="5"/>
  <c r="S206" i="5" s="1"/>
  <c r="M153" i="5"/>
  <c r="S153" i="5" s="1"/>
  <c r="M448" i="5"/>
  <c r="S448" i="5" s="1"/>
  <c r="M400" i="5"/>
  <c r="S400" i="5" s="1"/>
  <c r="M389" i="5"/>
  <c r="S389" i="5" s="1"/>
  <c r="M382" i="5"/>
  <c r="S382" i="5" s="1"/>
  <c r="M373" i="5"/>
  <c r="S373" i="5" s="1"/>
  <c r="M364" i="5"/>
  <c r="S364" i="5" s="1"/>
  <c r="M362" i="5"/>
  <c r="S362" i="5" s="1"/>
  <c r="M351" i="5"/>
  <c r="S351" i="5" s="1"/>
  <c r="M334" i="5"/>
  <c r="S334" i="5" s="1"/>
  <c r="M323" i="5"/>
  <c r="S323" i="5" s="1"/>
  <c r="M443" i="5"/>
  <c r="S443" i="5" s="1"/>
  <c r="M418" i="5"/>
  <c r="S418" i="5" s="1"/>
  <c r="M402" i="5"/>
  <c r="S402" i="5" s="1"/>
  <c r="M384" i="5"/>
  <c r="S384" i="5" s="1"/>
  <c r="M380" i="5"/>
  <c r="S380" i="5" s="1"/>
  <c r="M331" i="5"/>
  <c r="S331" i="5" s="1"/>
  <c r="M318" i="5"/>
  <c r="S318" i="5" s="1"/>
  <c r="M267" i="5"/>
  <c r="S267" i="5" s="1"/>
  <c r="M248" i="5"/>
  <c r="S248" i="5" s="1"/>
  <c r="M165" i="5"/>
  <c r="S165" i="5" s="1"/>
  <c r="M517" i="5"/>
  <c r="S517" i="5" s="1"/>
  <c r="M514" i="5"/>
  <c r="S514" i="5" s="1"/>
  <c r="M481" i="5"/>
  <c r="S481" i="5" s="1"/>
  <c r="M432" i="5"/>
  <c r="S432" i="5" s="1"/>
  <c r="M425" i="5"/>
  <c r="S425" i="5" s="1"/>
  <c r="M412" i="5"/>
  <c r="S412" i="5" s="1"/>
  <c r="M391" i="5"/>
  <c r="S391" i="5" s="1"/>
  <c r="M346" i="5"/>
  <c r="S346" i="5" s="1"/>
  <c r="M320" i="5"/>
  <c r="S320" i="5" s="1"/>
  <c r="M486" i="5"/>
  <c r="S486" i="5" s="1"/>
  <c r="M474" i="5"/>
  <c r="S474" i="5" s="1"/>
  <c r="M467" i="5"/>
  <c r="S467" i="5" s="1"/>
  <c r="M446" i="5"/>
  <c r="S446" i="5" s="1"/>
  <c r="M430" i="5"/>
  <c r="S430" i="5" s="1"/>
  <c r="M366" i="5"/>
  <c r="S366" i="5" s="1"/>
  <c r="M341" i="5"/>
  <c r="S341" i="5" s="1"/>
  <c r="M328" i="5"/>
  <c r="S328" i="5" s="1"/>
  <c r="M272" i="5"/>
  <c r="S272" i="5" s="1"/>
  <c r="M120" i="5"/>
  <c r="S120" i="5" s="1"/>
  <c r="M416" i="5"/>
  <c r="S416" i="5" s="1"/>
  <c r="M407" i="5"/>
  <c r="S407" i="5" s="1"/>
  <c r="M374" i="5"/>
  <c r="S374" i="5" s="1"/>
  <c r="M370" i="5"/>
  <c r="S370" i="5" s="1"/>
  <c r="M315" i="5"/>
  <c r="S315" i="5" s="1"/>
  <c r="M308" i="5"/>
  <c r="S308" i="5" s="1"/>
  <c r="M254" i="5"/>
  <c r="S254" i="5" s="1"/>
  <c r="M215" i="5"/>
  <c r="S215" i="5" s="1"/>
  <c r="M94" i="5"/>
  <c r="S94" i="5" s="1"/>
  <c r="M340" i="5"/>
  <c r="S340" i="5" s="1"/>
  <c r="M338" i="5"/>
  <c r="S338" i="5" s="1"/>
  <c r="M326" i="5"/>
  <c r="S326" i="5" s="1"/>
  <c r="M305" i="5"/>
  <c r="S305" i="5" s="1"/>
  <c r="M259" i="5"/>
  <c r="S259" i="5" s="1"/>
  <c r="M244" i="5"/>
  <c r="S244" i="5" s="1"/>
  <c r="M236" i="5"/>
  <c r="S236" i="5" s="1"/>
  <c r="M182" i="5"/>
  <c r="S182" i="5" s="1"/>
  <c r="M133" i="5"/>
  <c r="S133" i="5" s="1"/>
  <c r="M67" i="5"/>
  <c r="S67" i="5" s="1"/>
  <c r="M414" i="5"/>
  <c r="S414" i="5" s="1"/>
  <c r="M372" i="5"/>
  <c r="S372" i="5" s="1"/>
  <c r="M360" i="5"/>
  <c r="S360" i="5" s="1"/>
  <c r="M312" i="5"/>
  <c r="S312" i="5" s="1"/>
  <c r="M310" i="5"/>
  <c r="S310" i="5" s="1"/>
  <c r="M204" i="5"/>
  <c r="S204" i="5" s="1"/>
  <c r="M419" i="5"/>
  <c r="S419" i="5" s="1"/>
  <c r="M358" i="5"/>
  <c r="S358" i="5" s="1"/>
  <c r="M300" i="5"/>
  <c r="S300" i="5" s="1"/>
  <c r="M298" i="5"/>
  <c r="S298" i="5" s="1"/>
  <c r="M266" i="5"/>
  <c r="S266" i="5" s="1"/>
  <c r="M261" i="5"/>
  <c r="S261" i="5" s="1"/>
  <c r="M233" i="5"/>
  <c r="S233" i="5" s="1"/>
  <c r="M190" i="5"/>
  <c r="S190" i="5" s="1"/>
  <c r="M387" i="5"/>
  <c r="S387" i="5" s="1"/>
  <c r="M385" i="5"/>
  <c r="S385" i="5" s="1"/>
  <c r="M381" i="5"/>
  <c r="S381" i="5" s="1"/>
  <c r="M354" i="5"/>
  <c r="S354" i="5" s="1"/>
  <c r="M256" i="5"/>
  <c r="S256" i="5" s="1"/>
  <c r="M246" i="5"/>
  <c r="S246" i="5" s="1"/>
  <c r="M238" i="5"/>
  <c r="S238" i="5" s="1"/>
  <c r="M184" i="5"/>
  <c r="S184" i="5" s="1"/>
  <c r="M168" i="5"/>
  <c r="S168" i="5" s="1"/>
  <c r="M138" i="5"/>
  <c r="S138" i="5" s="1"/>
  <c r="M102" i="5"/>
  <c r="S102" i="5" s="1"/>
  <c r="M410" i="5"/>
  <c r="S410" i="5" s="1"/>
  <c r="M377" i="5"/>
  <c r="S377" i="5" s="1"/>
  <c r="M314" i="5"/>
  <c r="S314" i="5" s="1"/>
  <c r="M307" i="5"/>
  <c r="S307" i="5" s="1"/>
  <c r="M99" i="5"/>
  <c r="S99" i="5" s="1"/>
  <c r="M404" i="5"/>
  <c r="S404" i="5" s="1"/>
  <c r="M365" i="5"/>
  <c r="S365" i="5" s="1"/>
  <c r="M265" i="5"/>
  <c r="S265" i="5" s="1"/>
  <c r="M263" i="5"/>
  <c r="S263" i="5" s="1"/>
  <c r="M127" i="5"/>
  <c r="S127" i="5" s="1"/>
  <c r="M422" i="5"/>
  <c r="S422" i="5" s="1"/>
  <c r="M375" i="5"/>
  <c r="S375" i="5" s="1"/>
  <c r="M347" i="5"/>
  <c r="S347" i="5" s="1"/>
  <c r="M212" i="5"/>
  <c r="S212" i="5" s="1"/>
  <c r="M132" i="5"/>
  <c r="S132" i="5" s="1"/>
  <c r="M383" i="5"/>
  <c r="S383" i="5" s="1"/>
  <c r="M293" i="5"/>
  <c r="S293" i="5" s="1"/>
  <c r="M291" i="5"/>
  <c r="S291" i="5" s="1"/>
  <c r="M285" i="5"/>
  <c r="S285" i="5" s="1"/>
  <c r="M283" i="5"/>
  <c r="S283" i="5" s="1"/>
  <c r="M279" i="5"/>
  <c r="S279" i="5" s="1"/>
  <c r="M275" i="5"/>
  <c r="S275" i="5" s="1"/>
  <c r="M271" i="5"/>
  <c r="S271" i="5" s="1"/>
  <c r="M195" i="5"/>
  <c r="S195" i="5" s="1"/>
  <c r="M157" i="5"/>
  <c r="S157" i="5" s="1"/>
  <c r="M88" i="5"/>
  <c r="S88" i="5" s="1"/>
  <c r="M219" i="5"/>
  <c r="S219" i="5" s="1"/>
  <c r="M207" i="5"/>
  <c r="S207" i="5" s="1"/>
  <c r="M200" i="5"/>
  <c r="S200" i="5" s="1"/>
  <c r="M176" i="5"/>
  <c r="S176" i="5" s="1"/>
  <c r="M106" i="5"/>
  <c r="S106" i="5" s="1"/>
  <c r="M303" i="5"/>
  <c r="S303" i="5" s="1"/>
  <c r="M230" i="5"/>
  <c r="S230" i="5" s="1"/>
  <c r="M166" i="5"/>
  <c r="S166" i="5" s="1"/>
  <c r="M111" i="5"/>
  <c r="S111" i="5" s="1"/>
  <c r="M79" i="5"/>
  <c r="S79" i="5" s="1"/>
  <c r="M60" i="5"/>
  <c r="S60" i="5" s="1"/>
  <c r="M361" i="5"/>
  <c r="S361" i="5" s="1"/>
  <c r="M353" i="5"/>
  <c r="S353" i="5" s="1"/>
  <c r="M348" i="5"/>
  <c r="S348" i="5" s="1"/>
  <c r="M317" i="5"/>
  <c r="S317" i="5" s="1"/>
  <c r="M313" i="5"/>
  <c r="S313" i="5" s="1"/>
  <c r="M216" i="5"/>
  <c r="S216" i="5" s="1"/>
  <c r="M147" i="5"/>
  <c r="S147" i="5" s="1"/>
  <c r="M479" i="5"/>
  <c r="S479" i="5" s="1"/>
  <c r="M405" i="5"/>
  <c r="S405" i="5" s="1"/>
  <c r="M337" i="5"/>
  <c r="S337" i="5" s="1"/>
  <c r="M321" i="5"/>
  <c r="S321" i="5" s="1"/>
  <c r="M232" i="5"/>
  <c r="S232" i="5" s="1"/>
  <c r="M173" i="5"/>
  <c r="S173" i="5" s="1"/>
  <c r="M108" i="5"/>
  <c r="S108" i="5" s="1"/>
  <c r="M76" i="5"/>
  <c r="S76" i="5" s="1"/>
  <c r="M202" i="5"/>
  <c r="S202" i="5" s="1"/>
  <c r="M117" i="5"/>
  <c r="S117" i="5" s="1"/>
  <c r="M96" i="5"/>
  <c r="S96" i="5" s="1"/>
  <c r="M371" i="5"/>
  <c r="S371" i="5" s="1"/>
  <c r="M368" i="5"/>
  <c r="S368" i="5" s="1"/>
  <c r="M336" i="5"/>
  <c r="S336" i="5" s="1"/>
  <c r="M253" i="5"/>
  <c r="S253" i="5" s="1"/>
  <c r="M169" i="5"/>
  <c r="S169" i="5" s="1"/>
  <c r="M135" i="5"/>
  <c r="S135" i="5" s="1"/>
  <c r="M119" i="5"/>
  <c r="S119" i="5" s="1"/>
  <c r="M101" i="5"/>
  <c r="S101" i="5" s="1"/>
  <c r="M311" i="5"/>
  <c r="S311" i="5" s="1"/>
  <c r="M264" i="5"/>
  <c r="S264" i="5" s="1"/>
  <c r="M247" i="5"/>
  <c r="S247" i="5" s="1"/>
  <c r="M181" i="5"/>
  <c r="S181" i="5" s="1"/>
  <c r="M148" i="5"/>
  <c r="S148" i="5" s="1"/>
  <c r="M339" i="5"/>
  <c r="S339" i="5" s="1"/>
  <c r="M301" i="5"/>
  <c r="S301" i="5" s="1"/>
  <c r="M281" i="5"/>
  <c r="S281" i="5" s="1"/>
  <c r="M260" i="5"/>
  <c r="S260" i="5" s="1"/>
  <c r="M193" i="5"/>
  <c r="S193" i="5" s="1"/>
  <c r="M144" i="5"/>
  <c r="S144" i="5" s="1"/>
  <c r="M137" i="5"/>
  <c r="S137" i="5" s="1"/>
  <c r="M80" i="5"/>
  <c r="S80" i="5" s="1"/>
  <c r="M342" i="5"/>
  <c r="S342" i="5" s="1"/>
  <c r="M329" i="5"/>
  <c r="S329" i="5" s="1"/>
  <c r="M324" i="5"/>
  <c r="S324" i="5" s="1"/>
  <c r="M316" i="5"/>
  <c r="S316" i="5" s="1"/>
  <c r="M276" i="5"/>
  <c r="S276" i="5" s="1"/>
  <c r="M269" i="5"/>
  <c r="S269" i="5" s="1"/>
  <c r="M262" i="5"/>
  <c r="S262" i="5" s="1"/>
  <c r="M197" i="5"/>
  <c r="S197" i="5" s="1"/>
  <c r="M187" i="5"/>
  <c r="S187" i="5" s="1"/>
  <c r="M183" i="5"/>
  <c r="S183" i="5" s="1"/>
  <c r="M142" i="5"/>
  <c r="S142" i="5" s="1"/>
  <c r="M112" i="5"/>
  <c r="S112" i="5" s="1"/>
  <c r="M82" i="5"/>
  <c r="S82" i="5" s="1"/>
  <c r="M68" i="5"/>
  <c r="S68" i="5" s="1"/>
  <c r="M319" i="5"/>
  <c r="S319" i="5" s="1"/>
  <c r="M299" i="5"/>
  <c r="S299" i="5" s="1"/>
  <c r="M294" i="5"/>
  <c r="S294" i="5" s="1"/>
  <c r="M274" i="5"/>
  <c r="S274" i="5" s="1"/>
  <c r="M243" i="5"/>
  <c r="S243" i="5" s="1"/>
  <c r="M237" i="5"/>
  <c r="S237" i="5" s="1"/>
  <c r="M199" i="5"/>
  <c r="S199" i="5" s="1"/>
  <c r="M158" i="5"/>
  <c r="S158" i="5" s="1"/>
  <c r="M152" i="5"/>
  <c r="S152" i="5" s="1"/>
  <c r="M98" i="5"/>
  <c r="S98" i="5" s="1"/>
  <c r="M84" i="5"/>
  <c r="S84" i="5" s="1"/>
  <c r="M56" i="5"/>
  <c r="S56" i="5" s="1"/>
  <c r="M241" i="5"/>
  <c r="S241" i="5" s="1"/>
  <c r="M235" i="5"/>
  <c r="S235" i="5" s="1"/>
  <c r="M156" i="5"/>
  <c r="S156" i="5" s="1"/>
  <c r="M51" i="5"/>
  <c r="S51" i="5" s="1"/>
  <c r="M188" i="5"/>
  <c r="S188" i="5" s="1"/>
  <c r="M159" i="5"/>
  <c r="S159" i="5" s="1"/>
  <c r="M91" i="5"/>
  <c r="S91" i="5" s="1"/>
  <c r="M73" i="5"/>
  <c r="S73" i="5" s="1"/>
  <c r="M228" i="5"/>
  <c r="S228" i="5" s="1"/>
  <c r="M145" i="5"/>
  <c r="S145" i="5" s="1"/>
  <c r="M95" i="5"/>
  <c r="S95" i="5" s="1"/>
  <c r="M71" i="5"/>
  <c r="S71" i="5" s="1"/>
  <c r="M55" i="5"/>
  <c r="S55" i="5" s="1"/>
  <c r="M257" i="5"/>
  <c r="S257" i="5" s="1"/>
  <c r="M203" i="5"/>
  <c r="S203" i="5" s="1"/>
  <c r="M179" i="5"/>
  <c r="S179" i="5" s="1"/>
  <c r="M130" i="5"/>
  <c r="S130" i="5" s="1"/>
  <c r="M109" i="5"/>
  <c r="S109" i="5" s="1"/>
  <c r="M103" i="5"/>
  <c r="S103" i="5" s="1"/>
  <c r="M97" i="5"/>
  <c r="S97" i="5" s="1"/>
  <c r="M89" i="5"/>
  <c r="S89" i="5" s="1"/>
  <c r="M85" i="5"/>
  <c r="S85" i="5" s="1"/>
  <c r="M77" i="5"/>
  <c r="S77" i="5" s="1"/>
  <c r="M75" i="5"/>
  <c r="S75" i="5" s="1"/>
  <c r="M65" i="5"/>
  <c r="S65" i="5" s="1"/>
  <c r="M63" i="5"/>
  <c r="S63" i="5" s="1"/>
  <c r="M61" i="5"/>
  <c r="S61" i="5" s="1"/>
  <c r="M59" i="5"/>
  <c r="S59" i="5" s="1"/>
  <c r="M53" i="5"/>
  <c r="S53" i="5" s="1"/>
  <c r="M249" i="5"/>
  <c r="S249" i="5" s="1"/>
  <c r="M198" i="5"/>
  <c r="S198" i="5" s="1"/>
  <c r="M128" i="5"/>
  <c r="S128" i="5" s="1"/>
  <c r="M83" i="5"/>
  <c r="S83" i="5" s="1"/>
  <c r="M234" i="5"/>
  <c r="S234" i="5" s="1"/>
  <c r="M226" i="5"/>
  <c r="S226" i="5" s="1"/>
  <c r="M218" i="5"/>
  <c r="S218" i="5" s="1"/>
  <c r="M213" i="5"/>
  <c r="S213" i="5" s="1"/>
  <c r="M208" i="5"/>
  <c r="S208" i="5" s="1"/>
  <c r="M201" i="5"/>
  <c r="S201" i="5" s="1"/>
  <c r="M167" i="5"/>
  <c r="S167" i="5" s="1"/>
  <c r="M160" i="5"/>
  <c r="S160" i="5" s="1"/>
  <c r="M124" i="5"/>
  <c r="S124" i="5" s="1"/>
  <c r="M296" i="5"/>
  <c r="S296" i="5" s="1"/>
  <c r="M270" i="5"/>
  <c r="S270" i="5" s="1"/>
  <c r="M221" i="5"/>
  <c r="S221" i="5" s="1"/>
  <c r="M196" i="5"/>
  <c r="S196" i="5" s="1"/>
  <c r="M186" i="5"/>
  <c r="S186" i="5" s="1"/>
  <c r="M162" i="5"/>
  <c r="S162" i="5" s="1"/>
  <c r="M150" i="5"/>
  <c r="S150" i="5" s="1"/>
  <c r="M122" i="5"/>
  <c r="S122" i="5" s="1"/>
  <c r="M116" i="5"/>
  <c r="S116" i="5" s="1"/>
  <c r="M118" i="5"/>
  <c r="S118" i="5" s="1"/>
  <c r="M93" i="5"/>
  <c r="S93" i="5" s="1"/>
  <c r="M66" i="5"/>
  <c r="S66" i="5" s="1"/>
  <c r="M54" i="5"/>
  <c r="S54" i="5" s="1"/>
  <c r="M139" i="5"/>
  <c r="S139" i="5" s="1"/>
  <c r="M49" i="5"/>
  <c r="S49" i="5" s="1"/>
  <c r="M304" i="5"/>
  <c r="S304" i="5" s="1"/>
  <c r="M289" i="5"/>
  <c r="S289" i="5" s="1"/>
  <c r="M229" i="5"/>
  <c r="S229" i="5" s="1"/>
  <c r="M205" i="5"/>
  <c r="S205" i="5" s="1"/>
  <c r="M171" i="5"/>
  <c r="S171" i="5" s="1"/>
  <c r="M121" i="5"/>
  <c r="S121" i="5" s="1"/>
  <c r="M100" i="5"/>
  <c r="S100" i="5" s="1"/>
  <c r="M295" i="5"/>
  <c r="S295" i="5" s="1"/>
  <c r="M292" i="5"/>
  <c r="S292" i="5" s="1"/>
  <c r="M286" i="5"/>
  <c r="S286" i="5" s="1"/>
  <c r="M251" i="5"/>
  <c r="S251" i="5" s="1"/>
  <c r="M245" i="5"/>
  <c r="S245" i="5" s="1"/>
  <c r="M242" i="5"/>
  <c r="S242" i="5" s="1"/>
  <c r="M223" i="5"/>
  <c r="S223" i="5" s="1"/>
  <c r="M220" i="5"/>
  <c r="S220" i="5" s="1"/>
  <c r="M214" i="5"/>
  <c r="S214" i="5" s="1"/>
  <c r="M211" i="5"/>
  <c r="S211" i="5" s="1"/>
  <c r="M191" i="5"/>
  <c r="S191" i="5" s="1"/>
  <c r="M185" i="5"/>
  <c r="S185" i="5" s="1"/>
  <c r="M174" i="5"/>
  <c r="S174" i="5" s="1"/>
  <c r="M151" i="5"/>
  <c r="S151" i="5" s="1"/>
  <c r="M129" i="5"/>
  <c r="S129" i="5" s="1"/>
  <c r="M126" i="5"/>
  <c r="S126" i="5" s="1"/>
  <c r="M105" i="5"/>
  <c r="S105" i="5" s="1"/>
  <c r="M81" i="5"/>
  <c r="S81" i="5" s="1"/>
  <c r="M69" i="5"/>
  <c r="S69" i="5" s="1"/>
  <c r="M57" i="5"/>
  <c r="S57" i="5" s="1"/>
  <c r="M52" i="5"/>
  <c r="S52" i="5" s="1"/>
  <c r="M217" i="5"/>
  <c r="S217" i="5" s="1"/>
  <c r="M194" i="5"/>
  <c r="S194" i="5" s="1"/>
  <c r="M154" i="5"/>
  <c r="S154" i="5" s="1"/>
  <c r="M134" i="5"/>
  <c r="S134" i="5" s="1"/>
  <c r="M86" i="5"/>
  <c r="S86" i="5" s="1"/>
  <c r="M74" i="5"/>
  <c r="S74" i="5" s="1"/>
  <c r="M113" i="5"/>
  <c r="S113" i="5" s="1"/>
  <c r="M107" i="5"/>
  <c r="S107" i="5" s="1"/>
  <c r="M78" i="5"/>
  <c r="S78" i="5" s="1"/>
  <c r="M288" i="5"/>
  <c r="S288" i="5" s="1"/>
  <c r="M273" i="5"/>
  <c r="S273" i="5" s="1"/>
  <c r="M258" i="5"/>
  <c r="S258" i="5" s="1"/>
  <c r="M239" i="5"/>
  <c r="S239" i="5" s="1"/>
  <c r="M224" i="5"/>
  <c r="S224" i="5" s="1"/>
  <c r="M177" i="5"/>
  <c r="S177" i="5" s="1"/>
  <c r="M164" i="5"/>
  <c r="S164" i="5" s="1"/>
  <c r="M161" i="5"/>
  <c r="S161" i="5" s="1"/>
  <c r="M141" i="5"/>
  <c r="S141" i="5" s="1"/>
  <c r="M110" i="5"/>
  <c r="S110" i="5" s="1"/>
  <c r="M87" i="5"/>
  <c r="S87" i="5" s="1"/>
  <c r="M64" i="5"/>
  <c r="S64" i="5" s="1"/>
  <c r="M58" i="5"/>
  <c r="S58" i="5" s="1"/>
  <c r="M277" i="5"/>
  <c r="S277" i="5" s="1"/>
  <c r="M90" i="5"/>
  <c r="S90" i="5" s="1"/>
  <c r="M210" i="5"/>
  <c r="S210" i="5" s="1"/>
  <c r="M178" i="5"/>
  <c r="S178" i="5" s="1"/>
  <c r="M146" i="5"/>
  <c r="S146" i="5" s="1"/>
  <c r="M114" i="5"/>
  <c r="S114" i="5" s="1"/>
  <c r="M70" i="5"/>
  <c r="S70" i="5" s="1"/>
  <c r="B17" i="3"/>
  <c r="B16" i="3"/>
  <c r="K22" i="2"/>
  <c r="O22" i="2" s="1"/>
  <c r="K115" i="2"/>
  <c r="O115" i="2" s="1"/>
  <c r="K83" i="2"/>
  <c r="O83" i="2" s="1"/>
  <c r="K84" i="2"/>
  <c r="O84" i="2" s="1"/>
  <c r="K110" i="2"/>
  <c r="O110" i="2" s="1"/>
  <c r="K123" i="2"/>
  <c r="O123" i="2" s="1"/>
  <c r="K124" i="2"/>
  <c r="O124" i="2" s="1"/>
  <c r="K54" i="2"/>
  <c r="O54" i="2" s="1"/>
  <c r="K125" i="2"/>
  <c r="O125" i="2" s="1"/>
  <c r="K126" i="2"/>
  <c r="O126" i="2" s="1"/>
  <c r="K139" i="2"/>
  <c r="O139" i="2" s="1"/>
  <c r="K140" i="2"/>
  <c r="O140" i="2" s="1"/>
  <c r="K141" i="2"/>
  <c r="O141" i="2" s="1"/>
  <c r="K142" i="2"/>
  <c r="O142" i="2" s="1"/>
  <c r="K3" i="2"/>
  <c r="O3" i="2" s="1"/>
  <c r="K4" i="2"/>
  <c r="O4" i="2" s="1"/>
  <c r="K5" i="2"/>
  <c r="O5" i="2" s="1"/>
  <c r="K6" i="2"/>
  <c r="O6" i="2" s="1"/>
  <c r="K7" i="2"/>
  <c r="O7" i="2" s="1"/>
  <c r="K8" i="2"/>
  <c r="O8" i="2" s="1"/>
  <c r="K9" i="2"/>
  <c r="O9" i="2" s="1"/>
  <c r="K10" i="2"/>
  <c r="O10" i="2" s="1"/>
  <c r="K11" i="2"/>
  <c r="O11" i="2" s="1"/>
  <c r="K12" i="2"/>
  <c r="O12" i="2" s="1"/>
  <c r="K13" i="2"/>
  <c r="O13" i="2" s="1"/>
  <c r="K14" i="2"/>
  <c r="O14" i="2" s="1"/>
  <c r="K15" i="2"/>
  <c r="O15" i="2" s="1"/>
  <c r="K16" i="2"/>
  <c r="O16" i="2" s="1"/>
  <c r="K55" i="2"/>
  <c r="O55" i="2" s="1"/>
  <c r="K56" i="2"/>
  <c r="O56" i="2" s="1"/>
  <c r="K57" i="2"/>
  <c r="O57" i="2" s="1"/>
  <c r="K58" i="2"/>
  <c r="O58" i="2" s="1"/>
  <c r="K59" i="2"/>
  <c r="O59" i="2" s="1"/>
  <c r="K60" i="2"/>
  <c r="O60" i="2" s="1"/>
  <c r="K61" i="2"/>
  <c r="O61" i="2" s="1"/>
  <c r="K62" i="2"/>
  <c r="O62" i="2" s="1"/>
  <c r="K63" i="2"/>
  <c r="O63" i="2" s="1"/>
  <c r="K64" i="2"/>
  <c r="O64" i="2" s="1"/>
  <c r="K186" i="2"/>
  <c r="O186" i="2" s="1"/>
  <c r="K65" i="2"/>
  <c r="O65" i="2" s="1"/>
  <c r="K66" i="2"/>
  <c r="O66" i="2" s="1"/>
  <c r="K85" i="2"/>
  <c r="O85" i="2" s="1"/>
  <c r="K86" i="2"/>
  <c r="O86" i="2" s="1"/>
  <c r="K87" i="2"/>
  <c r="O87" i="2" s="1"/>
  <c r="K88" i="2"/>
  <c r="O88" i="2" s="1"/>
  <c r="K89" i="2"/>
  <c r="O89" i="2" s="1"/>
  <c r="K114" i="2"/>
  <c r="O114" i="2" s="1"/>
  <c r="K23" i="2"/>
  <c r="O23" i="2" s="1"/>
  <c r="K24" i="2"/>
  <c r="O24" i="2" s="1"/>
  <c r="K25" i="2"/>
  <c r="O25" i="2" s="1"/>
  <c r="K26" i="2"/>
  <c r="O26" i="2" s="1"/>
  <c r="K136" i="2"/>
  <c r="O136" i="2" s="1"/>
  <c r="K196" i="2"/>
  <c r="O196" i="2" s="1"/>
  <c r="K197" i="2"/>
  <c r="O197" i="2" s="1"/>
  <c r="K93" i="2"/>
  <c r="O93" i="2" s="1"/>
  <c r="K94" i="2"/>
  <c r="O94" i="2" s="1"/>
  <c r="K95" i="2"/>
  <c r="O95" i="2" s="1"/>
  <c r="K96" i="2"/>
  <c r="O96" i="2" s="1"/>
  <c r="K97" i="2"/>
  <c r="O97" i="2" s="1"/>
  <c r="K202" i="2"/>
  <c r="O202" i="2" s="1"/>
  <c r="K203" i="2"/>
  <c r="O203" i="2" s="1"/>
  <c r="K204" i="2"/>
  <c r="O204" i="2" s="1"/>
  <c r="K205" i="2"/>
  <c r="O205" i="2" s="1"/>
  <c r="K27" i="2"/>
  <c r="O27" i="2" s="1"/>
  <c r="K28" i="2"/>
  <c r="O28" i="2" s="1"/>
  <c r="K29" i="2"/>
  <c r="O29" i="2" s="1"/>
  <c r="K30" i="2"/>
  <c r="O30" i="2" s="1"/>
  <c r="K98" i="2"/>
  <c r="O98" i="2" s="1"/>
  <c r="K99" i="2"/>
  <c r="O99" i="2" s="1"/>
  <c r="K100" i="2"/>
  <c r="O100" i="2" s="1"/>
  <c r="K101" i="2"/>
  <c r="O101" i="2" s="1"/>
  <c r="K102" i="2"/>
  <c r="O102" i="2" s="1"/>
  <c r="K103" i="2"/>
  <c r="O103" i="2" s="1"/>
  <c r="K31" i="2"/>
  <c r="O31" i="2" s="1"/>
  <c r="K32" i="2"/>
  <c r="O32" i="2" s="1"/>
  <c r="K33" i="2"/>
  <c r="O33" i="2" s="1"/>
  <c r="K34" i="2"/>
  <c r="O34" i="2" s="1"/>
  <c r="K35" i="2"/>
  <c r="O35" i="2" s="1"/>
  <c r="K36" i="2"/>
  <c r="O36" i="2" s="1"/>
  <c r="K37" i="2"/>
  <c r="O37" i="2" s="1"/>
  <c r="K38" i="2"/>
  <c r="O38" i="2" s="1"/>
  <c r="K39" i="2"/>
  <c r="O39" i="2" s="1"/>
  <c r="K40" i="2"/>
  <c r="O40" i="2" s="1"/>
  <c r="K41" i="2"/>
  <c r="O41" i="2" s="1"/>
  <c r="K42" i="2"/>
  <c r="O42" i="2" s="1"/>
  <c r="K67" i="2"/>
  <c r="O67" i="2" s="1"/>
  <c r="K68" i="2"/>
  <c r="O68" i="2" s="1"/>
  <c r="K69" i="2"/>
  <c r="O69" i="2" s="1"/>
  <c r="K127" i="2"/>
  <c r="O127" i="2" s="1"/>
  <c r="K128" i="2"/>
  <c r="O128" i="2" s="1"/>
  <c r="K129" i="2"/>
  <c r="O129" i="2" s="1"/>
  <c r="K130" i="2"/>
  <c r="O130" i="2" s="1"/>
  <c r="K187" i="2"/>
  <c r="O187" i="2" s="1"/>
  <c r="K70" i="2"/>
  <c r="O70" i="2" s="1"/>
  <c r="K43" i="2"/>
  <c r="O43" i="2" s="1"/>
  <c r="K44" i="2"/>
  <c r="O44" i="2" s="1"/>
  <c r="K71" i="2"/>
  <c r="O71" i="2" s="1"/>
  <c r="K116" i="2"/>
  <c r="O116" i="2" s="1"/>
  <c r="K117" i="2"/>
  <c r="O117" i="2" s="1"/>
  <c r="K17" i="2"/>
  <c r="O17" i="2" s="1"/>
  <c r="K18" i="2"/>
  <c r="O18" i="2" s="1"/>
  <c r="K19" i="2"/>
  <c r="O19" i="2" s="1"/>
  <c r="K72" i="2"/>
  <c r="O72" i="2" s="1"/>
  <c r="K189" i="2"/>
  <c r="O189" i="2" s="1"/>
  <c r="K131" i="2"/>
  <c r="O131" i="2" s="1"/>
  <c r="K111" i="2"/>
  <c r="O111" i="2" s="1"/>
  <c r="K137" i="2"/>
  <c r="O137" i="2" s="1"/>
  <c r="K143" i="2"/>
  <c r="O143" i="2" s="1"/>
  <c r="K144" i="2"/>
  <c r="O144" i="2" s="1"/>
  <c r="K145" i="2"/>
  <c r="O145" i="2" s="1"/>
  <c r="K190" i="2"/>
  <c r="O190" i="2" s="1"/>
  <c r="K146" i="2"/>
  <c r="O146" i="2" s="1"/>
  <c r="K147" i="2"/>
  <c r="O147" i="2" s="1"/>
  <c r="K148" i="2"/>
  <c r="O148" i="2" s="1"/>
  <c r="K149" i="2"/>
  <c r="O149" i="2" s="1"/>
  <c r="K150" i="2"/>
  <c r="O150" i="2" s="1"/>
  <c r="K151" i="2"/>
  <c r="O151" i="2" s="1"/>
  <c r="K152" i="2"/>
  <c r="O152" i="2" s="1"/>
  <c r="K153" i="2"/>
  <c r="O153" i="2" s="1"/>
  <c r="K154" i="2"/>
  <c r="O154" i="2" s="1"/>
  <c r="K191" i="2"/>
  <c r="O191" i="2" s="1"/>
  <c r="K192" i="2"/>
  <c r="O192" i="2" s="1"/>
  <c r="K155" i="2"/>
  <c r="O155" i="2" s="1"/>
  <c r="K156" i="2"/>
  <c r="O156" i="2" s="1"/>
  <c r="K157" i="2"/>
  <c r="O157" i="2" s="1"/>
  <c r="K158" i="2"/>
  <c r="O158" i="2" s="1"/>
  <c r="K159" i="2"/>
  <c r="O159" i="2" s="1"/>
  <c r="K160" i="2"/>
  <c r="O160" i="2" s="1"/>
  <c r="K161" i="2"/>
  <c r="O161" i="2" s="1"/>
  <c r="K162" i="2"/>
  <c r="O162" i="2" s="1"/>
  <c r="K163" i="2"/>
  <c r="O163" i="2" s="1"/>
  <c r="K164" i="2"/>
  <c r="O164" i="2" s="1"/>
  <c r="K165" i="2"/>
  <c r="O165" i="2" s="1"/>
  <c r="K166" i="2"/>
  <c r="O166" i="2" s="1"/>
  <c r="K167" i="2"/>
  <c r="O167" i="2" s="1"/>
  <c r="K168" i="2"/>
  <c r="O168" i="2" s="1"/>
  <c r="K169" i="2"/>
  <c r="O169" i="2" s="1"/>
  <c r="K170" i="2"/>
  <c r="O170" i="2" s="1"/>
  <c r="K171" i="2"/>
  <c r="O171" i="2" s="1"/>
  <c r="K172" i="2"/>
  <c r="O172" i="2" s="1"/>
  <c r="K173" i="2"/>
  <c r="O173" i="2" s="1"/>
  <c r="K174" i="2"/>
  <c r="O174" i="2" s="1"/>
  <c r="K175" i="2"/>
  <c r="O175" i="2" s="1"/>
  <c r="K176" i="2"/>
  <c r="O176" i="2" s="1"/>
  <c r="K177" i="2"/>
  <c r="O177" i="2" s="1"/>
  <c r="K178" i="2"/>
  <c r="O178" i="2" s="1"/>
  <c r="K179" i="2"/>
  <c r="O179" i="2" s="1"/>
  <c r="K180" i="2"/>
  <c r="O180" i="2" s="1"/>
  <c r="K181" i="2"/>
  <c r="O181" i="2" s="1"/>
  <c r="K182" i="2"/>
  <c r="O182" i="2" s="1"/>
  <c r="K183" i="2"/>
  <c r="O183" i="2" s="1"/>
  <c r="K184" i="2"/>
  <c r="O184" i="2" s="1"/>
  <c r="K193" i="2"/>
  <c r="O193" i="2" s="1"/>
  <c r="K194" i="2"/>
  <c r="O194" i="2" s="1"/>
  <c r="K195" i="2"/>
  <c r="O195" i="2" s="1"/>
  <c r="K73" i="2"/>
  <c r="O73" i="2" s="1"/>
  <c r="K74" i="2"/>
  <c r="O74" i="2" s="1"/>
  <c r="K132" i="2"/>
  <c r="O132" i="2" s="1"/>
  <c r="K133" i="2"/>
  <c r="O133" i="2" s="1"/>
  <c r="K45" i="2"/>
  <c r="O45" i="2" s="1"/>
  <c r="K134" i="2"/>
  <c r="O134" i="2" s="1"/>
  <c r="K138" i="2"/>
  <c r="O138" i="2" s="1"/>
  <c r="K135" i="2"/>
  <c r="O135" i="2" s="1"/>
  <c r="K20" i="2"/>
  <c r="O20" i="2" s="1"/>
  <c r="K118" i="2"/>
  <c r="O118" i="2" s="1"/>
  <c r="K119" i="2"/>
  <c r="O119" i="2" s="1"/>
  <c r="K120" i="2"/>
  <c r="O120" i="2" s="1"/>
  <c r="K121" i="2"/>
  <c r="O121" i="2" s="1"/>
  <c r="K185" i="2"/>
  <c r="O185" i="2" s="1"/>
  <c r="K90" i="2"/>
  <c r="O90" i="2" s="1"/>
  <c r="K91" i="2"/>
  <c r="O91" i="2" s="1"/>
  <c r="K112" i="2"/>
  <c r="O112" i="2" s="1"/>
  <c r="K113" i="2"/>
  <c r="O113" i="2" s="1"/>
  <c r="K104" i="2"/>
  <c r="O104" i="2" s="1"/>
  <c r="K105" i="2"/>
  <c r="O105" i="2" s="1"/>
  <c r="K106" i="2"/>
  <c r="O106" i="2" s="1"/>
  <c r="K107" i="2"/>
  <c r="O107" i="2" s="1"/>
  <c r="K108" i="2"/>
  <c r="O108" i="2" s="1"/>
  <c r="K109" i="2"/>
  <c r="O109" i="2" s="1"/>
  <c r="K75" i="2"/>
  <c r="O75" i="2" s="1"/>
  <c r="K198" i="2"/>
  <c r="O198" i="2" s="1"/>
  <c r="K199" i="2"/>
  <c r="O199" i="2" s="1"/>
  <c r="K200" i="2"/>
  <c r="O200" i="2" s="1"/>
  <c r="K201" i="2"/>
  <c r="O201" i="2" s="1"/>
  <c r="K46" i="2"/>
  <c r="O46" i="2" s="1"/>
  <c r="K47" i="2"/>
  <c r="O47" i="2" s="1"/>
  <c r="K48" i="2"/>
  <c r="O48" i="2" s="1"/>
  <c r="K49" i="2"/>
  <c r="O49" i="2" s="1"/>
  <c r="K50" i="2"/>
  <c r="O50" i="2" s="1"/>
  <c r="K51" i="2"/>
  <c r="O51" i="2" s="1"/>
  <c r="K21" i="2"/>
  <c r="O21" i="2" s="1"/>
  <c r="K76" i="2"/>
  <c r="O76" i="2" s="1"/>
  <c r="K77" i="2"/>
  <c r="O77" i="2" s="1"/>
  <c r="K78" i="2"/>
  <c r="O78" i="2" s="1"/>
  <c r="K79" i="2"/>
  <c r="O79" i="2" s="1"/>
  <c r="K80" i="2"/>
  <c r="O80" i="2" s="1"/>
  <c r="K81" i="2"/>
  <c r="O81" i="2" s="1"/>
  <c r="K82" i="2"/>
  <c r="O82" i="2" s="1"/>
  <c r="K122" i="2"/>
  <c r="O122" i="2" s="1"/>
  <c r="H22" i="2"/>
  <c r="L22" i="2" s="1"/>
  <c r="I22" i="2"/>
  <c r="M22" i="2" s="1"/>
  <c r="J22" i="2"/>
  <c r="N22" i="2" s="1"/>
  <c r="H115" i="2"/>
  <c r="L115" i="2" s="1"/>
  <c r="I115" i="2"/>
  <c r="M115" i="2" s="1"/>
  <c r="J115" i="2"/>
  <c r="N115" i="2" s="1"/>
  <c r="H83" i="2"/>
  <c r="L83" i="2" s="1"/>
  <c r="I83" i="2"/>
  <c r="M83" i="2" s="1"/>
  <c r="J83" i="2"/>
  <c r="N83" i="2" s="1"/>
  <c r="H84" i="2"/>
  <c r="L84" i="2" s="1"/>
  <c r="I84" i="2"/>
  <c r="M84" i="2" s="1"/>
  <c r="J84" i="2"/>
  <c r="N84" i="2" s="1"/>
  <c r="H110" i="2"/>
  <c r="L110" i="2" s="1"/>
  <c r="I110" i="2"/>
  <c r="M110" i="2" s="1"/>
  <c r="N110" i="2"/>
  <c r="H123" i="2"/>
  <c r="L123" i="2" s="1"/>
  <c r="I123" i="2"/>
  <c r="M123" i="2" s="1"/>
  <c r="J123" i="2"/>
  <c r="N123" i="2" s="1"/>
  <c r="H124" i="2"/>
  <c r="L124" i="2" s="1"/>
  <c r="I124" i="2"/>
  <c r="M124" i="2" s="1"/>
  <c r="J124" i="2"/>
  <c r="N124" i="2" s="1"/>
  <c r="H54" i="2"/>
  <c r="L54" i="2" s="1"/>
  <c r="I54" i="2"/>
  <c r="M54" i="2" s="1"/>
  <c r="J54" i="2"/>
  <c r="N54" i="2" s="1"/>
  <c r="H125" i="2"/>
  <c r="L125" i="2" s="1"/>
  <c r="I125" i="2"/>
  <c r="M125" i="2" s="1"/>
  <c r="J125" i="2"/>
  <c r="N125" i="2" s="1"/>
  <c r="H126" i="2"/>
  <c r="L126" i="2" s="1"/>
  <c r="I126" i="2"/>
  <c r="M126" i="2" s="1"/>
  <c r="J126" i="2"/>
  <c r="N126" i="2" s="1"/>
  <c r="H2" i="2"/>
  <c r="L2" i="2" s="1"/>
  <c r="I2" i="2"/>
  <c r="M2" i="2" s="1"/>
  <c r="J2" i="2"/>
  <c r="N2" i="2" s="1"/>
  <c r="H92" i="2"/>
  <c r="L92" i="2" s="1"/>
  <c r="I92" i="2"/>
  <c r="M92" i="2" s="1"/>
  <c r="J92" i="2"/>
  <c r="N92" i="2" s="1"/>
  <c r="H139" i="2"/>
  <c r="L139" i="2" s="1"/>
  <c r="I139" i="2"/>
  <c r="M139" i="2" s="1"/>
  <c r="J139" i="2"/>
  <c r="N139" i="2" s="1"/>
  <c r="H140" i="2"/>
  <c r="L140" i="2" s="1"/>
  <c r="I140" i="2"/>
  <c r="M140" i="2" s="1"/>
  <c r="J140" i="2"/>
  <c r="N140" i="2" s="1"/>
  <c r="H141" i="2"/>
  <c r="L141" i="2" s="1"/>
  <c r="I141" i="2"/>
  <c r="M141" i="2" s="1"/>
  <c r="J141" i="2"/>
  <c r="N141" i="2" s="1"/>
  <c r="H142" i="2"/>
  <c r="L142" i="2" s="1"/>
  <c r="I142" i="2"/>
  <c r="M142" i="2" s="1"/>
  <c r="J142" i="2"/>
  <c r="N142" i="2" s="1"/>
  <c r="H3" i="2"/>
  <c r="L3" i="2" s="1"/>
  <c r="I3" i="2"/>
  <c r="M3" i="2" s="1"/>
  <c r="J3" i="2"/>
  <c r="N3" i="2" s="1"/>
  <c r="H4" i="2"/>
  <c r="L4" i="2" s="1"/>
  <c r="I4" i="2"/>
  <c r="M4" i="2" s="1"/>
  <c r="J4" i="2"/>
  <c r="N4" i="2" s="1"/>
  <c r="H5" i="2"/>
  <c r="L5" i="2" s="1"/>
  <c r="I5" i="2"/>
  <c r="M5" i="2" s="1"/>
  <c r="J5" i="2"/>
  <c r="N5" i="2" s="1"/>
  <c r="H6" i="2"/>
  <c r="L6" i="2" s="1"/>
  <c r="I6" i="2"/>
  <c r="M6" i="2" s="1"/>
  <c r="J6" i="2"/>
  <c r="N6" i="2" s="1"/>
  <c r="H7" i="2"/>
  <c r="L7" i="2" s="1"/>
  <c r="I7" i="2"/>
  <c r="M7" i="2" s="1"/>
  <c r="J7" i="2"/>
  <c r="N7" i="2" s="1"/>
  <c r="H8" i="2"/>
  <c r="L8" i="2" s="1"/>
  <c r="I8" i="2"/>
  <c r="M8" i="2" s="1"/>
  <c r="J8" i="2"/>
  <c r="N8" i="2" s="1"/>
  <c r="H9" i="2"/>
  <c r="L9" i="2" s="1"/>
  <c r="I9" i="2"/>
  <c r="M9" i="2" s="1"/>
  <c r="J9" i="2"/>
  <c r="N9" i="2" s="1"/>
  <c r="H10" i="2"/>
  <c r="L10" i="2" s="1"/>
  <c r="I10" i="2"/>
  <c r="M10" i="2" s="1"/>
  <c r="J10" i="2"/>
  <c r="N10" i="2" s="1"/>
  <c r="H11" i="2"/>
  <c r="L11" i="2" s="1"/>
  <c r="I11" i="2"/>
  <c r="M11" i="2" s="1"/>
  <c r="J11" i="2"/>
  <c r="N11" i="2" s="1"/>
  <c r="H12" i="2"/>
  <c r="L12" i="2" s="1"/>
  <c r="I12" i="2"/>
  <c r="M12" i="2" s="1"/>
  <c r="J12" i="2"/>
  <c r="N12" i="2" s="1"/>
  <c r="H13" i="2"/>
  <c r="L13" i="2" s="1"/>
  <c r="I13" i="2"/>
  <c r="M13" i="2" s="1"/>
  <c r="J13" i="2"/>
  <c r="N13" i="2" s="1"/>
  <c r="H14" i="2"/>
  <c r="L14" i="2" s="1"/>
  <c r="I14" i="2"/>
  <c r="M14" i="2" s="1"/>
  <c r="J14" i="2"/>
  <c r="N14" i="2" s="1"/>
  <c r="H15" i="2"/>
  <c r="L15" i="2" s="1"/>
  <c r="I15" i="2"/>
  <c r="M15" i="2" s="1"/>
  <c r="J15" i="2"/>
  <c r="N15" i="2" s="1"/>
  <c r="H16" i="2"/>
  <c r="L16" i="2" s="1"/>
  <c r="I16" i="2"/>
  <c r="M16" i="2" s="1"/>
  <c r="J16" i="2"/>
  <c r="N16" i="2" s="1"/>
  <c r="H55" i="2"/>
  <c r="L55" i="2" s="1"/>
  <c r="I55" i="2"/>
  <c r="M55" i="2" s="1"/>
  <c r="J55" i="2"/>
  <c r="N55" i="2" s="1"/>
  <c r="H56" i="2"/>
  <c r="L56" i="2" s="1"/>
  <c r="I56" i="2"/>
  <c r="M56" i="2" s="1"/>
  <c r="J56" i="2"/>
  <c r="N56" i="2" s="1"/>
  <c r="H57" i="2"/>
  <c r="L57" i="2" s="1"/>
  <c r="I57" i="2"/>
  <c r="M57" i="2" s="1"/>
  <c r="J57" i="2"/>
  <c r="N57" i="2" s="1"/>
  <c r="H58" i="2"/>
  <c r="L58" i="2" s="1"/>
  <c r="I58" i="2"/>
  <c r="M58" i="2" s="1"/>
  <c r="J58" i="2"/>
  <c r="N58" i="2" s="1"/>
  <c r="H59" i="2"/>
  <c r="L59" i="2" s="1"/>
  <c r="I59" i="2"/>
  <c r="M59" i="2" s="1"/>
  <c r="J59" i="2"/>
  <c r="N59" i="2" s="1"/>
  <c r="H60" i="2"/>
  <c r="L60" i="2" s="1"/>
  <c r="I60" i="2"/>
  <c r="M60" i="2" s="1"/>
  <c r="J60" i="2"/>
  <c r="N60" i="2" s="1"/>
  <c r="H61" i="2"/>
  <c r="L61" i="2" s="1"/>
  <c r="I61" i="2"/>
  <c r="M61" i="2" s="1"/>
  <c r="J61" i="2"/>
  <c r="N61" i="2" s="1"/>
  <c r="H62" i="2"/>
  <c r="L62" i="2" s="1"/>
  <c r="I62" i="2"/>
  <c r="M62" i="2" s="1"/>
  <c r="J62" i="2"/>
  <c r="N62" i="2" s="1"/>
  <c r="H63" i="2"/>
  <c r="L63" i="2" s="1"/>
  <c r="I63" i="2"/>
  <c r="M63" i="2" s="1"/>
  <c r="J63" i="2"/>
  <c r="N63" i="2" s="1"/>
  <c r="H64" i="2"/>
  <c r="L64" i="2" s="1"/>
  <c r="I64" i="2"/>
  <c r="M64" i="2" s="1"/>
  <c r="J64" i="2"/>
  <c r="N64" i="2" s="1"/>
  <c r="H186" i="2"/>
  <c r="L186" i="2" s="1"/>
  <c r="I186" i="2"/>
  <c r="M186" i="2" s="1"/>
  <c r="J186" i="2"/>
  <c r="N186" i="2" s="1"/>
  <c r="H65" i="2"/>
  <c r="L65" i="2" s="1"/>
  <c r="I65" i="2"/>
  <c r="M65" i="2" s="1"/>
  <c r="J65" i="2"/>
  <c r="N65" i="2" s="1"/>
  <c r="H66" i="2"/>
  <c r="L66" i="2" s="1"/>
  <c r="I66" i="2"/>
  <c r="M66" i="2" s="1"/>
  <c r="J66" i="2"/>
  <c r="N66" i="2" s="1"/>
  <c r="H85" i="2"/>
  <c r="L85" i="2" s="1"/>
  <c r="I85" i="2"/>
  <c r="M85" i="2" s="1"/>
  <c r="J85" i="2"/>
  <c r="N85" i="2" s="1"/>
  <c r="H86" i="2"/>
  <c r="L86" i="2" s="1"/>
  <c r="I86" i="2"/>
  <c r="M86" i="2" s="1"/>
  <c r="J86" i="2"/>
  <c r="N86" i="2" s="1"/>
  <c r="H87" i="2"/>
  <c r="L87" i="2" s="1"/>
  <c r="I87" i="2"/>
  <c r="M87" i="2" s="1"/>
  <c r="J87" i="2"/>
  <c r="N87" i="2" s="1"/>
  <c r="H88" i="2"/>
  <c r="L88" i="2" s="1"/>
  <c r="I88" i="2"/>
  <c r="M88" i="2" s="1"/>
  <c r="J88" i="2"/>
  <c r="N88" i="2" s="1"/>
  <c r="H89" i="2"/>
  <c r="L89" i="2" s="1"/>
  <c r="I89" i="2"/>
  <c r="M89" i="2" s="1"/>
  <c r="J89" i="2"/>
  <c r="N89" i="2" s="1"/>
  <c r="H114" i="2"/>
  <c r="L114" i="2" s="1"/>
  <c r="I114" i="2"/>
  <c r="M114" i="2" s="1"/>
  <c r="J114" i="2"/>
  <c r="N114" i="2" s="1"/>
  <c r="H23" i="2"/>
  <c r="L23" i="2" s="1"/>
  <c r="I23" i="2"/>
  <c r="M23" i="2" s="1"/>
  <c r="J23" i="2"/>
  <c r="N23" i="2" s="1"/>
  <c r="H24" i="2"/>
  <c r="L24" i="2" s="1"/>
  <c r="I24" i="2"/>
  <c r="M24" i="2" s="1"/>
  <c r="J24" i="2"/>
  <c r="N24" i="2" s="1"/>
  <c r="H25" i="2"/>
  <c r="L25" i="2" s="1"/>
  <c r="I25" i="2"/>
  <c r="M25" i="2" s="1"/>
  <c r="J25" i="2"/>
  <c r="N25" i="2" s="1"/>
  <c r="H26" i="2"/>
  <c r="L26" i="2" s="1"/>
  <c r="I26" i="2"/>
  <c r="M26" i="2" s="1"/>
  <c r="J26" i="2"/>
  <c r="N26" i="2" s="1"/>
  <c r="H136" i="2"/>
  <c r="L136" i="2" s="1"/>
  <c r="I136" i="2"/>
  <c r="M136" i="2" s="1"/>
  <c r="J136" i="2"/>
  <c r="N136" i="2" s="1"/>
  <c r="H196" i="2"/>
  <c r="L196" i="2" s="1"/>
  <c r="I196" i="2"/>
  <c r="M196" i="2" s="1"/>
  <c r="J196" i="2"/>
  <c r="N196" i="2" s="1"/>
  <c r="H197" i="2"/>
  <c r="L197" i="2" s="1"/>
  <c r="I197" i="2"/>
  <c r="M197" i="2" s="1"/>
  <c r="J197" i="2"/>
  <c r="N197" i="2" s="1"/>
  <c r="H93" i="2"/>
  <c r="L93" i="2" s="1"/>
  <c r="I93" i="2"/>
  <c r="M93" i="2" s="1"/>
  <c r="J93" i="2"/>
  <c r="N93" i="2" s="1"/>
  <c r="H94" i="2"/>
  <c r="L94" i="2" s="1"/>
  <c r="I94" i="2"/>
  <c r="M94" i="2" s="1"/>
  <c r="J94" i="2"/>
  <c r="N94" i="2" s="1"/>
  <c r="H95" i="2"/>
  <c r="L95" i="2" s="1"/>
  <c r="I95" i="2"/>
  <c r="M95" i="2" s="1"/>
  <c r="J95" i="2"/>
  <c r="N95" i="2" s="1"/>
  <c r="H96" i="2"/>
  <c r="L96" i="2" s="1"/>
  <c r="I96" i="2"/>
  <c r="M96" i="2" s="1"/>
  <c r="J96" i="2"/>
  <c r="N96" i="2" s="1"/>
  <c r="H97" i="2"/>
  <c r="L97" i="2" s="1"/>
  <c r="I97" i="2"/>
  <c r="M97" i="2" s="1"/>
  <c r="J97" i="2"/>
  <c r="N97" i="2" s="1"/>
  <c r="H202" i="2"/>
  <c r="L202" i="2" s="1"/>
  <c r="I202" i="2"/>
  <c r="M202" i="2" s="1"/>
  <c r="J202" i="2"/>
  <c r="N202" i="2" s="1"/>
  <c r="H203" i="2"/>
  <c r="L203" i="2" s="1"/>
  <c r="I203" i="2"/>
  <c r="M203" i="2" s="1"/>
  <c r="J203" i="2"/>
  <c r="N203" i="2" s="1"/>
  <c r="H204" i="2"/>
  <c r="L204" i="2" s="1"/>
  <c r="I204" i="2"/>
  <c r="M204" i="2" s="1"/>
  <c r="J204" i="2"/>
  <c r="N204" i="2" s="1"/>
  <c r="H205" i="2"/>
  <c r="L205" i="2" s="1"/>
  <c r="I205" i="2"/>
  <c r="M205" i="2" s="1"/>
  <c r="J205" i="2"/>
  <c r="N205" i="2" s="1"/>
  <c r="H27" i="2"/>
  <c r="L27" i="2" s="1"/>
  <c r="I27" i="2"/>
  <c r="M27" i="2" s="1"/>
  <c r="J27" i="2"/>
  <c r="N27" i="2" s="1"/>
  <c r="H28" i="2"/>
  <c r="L28" i="2" s="1"/>
  <c r="I28" i="2"/>
  <c r="M28" i="2" s="1"/>
  <c r="J28" i="2"/>
  <c r="N28" i="2" s="1"/>
  <c r="H29" i="2"/>
  <c r="L29" i="2" s="1"/>
  <c r="I29" i="2"/>
  <c r="M29" i="2" s="1"/>
  <c r="J29" i="2"/>
  <c r="N29" i="2" s="1"/>
  <c r="H30" i="2"/>
  <c r="L30" i="2" s="1"/>
  <c r="I30" i="2"/>
  <c r="M30" i="2" s="1"/>
  <c r="J30" i="2"/>
  <c r="N30" i="2" s="1"/>
  <c r="H98" i="2"/>
  <c r="L98" i="2" s="1"/>
  <c r="I98" i="2"/>
  <c r="M98" i="2" s="1"/>
  <c r="J98" i="2"/>
  <c r="N98" i="2" s="1"/>
  <c r="H99" i="2"/>
  <c r="L99" i="2" s="1"/>
  <c r="I99" i="2"/>
  <c r="M99" i="2" s="1"/>
  <c r="J99" i="2"/>
  <c r="N99" i="2" s="1"/>
  <c r="H100" i="2"/>
  <c r="L100" i="2" s="1"/>
  <c r="I100" i="2"/>
  <c r="M100" i="2" s="1"/>
  <c r="J100" i="2"/>
  <c r="N100" i="2" s="1"/>
  <c r="H101" i="2"/>
  <c r="L101" i="2" s="1"/>
  <c r="I101" i="2"/>
  <c r="M101" i="2" s="1"/>
  <c r="J101" i="2"/>
  <c r="N101" i="2" s="1"/>
  <c r="H102" i="2"/>
  <c r="L102" i="2" s="1"/>
  <c r="I102" i="2"/>
  <c r="M102" i="2" s="1"/>
  <c r="J102" i="2"/>
  <c r="N102" i="2" s="1"/>
  <c r="H103" i="2"/>
  <c r="L103" i="2" s="1"/>
  <c r="I103" i="2"/>
  <c r="M103" i="2" s="1"/>
  <c r="J103" i="2"/>
  <c r="N103" i="2" s="1"/>
  <c r="H31" i="2"/>
  <c r="L31" i="2" s="1"/>
  <c r="I31" i="2"/>
  <c r="M31" i="2" s="1"/>
  <c r="J31" i="2"/>
  <c r="N31" i="2" s="1"/>
  <c r="H32" i="2"/>
  <c r="L32" i="2" s="1"/>
  <c r="I32" i="2"/>
  <c r="M32" i="2" s="1"/>
  <c r="J32" i="2"/>
  <c r="N32" i="2" s="1"/>
  <c r="H33" i="2"/>
  <c r="L33" i="2" s="1"/>
  <c r="I33" i="2"/>
  <c r="M33" i="2" s="1"/>
  <c r="J33" i="2"/>
  <c r="N33" i="2" s="1"/>
  <c r="H34" i="2"/>
  <c r="L34" i="2" s="1"/>
  <c r="I34" i="2"/>
  <c r="M34" i="2" s="1"/>
  <c r="J34" i="2"/>
  <c r="N34" i="2" s="1"/>
  <c r="H35" i="2"/>
  <c r="L35" i="2" s="1"/>
  <c r="I35" i="2"/>
  <c r="M35" i="2" s="1"/>
  <c r="J35" i="2"/>
  <c r="N35" i="2" s="1"/>
  <c r="H36" i="2"/>
  <c r="L36" i="2" s="1"/>
  <c r="I36" i="2"/>
  <c r="M36" i="2" s="1"/>
  <c r="J36" i="2"/>
  <c r="N36" i="2" s="1"/>
  <c r="H37" i="2"/>
  <c r="L37" i="2" s="1"/>
  <c r="I37" i="2"/>
  <c r="M37" i="2" s="1"/>
  <c r="J37" i="2"/>
  <c r="N37" i="2" s="1"/>
  <c r="H38" i="2"/>
  <c r="L38" i="2" s="1"/>
  <c r="I38" i="2"/>
  <c r="M38" i="2" s="1"/>
  <c r="J38" i="2"/>
  <c r="N38" i="2" s="1"/>
  <c r="H39" i="2"/>
  <c r="L39" i="2" s="1"/>
  <c r="I39" i="2"/>
  <c r="M39" i="2" s="1"/>
  <c r="J39" i="2"/>
  <c r="N39" i="2" s="1"/>
  <c r="H40" i="2"/>
  <c r="L40" i="2" s="1"/>
  <c r="I40" i="2"/>
  <c r="M40" i="2" s="1"/>
  <c r="J40" i="2"/>
  <c r="N40" i="2" s="1"/>
  <c r="H41" i="2"/>
  <c r="L41" i="2" s="1"/>
  <c r="I41" i="2"/>
  <c r="M41" i="2" s="1"/>
  <c r="J41" i="2"/>
  <c r="N41" i="2" s="1"/>
  <c r="H42" i="2"/>
  <c r="L42" i="2" s="1"/>
  <c r="I42" i="2"/>
  <c r="M42" i="2" s="1"/>
  <c r="J42" i="2"/>
  <c r="N42" i="2" s="1"/>
  <c r="H67" i="2"/>
  <c r="L67" i="2" s="1"/>
  <c r="I67" i="2"/>
  <c r="M67" i="2" s="1"/>
  <c r="J67" i="2"/>
  <c r="N67" i="2" s="1"/>
  <c r="H68" i="2"/>
  <c r="L68" i="2" s="1"/>
  <c r="I68" i="2"/>
  <c r="M68" i="2" s="1"/>
  <c r="J68" i="2"/>
  <c r="N68" i="2" s="1"/>
  <c r="H69" i="2"/>
  <c r="L69" i="2" s="1"/>
  <c r="I69" i="2"/>
  <c r="M69" i="2" s="1"/>
  <c r="J69" i="2"/>
  <c r="N69" i="2" s="1"/>
  <c r="H127" i="2"/>
  <c r="L127" i="2" s="1"/>
  <c r="I127" i="2"/>
  <c r="M127" i="2" s="1"/>
  <c r="J127" i="2"/>
  <c r="N127" i="2" s="1"/>
  <c r="H128" i="2"/>
  <c r="L128" i="2" s="1"/>
  <c r="I128" i="2"/>
  <c r="M128" i="2" s="1"/>
  <c r="J128" i="2"/>
  <c r="N128" i="2" s="1"/>
  <c r="H129" i="2"/>
  <c r="L129" i="2" s="1"/>
  <c r="I129" i="2"/>
  <c r="M129" i="2" s="1"/>
  <c r="J129" i="2"/>
  <c r="N129" i="2" s="1"/>
  <c r="H130" i="2"/>
  <c r="L130" i="2" s="1"/>
  <c r="I130" i="2"/>
  <c r="M130" i="2" s="1"/>
  <c r="J130" i="2"/>
  <c r="N130" i="2" s="1"/>
  <c r="H187" i="2"/>
  <c r="L187" i="2" s="1"/>
  <c r="I187" i="2"/>
  <c r="M187" i="2" s="1"/>
  <c r="J187" i="2"/>
  <c r="N187" i="2" s="1"/>
  <c r="L188" i="2"/>
  <c r="M188" i="2"/>
  <c r="N188" i="2"/>
  <c r="H70" i="2"/>
  <c r="L70" i="2" s="1"/>
  <c r="I70" i="2"/>
  <c r="M70" i="2" s="1"/>
  <c r="J70" i="2"/>
  <c r="N70" i="2" s="1"/>
  <c r="H43" i="2"/>
  <c r="L43" i="2" s="1"/>
  <c r="I43" i="2"/>
  <c r="M43" i="2" s="1"/>
  <c r="J43" i="2"/>
  <c r="N43" i="2" s="1"/>
  <c r="H44" i="2"/>
  <c r="L44" i="2" s="1"/>
  <c r="I44" i="2"/>
  <c r="M44" i="2" s="1"/>
  <c r="J44" i="2"/>
  <c r="N44" i="2" s="1"/>
  <c r="H71" i="2"/>
  <c r="L71" i="2" s="1"/>
  <c r="I71" i="2"/>
  <c r="M71" i="2" s="1"/>
  <c r="J71" i="2"/>
  <c r="N71" i="2" s="1"/>
  <c r="H116" i="2"/>
  <c r="L116" i="2" s="1"/>
  <c r="I116" i="2"/>
  <c r="M116" i="2" s="1"/>
  <c r="J116" i="2"/>
  <c r="N116" i="2" s="1"/>
  <c r="H117" i="2"/>
  <c r="L117" i="2" s="1"/>
  <c r="I117" i="2"/>
  <c r="M117" i="2" s="1"/>
  <c r="J117" i="2"/>
  <c r="N117" i="2" s="1"/>
  <c r="H17" i="2"/>
  <c r="L17" i="2" s="1"/>
  <c r="I17" i="2"/>
  <c r="M17" i="2" s="1"/>
  <c r="J17" i="2"/>
  <c r="N17" i="2" s="1"/>
  <c r="H18" i="2"/>
  <c r="L18" i="2" s="1"/>
  <c r="I18" i="2"/>
  <c r="M18" i="2" s="1"/>
  <c r="J18" i="2"/>
  <c r="N18" i="2" s="1"/>
  <c r="H19" i="2"/>
  <c r="L19" i="2" s="1"/>
  <c r="I19" i="2"/>
  <c r="M19" i="2" s="1"/>
  <c r="J19" i="2"/>
  <c r="N19" i="2" s="1"/>
  <c r="H72" i="2"/>
  <c r="L72" i="2" s="1"/>
  <c r="I72" i="2"/>
  <c r="M72" i="2" s="1"/>
  <c r="J72" i="2"/>
  <c r="N72" i="2" s="1"/>
  <c r="H189" i="2"/>
  <c r="L189" i="2" s="1"/>
  <c r="I189" i="2"/>
  <c r="M189" i="2" s="1"/>
  <c r="J189" i="2"/>
  <c r="N189" i="2" s="1"/>
  <c r="H131" i="2"/>
  <c r="L131" i="2" s="1"/>
  <c r="I131" i="2"/>
  <c r="M131" i="2" s="1"/>
  <c r="J131" i="2"/>
  <c r="N131" i="2" s="1"/>
  <c r="H111" i="2"/>
  <c r="L111" i="2" s="1"/>
  <c r="I111" i="2"/>
  <c r="M111" i="2" s="1"/>
  <c r="J111" i="2"/>
  <c r="N111" i="2" s="1"/>
  <c r="H137" i="2"/>
  <c r="L137" i="2" s="1"/>
  <c r="I137" i="2"/>
  <c r="M137" i="2" s="1"/>
  <c r="J137" i="2"/>
  <c r="N137" i="2" s="1"/>
  <c r="H143" i="2"/>
  <c r="L143" i="2" s="1"/>
  <c r="I143" i="2"/>
  <c r="M143" i="2" s="1"/>
  <c r="J143" i="2"/>
  <c r="N143" i="2" s="1"/>
  <c r="H144" i="2"/>
  <c r="L144" i="2" s="1"/>
  <c r="I144" i="2"/>
  <c r="M144" i="2" s="1"/>
  <c r="J144" i="2"/>
  <c r="N144" i="2" s="1"/>
  <c r="H145" i="2"/>
  <c r="L145" i="2" s="1"/>
  <c r="I145" i="2"/>
  <c r="M145" i="2" s="1"/>
  <c r="J145" i="2"/>
  <c r="N145" i="2" s="1"/>
  <c r="H190" i="2"/>
  <c r="L190" i="2" s="1"/>
  <c r="I190" i="2"/>
  <c r="M190" i="2" s="1"/>
  <c r="J190" i="2"/>
  <c r="N190" i="2" s="1"/>
  <c r="H146" i="2"/>
  <c r="L146" i="2" s="1"/>
  <c r="I146" i="2"/>
  <c r="M146" i="2" s="1"/>
  <c r="J146" i="2"/>
  <c r="N146" i="2" s="1"/>
  <c r="H147" i="2"/>
  <c r="L147" i="2" s="1"/>
  <c r="I147" i="2"/>
  <c r="M147" i="2" s="1"/>
  <c r="J147" i="2"/>
  <c r="N147" i="2" s="1"/>
  <c r="H148" i="2"/>
  <c r="L148" i="2" s="1"/>
  <c r="I148" i="2"/>
  <c r="M148" i="2" s="1"/>
  <c r="J148" i="2"/>
  <c r="N148" i="2" s="1"/>
  <c r="H149" i="2"/>
  <c r="L149" i="2" s="1"/>
  <c r="I149" i="2"/>
  <c r="M149" i="2" s="1"/>
  <c r="J149" i="2"/>
  <c r="N149" i="2" s="1"/>
  <c r="H150" i="2"/>
  <c r="L150" i="2" s="1"/>
  <c r="I150" i="2"/>
  <c r="M150" i="2" s="1"/>
  <c r="J150" i="2"/>
  <c r="N150" i="2" s="1"/>
  <c r="H151" i="2"/>
  <c r="L151" i="2" s="1"/>
  <c r="I151" i="2"/>
  <c r="M151" i="2" s="1"/>
  <c r="J151" i="2"/>
  <c r="N151" i="2" s="1"/>
  <c r="H152" i="2"/>
  <c r="L152" i="2" s="1"/>
  <c r="I152" i="2"/>
  <c r="M152" i="2" s="1"/>
  <c r="J152" i="2"/>
  <c r="N152" i="2" s="1"/>
  <c r="H153" i="2"/>
  <c r="L153" i="2" s="1"/>
  <c r="I153" i="2"/>
  <c r="M153" i="2" s="1"/>
  <c r="J153" i="2"/>
  <c r="N153" i="2" s="1"/>
  <c r="H154" i="2"/>
  <c r="L154" i="2" s="1"/>
  <c r="I154" i="2"/>
  <c r="M154" i="2" s="1"/>
  <c r="J154" i="2"/>
  <c r="N154" i="2" s="1"/>
  <c r="H191" i="2"/>
  <c r="L191" i="2" s="1"/>
  <c r="I191" i="2"/>
  <c r="M191" i="2" s="1"/>
  <c r="J191" i="2"/>
  <c r="N191" i="2" s="1"/>
  <c r="H192" i="2"/>
  <c r="L192" i="2" s="1"/>
  <c r="I192" i="2"/>
  <c r="M192" i="2" s="1"/>
  <c r="J192" i="2"/>
  <c r="N192" i="2" s="1"/>
  <c r="H155" i="2"/>
  <c r="L155" i="2" s="1"/>
  <c r="I155" i="2"/>
  <c r="M155" i="2" s="1"/>
  <c r="J155" i="2"/>
  <c r="N155" i="2" s="1"/>
  <c r="H156" i="2"/>
  <c r="L156" i="2" s="1"/>
  <c r="I156" i="2"/>
  <c r="M156" i="2" s="1"/>
  <c r="J156" i="2"/>
  <c r="N156" i="2" s="1"/>
  <c r="H157" i="2"/>
  <c r="L157" i="2" s="1"/>
  <c r="I157" i="2"/>
  <c r="M157" i="2" s="1"/>
  <c r="J157" i="2"/>
  <c r="N157" i="2" s="1"/>
  <c r="H158" i="2"/>
  <c r="L158" i="2" s="1"/>
  <c r="I158" i="2"/>
  <c r="M158" i="2" s="1"/>
  <c r="J158" i="2"/>
  <c r="N158" i="2" s="1"/>
  <c r="H159" i="2"/>
  <c r="L159" i="2" s="1"/>
  <c r="I159" i="2"/>
  <c r="M159" i="2" s="1"/>
  <c r="J159" i="2"/>
  <c r="N159" i="2" s="1"/>
  <c r="H160" i="2"/>
  <c r="L160" i="2" s="1"/>
  <c r="I160" i="2"/>
  <c r="M160" i="2" s="1"/>
  <c r="J160" i="2"/>
  <c r="N160" i="2" s="1"/>
  <c r="H161" i="2"/>
  <c r="L161" i="2" s="1"/>
  <c r="I161" i="2"/>
  <c r="M161" i="2" s="1"/>
  <c r="J161" i="2"/>
  <c r="N161" i="2" s="1"/>
  <c r="H162" i="2"/>
  <c r="L162" i="2" s="1"/>
  <c r="I162" i="2"/>
  <c r="M162" i="2" s="1"/>
  <c r="J162" i="2"/>
  <c r="N162" i="2" s="1"/>
  <c r="H163" i="2"/>
  <c r="L163" i="2" s="1"/>
  <c r="I163" i="2"/>
  <c r="M163" i="2" s="1"/>
  <c r="J163" i="2"/>
  <c r="N163" i="2" s="1"/>
  <c r="H164" i="2"/>
  <c r="L164" i="2" s="1"/>
  <c r="I164" i="2"/>
  <c r="M164" i="2" s="1"/>
  <c r="J164" i="2"/>
  <c r="N164" i="2" s="1"/>
  <c r="H165" i="2"/>
  <c r="L165" i="2" s="1"/>
  <c r="I165" i="2"/>
  <c r="M165" i="2" s="1"/>
  <c r="J165" i="2"/>
  <c r="N165" i="2" s="1"/>
  <c r="H166" i="2"/>
  <c r="L166" i="2" s="1"/>
  <c r="I166" i="2"/>
  <c r="M166" i="2" s="1"/>
  <c r="J166" i="2"/>
  <c r="N166" i="2" s="1"/>
  <c r="H167" i="2"/>
  <c r="L167" i="2" s="1"/>
  <c r="I167" i="2"/>
  <c r="M167" i="2" s="1"/>
  <c r="J167" i="2"/>
  <c r="N167" i="2" s="1"/>
  <c r="H168" i="2"/>
  <c r="L168" i="2" s="1"/>
  <c r="I168" i="2"/>
  <c r="M168" i="2" s="1"/>
  <c r="J168" i="2"/>
  <c r="N168" i="2" s="1"/>
  <c r="H169" i="2"/>
  <c r="L169" i="2" s="1"/>
  <c r="I169" i="2"/>
  <c r="M169" i="2" s="1"/>
  <c r="J169" i="2"/>
  <c r="N169" i="2" s="1"/>
  <c r="H170" i="2"/>
  <c r="L170" i="2" s="1"/>
  <c r="I170" i="2"/>
  <c r="M170" i="2" s="1"/>
  <c r="J170" i="2"/>
  <c r="N170" i="2" s="1"/>
  <c r="H171" i="2"/>
  <c r="L171" i="2" s="1"/>
  <c r="I171" i="2"/>
  <c r="M171" i="2" s="1"/>
  <c r="J171" i="2"/>
  <c r="N171" i="2" s="1"/>
  <c r="H172" i="2"/>
  <c r="L172" i="2" s="1"/>
  <c r="I172" i="2"/>
  <c r="M172" i="2" s="1"/>
  <c r="J172" i="2"/>
  <c r="N172" i="2" s="1"/>
  <c r="H173" i="2"/>
  <c r="L173" i="2" s="1"/>
  <c r="I173" i="2"/>
  <c r="M173" i="2" s="1"/>
  <c r="J173" i="2"/>
  <c r="N173" i="2" s="1"/>
  <c r="H174" i="2"/>
  <c r="L174" i="2" s="1"/>
  <c r="I174" i="2"/>
  <c r="M174" i="2" s="1"/>
  <c r="J174" i="2"/>
  <c r="N174" i="2" s="1"/>
  <c r="H175" i="2"/>
  <c r="L175" i="2" s="1"/>
  <c r="I175" i="2"/>
  <c r="M175" i="2" s="1"/>
  <c r="J175" i="2"/>
  <c r="N175" i="2" s="1"/>
  <c r="H176" i="2"/>
  <c r="L176" i="2" s="1"/>
  <c r="I176" i="2"/>
  <c r="M176" i="2" s="1"/>
  <c r="J176" i="2"/>
  <c r="N176" i="2" s="1"/>
  <c r="H177" i="2"/>
  <c r="L177" i="2" s="1"/>
  <c r="I177" i="2"/>
  <c r="M177" i="2" s="1"/>
  <c r="J177" i="2"/>
  <c r="N177" i="2" s="1"/>
  <c r="H178" i="2"/>
  <c r="L178" i="2" s="1"/>
  <c r="I178" i="2"/>
  <c r="M178" i="2" s="1"/>
  <c r="J178" i="2"/>
  <c r="N178" i="2" s="1"/>
  <c r="H179" i="2"/>
  <c r="L179" i="2" s="1"/>
  <c r="I179" i="2"/>
  <c r="M179" i="2" s="1"/>
  <c r="J179" i="2"/>
  <c r="N179" i="2" s="1"/>
  <c r="H180" i="2"/>
  <c r="L180" i="2" s="1"/>
  <c r="I180" i="2"/>
  <c r="M180" i="2" s="1"/>
  <c r="J180" i="2"/>
  <c r="N180" i="2" s="1"/>
  <c r="H181" i="2"/>
  <c r="L181" i="2" s="1"/>
  <c r="I181" i="2"/>
  <c r="M181" i="2" s="1"/>
  <c r="J181" i="2"/>
  <c r="N181" i="2" s="1"/>
  <c r="H182" i="2"/>
  <c r="L182" i="2" s="1"/>
  <c r="I182" i="2"/>
  <c r="M182" i="2" s="1"/>
  <c r="J182" i="2"/>
  <c r="N182" i="2" s="1"/>
  <c r="H183" i="2"/>
  <c r="L183" i="2" s="1"/>
  <c r="I183" i="2"/>
  <c r="M183" i="2" s="1"/>
  <c r="J183" i="2"/>
  <c r="N183" i="2" s="1"/>
  <c r="H184" i="2"/>
  <c r="L184" i="2" s="1"/>
  <c r="I184" i="2"/>
  <c r="M184" i="2" s="1"/>
  <c r="J184" i="2"/>
  <c r="N184" i="2" s="1"/>
  <c r="H193" i="2"/>
  <c r="L193" i="2" s="1"/>
  <c r="I193" i="2"/>
  <c r="M193" i="2" s="1"/>
  <c r="J193" i="2"/>
  <c r="N193" i="2" s="1"/>
  <c r="H194" i="2"/>
  <c r="L194" i="2" s="1"/>
  <c r="I194" i="2"/>
  <c r="M194" i="2" s="1"/>
  <c r="J194" i="2"/>
  <c r="N194" i="2" s="1"/>
  <c r="H195" i="2"/>
  <c r="L195" i="2" s="1"/>
  <c r="I195" i="2"/>
  <c r="M195" i="2" s="1"/>
  <c r="J195" i="2"/>
  <c r="N195" i="2" s="1"/>
  <c r="H73" i="2"/>
  <c r="L73" i="2" s="1"/>
  <c r="I73" i="2"/>
  <c r="M73" i="2" s="1"/>
  <c r="J73" i="2"/>
  <c r="N73" i="2" s="1"/>
  <c r="H74" i="2"/>
  <c r="L74" i="2" s="1"/>
  <c r="I74" i="2"/>
  <c r="M74" i="2" s="1"/>
  <c r="J74" i="2"/>
  <c r="N74" i="2" s="1"/>
  <c r="H132" i="2"/>
  <c r="L132" i="2" s="1"/>
  <c r="I132" i="2"/>
  <c r="M132" i="2" s="1"/>
  <c r="J132" i="2"/>
  <c r="N132" i="2" s="1"/>
  <c r="H133" i="2"/>
  <c r="L133" i="2" s="1"/>
  <c r="I133" i="2"/>
  <c r="M133" i="2" s="1"/>
  <c r="J133" i="2"/>
  <c r="N133" i="2" s="1"/>
  <c r="H45" i="2"/>
  <c r="L45" i="2" s="1"/>
  <c r="I45" i="2"/>
  <c r="M45" i="2" s="1"/>
  <c r="J45" i="2"/>
  <c r="N45" i="2" s="1"/>
  <c r="H134" i="2"/>
  <c r="L134" i="2" s="1"/>
  <c r="I134" i="2"/>
  <c r="M134" i="2" s="1"/>
  <c r="J134" i="2"/>
  <c r="N134" i="2" s="1"/>
  <c r="H138" i="2"/>
  <c r="L138" i="2" s="1"/>
  <c r="I138" i="2"/>
  <c r="M138" i="2" s="1"/>
  <c r="J138" i="2"/>
  <c r="N138" i="2" s="1"/>
  <c r="H135" i="2"/>
  <c r="L135" i="2" s="1"/>
  <c r="I135" i="2"/>
  <c r="M135" i="2" s="1"/>
  <c r="J135" i="2"/>
  <c r="N135" i="2" s="1"/>
  <c r="H20" i="2"/>
  <c r="L20" i="2" s="1"/>
  <c r="I20" i="2"/>
  <c r="M20" i="2" s="1"/>
  <c r="J20" i="2"/>
  <c r="N20" i="2" s="1"/>
  <c r="H118" i="2"/>
  <c r="L118" i="2" s="1"/>
  <c r="I118" i="2"/>
  <c r="M118" i="2" s="1"/>
  <c r="J118" i="2"/>
  <c r="N118" i="2" s="1"/>
  <c r="H119" i="2"/>
  <c r="L119" i="2" s="1"/>
  <c r="I119" i="2"/>
  <c r="M119" i="2" s="1"/>
  <c r="J119" i="2"/>
  <c r="N119" i="2" s="1"/>
  <c r="H120" i="2"/>
  <c r="L120" i="2" s="1"/>
  <c r="I120" i="2"/>
  <c r="M120" i="2" s="1"/>
  <c r="J120" i="2"/>
  <c r="N120" i="2" s="1"/>
  <c r="H121" i="2"/>
  <c r="L121" i="2" s="1"/>
  <c r="I121" i="2"/>
  <c r="M121" i="2" s="1"/>
  <c r="J121" i="2"/>
  <c r="N121" i="2" s="1"/>
  <c r="H185" i="2"/>
  <c r="L185" i="2" s="1"/>
  <c r="I185" i="2"/>
  <c r="M185" i="2" s="1"/>
  <c r="J185" i="2"/>
  <c r="N185" i="2" s="1"/>
  <c r="H90" i="2"/>
  <c r="L90" i="2" s="1"/>
  <c r="I90" i="2"/>
  <c r="M90" i="2" s="1"/>
  <c r="J90" i="2"/>
  <c r="N90" i="2" s="1"/>
  <c r="H91" i="2"/>
  <c r="L91" i="2" s="1"/>
  <c r="I91" i="2"/>
  <c r="M91" i="2" s="1"/>
  <c r="J91" i="2"/>
  <c r="N91" i="2" s="1"/>
  <c r="H112" i="2"/>
  <c r="L112" i="2" s="1"/>
  <c r="I112" i="2"/>
  <c r="M112" i="2" s="1"/>
  <c r="J112" i="2"/>
  <c r="N112" i="2" s="1"/>
  <c r="H113" i="2"/>
  <c r="L113" i="2" s="1"/>
  <c r="I113" i="2"/>
  <c r="M113" i="2" s="1"/>
  <c r="J113" i="2"/>
  <c r="N113" i="2" s="1"/>
  <c r="H104" i="2"/>
  <c r="L104" i="2" s="1"/>
  <c r="I104" i="2"/>
  <c r="M104" i="2" s="1"/>
  <c r="J104" i="2"/>
  <c r="N104" i="2" s="1"/>
  <c r="H105" i="2"/>
  <c r="L105" i="2" s="1"/>
  <c r="I105" i="2"/>
  <c r="M105" i="2" s="1"/>
  <c r="J105" i="2"/>
  <c r="N105" i="2" s="1"/>
  <c r="H106" i="2"/>
  <c r="L106" i="2" s="1"/>
  <c r="I106" i="2"/>
  <c r="M106" i="2" s="1"/>
  <c r="J106" i="2"/>
  <c r="N106" i="2" s="1"/>
  <c r="H107" i="2"/>
  <c r="L107" i="2" s="1"/>
  <c r="I107" i="2"/>
  <c r="M107" i="2" s="1"/>
  <c r="J107" i="2"/>
  <c r="N107" i="2" s="1"/>
  <c r="H108" i="2"/>
  <c r="L108" i="2" s="1"/>
  <c r="I108" i="2"/>
  <c r="M108" i="2" s="1"/>
  <c r="J108" i="2"/>
  <c r="N108" i="2" s="1"/>
  <c r="H109" i="2"/>
  <c r="L109" i="2" s="1"/>
  <c r="I109" i="2"/>
  <c r="M109" i="2" s="1"/>
  <c r="J109" i="2"/>
  <c r="N109" i="2" s="1"/>
  <c r="H75" i="2"/>
  <c r="L75" i="2" s="1"/>
  <c r="I75" i="2"/>
  <c r="M75" i="2" s="1"/>
  <c r="J75" i="2"/>
  <c r="N75" i="2" s="1"/>
  <c r="H198" i="2"/>
  <c r="L198" i="2" s="1"/>
  <c r="I198" i="2"/>
  <c r="M198" i="2" s="1"/>
  <c r="J198" i="2"/>
  <c r="N198" i="2" s="1"/>
  <c r="H199" i="2"/>
  <c r="L199" i="2" s="1"/>
  <c r="I199" i="2"/>
  <c r="M199" i="2" s="1"/>
  <c r="J199" i="2"/>
  <c r="N199" i="2" s="1"/>
  <c r="H200" i="2"/>
  <c r="L200" i="2" s="1"/>
  <c r="I200" i="2"/>
  <c r="M200" i="2" s="1"/>
  <c r="J200" i="2"/>
  <c r="N200" i="2" s="1"/>
  <c r="H201" i="2"/>
  <c r="L201" i="2" s="1"/>
  <c r="I201" i="2"/>
  <c r="M201" i="2" s="1"/>
  <c r="J201" i="2"/>
  <c r="N201" i="2" s="1"/>
  <c r="H46" i="2"/>
  <c r="L46" i="2" s="1"/>
  <c r="I46" i="2"/>
  <c r="M46" i="2" s="1"/>
  <c r="J46" i="2"/>
  <c r="N46" i="2" s="1"/>
  <c r="H47" i="2"/>
  <c r="L47" i="2" s="1"/>
  <c r="I47" i="2"/>
  <c r="M47" i="2" s="1"/>
  <c r="J47" i="2"/>
  <c r="N47" i="2" s="1"/>
  <c r="H48" i="2"/>
  <c r="L48" i="2" s="1"/>
  <c r="I48" i="2"/>
  <c r="M48" i="2" s="1"/>
  <c r="J48" i="2"/>
  <c r="N48" i="2" s="1"/>
  <c r="H49" i="2"/>
  <c r="L49" i="2" s="1"/>
  <c r="I49" i="2"/>
  <c r="M49" i="2" s="1"/>
  <c r="J49" i="2"/>
  <c r="N49" i="2" s="1"/>
  <c r="H50" i="2"/>
  <c r="L50" i="2" s="1"/>
  <c r="I50" i="2"/>
  <c r="M50" i="2" s="1"/>
  <c r="J50" i="2"/>
  <c r="N50" i="2" s="1"/>
  <c r="H51" i="2"/>
  <c r="L51" i="2" s="1"/>
  <c r="I51" i="2"/>
  <c r="M51" i="2" s="1"/>
  <c r="J51" i="2"/>
  <c r="N51" i="2" s="1"/>
  <c r="H21" i="2"/>
  <c r="L21" i="2" s="1"/>
  <c r="I21" i="2"/>
  <c r="M21" i="2" s="1"/>
  <c r="J21" i="2"/>
  <c r="N21" i="2" s="1"/>
  <c r="H76" i="2"/>
  <c r="L76" i="2" s="1"/>
  <c r="I76" i="2"/>
  <c r="M76" i="2" s="1"/>
  <c r="J76" i="2"/>
  <c r="N76" i="2" s="1"/>
  <c r="H77" i="2"/>
  <c r="L77" i="2" s="1"/>
  <c r="I77" i="2"/>
  <c r="M77" i="2" s="1"/>
  <c r="J77" i="2"/>
  <c r="N77" i="2" s="1"/>
  <c r="H78" i="2"/>
  <c r="L78" i="2" s="1"/>
  <c r="I78" i="2"/>
  <c r="M78" i="2" s="1"/>
  <c r="J78" i="2"/>
  <c r="N78" i="2" s="1"/>
  <c r="H79" i="2"/>
  <c r="L79" i="2" s="1"/>
  <c r="I79" i="2"/>
  <c r="M79" i="2" s="1"/>
  <c r="J79" i="2"/>
  <c r="N79" i="2" s="1"/>
  <c r="H80" i="2"/>
  <c r="L80" i="2" s="1"/>
  <c r="I80" i="2"/>
  <c r="M80" i="2" s="1"/>
  <c r="J80" i="2"/>
  <c r="N80" i="2" s="1"/>
  <c r="H81" i="2"/>
  <c r="L81" i="2" s="1"/>
  <c r="I81" i="2"/>
  <c r="M81" i="2" s="1"/>
  <c r="J81" i="2"/>
  <c r="N81" i="2" s="1"/>
  <c r="H82" i="2"/>
  <c r="L82" i="2" s="1"/>
  <c r="I82" i="2"/>
  <c r="M82" i="2" s="1"/>
  <c r="J82" i="2"/>
  <c r="N82" i="2" s="1"/>
  <c r="J122" i="2"/>
  <c r="N122" i="2" s="1"/>
  <c r="I122" i="2"/>
  <c r="M122" i="2" s="1"/>
  <c r="L122" i="2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7" i="5"/>
  <c r="L1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15" i="3" a="1"/>
  <c r="L14" i="3" a="1"/>
  <c r="L17" i="3" a="1"/>
  <c r="L16" i="3" a="1"/>
  <c r="M37" i="5" a="1"/>
  <c r="M48" i="5" a="1"/>
  <c r="M9" i="5" a="1"/>
  <c r="M29" i="5" a="1"/>
  <c r="M45" i="5" a="1"/>
  <c r="M22" i="5" a="1"/>
  <c r="M33" i="5" a="1"/>
  <c r="M38" i="5" a="1"/>
  <c r="M13" i="5" a="1"/>
  <c r="M8" i="5" a="1"/>
  <c r="M39" i="5" a="1"/>
  <c r="M40" i="5" a="1"/>
  <c r="M26" i="5" a="1"/>
  <c r="M42" i="5" a="1"/>
  <c r="M20" i="5" a="1"/>
  <c r="M12" i="5" a="1"/>
  <c r="M10" i="5" a="1"/>
  <c r="M35" i="5" a="1"/>
  <c r="M25" i="5" a="1"/>
  <c r="M32" i="5" a="1"/>
  <c r="M41" i="5" a="1"/>
  <c r="M14" i="5" a="1"/>
  <c r="M15" i="5" a="1"/>
  <c r="M30" i="5" a="1"/>
  <c r="M16" i="5" a="1"/>
  <c r="M31" i="5" a="1"/>
  <c r="M19" i="5" a="1"/>
  <c r="M47" i="5" a="1"/>
  <c r="M17" i="5" a="1"/>
  <c r="M23" i="5" a="1"/>
  <c r="M7" i="5" a="1"/>
  <c r="M46" i="5" a="1"/>
  <c r="M36" i="5" a="1"/>
  <c r="M27" i="5" a="1"/>
  <c r="M18" i="5" a="1"/>
  <c r="M43" i="5" a="1"/>
  <c r="M24" i="5" a="1"/>
  <c r="M28" i="5" a="1"/>
  <c r="M34" i="5" a="1"/>
  <c r="M21" i="5" a="1"/>
  <c r="M44" i="5" a="1"/>
  <c r="M11" i="5" a="1"/>
  <c r="Q199" i="5" l="1"/>
  <c r="N199" i="5" s="1"/>
  <c r="R199" i="5"/>
  <c r="Q293" i="5"/>
  <c r="N293" i="5" s="1"/>
  <c r="R293" i="5"/>
  <c r="Q410" i="5"/>
  <c r="N410" i="5" s="1"/>
  <c r="R410" i="5"/>
  <c r="Q298" i="5"/>
  <c r="N298" i="5" s="1"/>
  <c r="R298" i="5"/>
  <c r="Q305" i="5"/>
  <c r="N305" i="5" s="1"/>
  <c r="R305" i="5"/>
  <c r="Q341" i="5"/>
  <c r="N341" i="5" s="1"/>
  <c r="R341" i="5"/>
  <c r="Q165" i="5"/>
  <c r="N165" i="5" s="1"/>
  <c r="R165" i="5"/>
  <c r="Q382" i="5"/>
  <c r="N382" i="5" s="1"/>
  <c r="R382" i="5"/>
  <c r="Q494" i="5"/>
  <c r="N494" i="5" s="1"/>
  <c r="R494" i="5"/>
  <c r="Q468" i="5"/>
  <c r="N468" i="5" s="1"/>
  <c r="R468" i="5"/>
  <c r="Q529" i="5"/>
  <c r="N529" i="5" s="1"/>
  <c r="R529" i="5"/>
  <c r="Q440" i="5"/>
  <c r="N440" i="5" s="1"/>
  <c r="R440" i="5"/>
  <c r="Q687" i="5"/>
  <c r="N687" i="5" s="1"/>
  <c r="R687" i="5"/>
  <c r="Q470" i="5"/>
  <c r="N470" i="5" s="1"/>
  <c r="R470" i="5"/>
  <c r="Q483" i="5"/>
  <c r="N483" i="5" s="1"/>
  <c r="R483" i="5"/>
  <c r="Q764" i="5"/>
  <c r="N764" i="5" s="1"/>
  <c r="R764" i="5"/>
  <c r="Q992" i="5"/>
  <c r="N992" i="5" s="1"/>
  <c r="R992" i="5"/>
  <c r="Q322" i="5"/>
  <c r="N322" i="5" s="1"/>
  <c r="R322" i="5"/>
  <c r="Q650" i="5"/>
  <c r="N650" i="5" s="1"/>
  <c r="R650" i="5"/>
  <c r="Q895" i="5"/>
  <c r="N895" i="5" s="1"/>
  <c r="R895" i="5"/>
  <c r="Q434" i="5"/>
  <c r="N434" i="5" s="1"/>
  <c r="R434" i="5"/>
  <c r="Q136" i="5"/>
  <c r="N136" i="5" s="1"/>
  <c r="R136" i="5"/>
  <c r="Q401" i="5"/>
  <c r="N401" i="5" s="1"/>
  <c r="R401" i="5"/>
  <c r="Q823" i="5"/>
  <c r="N823" i="5" s="1"/>
  <c r="R823" i="5"/>
  <c r="Q606" i="5"/>
  <c r="N606" i="5" s="1"/>
  <c r="R606" i="5"/>
  <c r="Q280" i="5"/>
  <c r="N280" i="5" s="1"/>
  <c r="R280" i="5"/>
  <c r="Q763" i="5"/>
  <c r="N763" i="5" s="1"/>
  <c r="R763" i="5"/>
  <c r="Q966" i="5"/>
  <c r="N966" i="5" s="1"/>
  <c r="R966" i="5"/>
  <c r="Q616" i="5"/>
  <c r="N616" i="5" s="1"/>
  <c r="R616" i="5"/>
  <c r="Q651" i="5"/>
  <c r="N651" i="5" s="1"/>
  <c r="R651" i="5"/>
  <c r="Q644" i="5"/>
  <c r="N644" i="5" s="1"/>
  <c r="R644" i="5"/>
  <c r="Q986" i="5"/>
  <c r="N986" i="5" s="1"/>
  <c r="R986" i="5"/>
  <c r="Q625" i="5"/>
  <c r="N625" i="5" s="1"/>
  <c r="R625" i="5"/>
  <c r="Q762" i="5"/>
  <c r="N762" i="5" s="1"/>
  <c r="R762" i="5"/>
  <c r="Q757" i="5"/>
  <c r="N757" i="5" s="1"/>
  <c r="R757" i="5"/>
  <c r="Q832" i="5"/>
  <c r="N832" i="5" s="1"/>
  <c r="R832" i="5"/>
  <c r="Q634" i="5"/>
  <c r="N634" i="5" s="1"/>
  <c r="R634" i="5"/>
  <c r="Q653" i="5"/>
  <c r="N653" i="5" s="1"/>
  <c r="R653" i="5"/>
  <c r="Q788" i="5"/>
  <c r="N788" i="5" s="1"/>
  <c r="R788" i="5"/>
  <c r="Q878" i="5"/>
  <c r="N878" i="5" s="1"/>
  <c r="R878" i="5"/>
  <c r="Q670" i="5"/>
  <c r="N670" i="5" s="1"/>
  <c r="R670" i="5"/>
  <c r="Q282" i="5"/>
  <c r="N282" i="5" s="1"/>
  <c r="R282" i="5"/>
  <c r="Q935" i="5"/>
  <c r="N935" i="5" s="1"/>
  <c r="R935" i="5"/>
  <c r="Q883" i="5"/>
  <c r="N883" i="5" s="1"/>
  <c r="R883" i="5"/>
  <c r="Q851" i="5"/>
  <c r="N851" i="5" s="1"/>
  <c r="R851" i="5"/>
  <c r="Q842" i="5"/>
  <c r="N842" i="5" s="1"/>
  <c r="R842" i="5"/>
  <c r="Q694" i="5"/>
  <c r="N694" i="5" s="1"/>
  <c r="R694" i="5"/>
  <c r="Q904" i="5"/>
  <c r="N904" i="5" s="1"/>
  <c r="R904" i="5"/>
  <c r="Q300" i="5"/>
  <c r="N300" i="5" s="1"/>
  <c r="R300" i="5"/>
  <c r="Q499" i="5"/>
  <c r="N499" i="5" s="1"/>
  <c r="R499" i="5"/>
  <c r="Q442" i="5"/>
  <c r="N442" i="5" s="1"/>
  <c r="R442" i="5"/>
  <c r="Q696" i="5"/>
  <c r="N696" i="5" s="1"/>
  <c r="R696" i="5"/>
  <c r="Q491" i="5"/>
  <c r="N491" i="5" s="1"/>
  <c r="R491" i="5"/>
  <c r="Q589" i="5"/>
  <c r="N589" i="5" s="1"/>
  <c r="R589" i="5"/>
  <c r="Q802" i="5"/>
  <c r="N802" i="5" s="1"/>
  <c r="R802" i="5"/>
  <c r="Q917" i="5"/>
  <c r="N917" i="5" s="1"/>
  <c r="R917" i="5"/>
  <c r="Q396" i="5"/>
  <c r="N396" i="5" s="1"/>
  <c r="R396" i="5"/>
  <c r="Q660" i="5"/>
  <c r="N660" i="5" s="1"/>
  <c r="R660" i="5"/>
  <c r="Q910" i="5"/>
  <c r="N910" i="5" s="1"/>
  <c r="R910" i="5"/>
  <c r="Q526" i="5"/>
  <c r="N526" i="5" s="1"/>
  <c r="R526" i="5"/>
  <c r="Q309" i="5"/>
  <c r="N309" i="5" s="1"/>
  <c r="R309" i="5"/>
  <c r="Q441" i="5"/>
  <c r="N441" i="5" s="1"/>
  <c r="R441" i="5"/>
  <c r="Q830" i="5"/>
  <c r="N830" i="5" s="1"/>
  <c r="R830" i="5"/>
  <c r="Q626" i="5"/>
  <c r="N626" i="5" s="1"/>
  <c r="R626" i="5"/>
  <c r="Q343" i="5"/>
  <c r="N343" i="5" s="1"/>
  <c r="R343" i="5"/>
  <c r="Q774" i="5"/>
  <c r="N774" i="5" s="1"/>
  <c r="R774" i="5"/>
  <c r="Q631" i="5"/>
  <c r="N631" i="5" s="1"/>
  <c r="R631" i="5"/>
  <c r="Q539" i="5"/>
  <c r="N539" i="5" s="1"/>
  <c r="R539" i="5"/>
  <c r="Q685" i="5"/>
  <c r="N685" i="5" s="1"/>
  <c r="R685" i="5"/>
  <c r="Q690" i="5"/>
  <c r="N690" i="5" s="1"/>
  <c r="R690" i="5"/>
  <c r="Q908" i="5"/>
  <c r="N908" i="5" s="1"/>
  <c r="R908" i="5"/>
  <c r="Q777" i="5"/>
  <c r="N777" i="5" s="1"/>
  <c r="R777" i="5"/>
  <c r="Q815" i="5"/>
  <c r="N815" i="5" s="1"/>
  <c r="R815" i="5"/>
  <c r="Q761" i="5"/>
  <c r="N761" i="5" s="1"/>
  <c r="R761" i="5"/>
  <c r="Q901" i="5"/>
  <c r="N901" i="5" s="1"/>
  <c r="R901" i="5"/>
  <c r="Q663" i="5"/>
  <c r="N663" i="5" s="1"/>
  <c r="R663" i="5"/>
  <c r="Q668" i="5"/>
  <c r="N668" i="5" s="1"/>
  <c r="R668" i="5"/>
  <c r="Q816" i="5"/>
  <c r="N816" i="5" s="1"/>
  <c r="R816" i="5"/>
  <c r="Q998" i="5"/>
  <c r="N998" i="5" s="1"/>
  <c r="R998" i="5"/>
  <c r="Q748" i="5"/>
  <c r="N748" i="5" s="1"/>
  <c r="R748" i="5"/>
  <c r="Q439" i="5"/>
  <c r="N439" i="5" s="1"/>
  <c r="R439" i="5"/>
  <c r="Q914" i="5"/>
  <c r="N914" i="5" s="1"/>
  <c r="R914" i="5"/>
  <c r="Q639" i="5"/>
  <c r="N639" i="5" s="1"/>
  <c r="R639" i="5"/>
  <c r="Q942" i="5"/>
  <c r="N942" i="5" s="1"/>
  <c r="R942" i="5"/>
  <c r="Q475" i="5"/>
  <c r="N475" i="5" s="1"/>
  <c r="R475" i="5"/>
  <c r="Q751" i="5"/>
  <c r="N751" i="5" s="1"/>
  <c r="R751" i="5"/>
  <c r="Q923" i="5"/>
  <c r="N923" i="5" s="1"/>
  <c r="R923" i="5"/>
  <c r="Q58" i="5"/>
  <c r="N58" i="5" s="1"/>
  <c r="R58" i="5"/>
  <c r="Q232" i="5"/>
  <c r="N232" i="5" s="1"/>
  <c r="R232" i="5"/>
  <c r="Q211" i="5"/>
  <c r="N211" i="5" s="1"/>
  <c r="R211" i="5"/>
  <c r="Q63" i="5"/>
  <c r="N63" i="5" s="1"/>
  <c r="R63" i="5"/>
  <c r="Q321" i="5"/>
  <c r="N321" i="5" s="1"/>
  <c r="R321" i="5"/>
  <c r="Q366" i="5"/>
  <c r="N366" i="5" s="1"/>
  <c r="R366" i="5"/>
  <c r="Q243" i="5"/>
  <c r="N243" i="5" s="1"/>
  <c r="R243" i="5"/>
  <c r="Q532" i="5"/>
  <c r="N532" i="5" s="1"/>
  <c r="R532" i="5"/>
  <c r="Q929" i="5"/>
  <c r="N929" i="5" s="1"/>
  <c r="R929" i="5"/>
  <c r="Q505" i="5"/>
  <c r="N505" i="5" s="1"/>
  <c r="R505" i="5"/>
  <c r="Q154" i="5"/>
  <c r="N154" i="5" s="1"/>
  <c r="R154" i="5"/>
  <c r="Q75" i="5"/>
  <c r="N75" i="5" s="1"/>
  <c r="R75" i="5"/>
  <c r="Q119" i="5"/>
  <c r="N119" i="5" s="1"/>
  <c r="R119" i="5"/>
  <c r="Q168" i="5"/>
  <c r="N168" i="5" s="1"/>
  <c r="R168" i="5"/>
  <c r="Q318" i="5"/>
  <c r="N318" i="5" s="1"/>
  <c r="R318" i="5"/>
  <c r="Q461" i="5"/>
  <c r="N461" i="5" s="1"/>
  <c r="R461" i="5"/>
  <c r="Q429" i="5"/>
  <c r="N429" i="5" s="1"/>
  <c r="R429" i="5"/>
  <c r="Q948" i="5"/>
  <c r="N948" i="5" s="1"/>
  <c r="R948" i="5"/>
  <c r="Q546" i="5"/>
  <c r="N546" i="5" s="1"/>
  <c r="R546" i="5"/>
  <c r="Q814" i="5"/>
  <c r="N814" i="5" s="1"/>
  <c r="R814" i="5"/>
  <c r="Q962" i="5"/>
  <c r="N962" i="5" s="1"/>
  <c r="R962" i="5"/>
  <c r="Q141" i="5"/>
  <c r="N141" i="5" s="1"/>
  <c r="R141" i="5"/>
  <c r="Q194" i="5"/>
  <c r="N194" i="5" s="1"/>
  <c r="R194" i="5"/>
  <c r="Q223" i="5"/>
  <c r="N223" i="5" s="1"/>
  <c r="R223" i="5"/>
  <c r="Q54" i="5"/>
  <c r="N54" i="5" s="1"/>
  <c r="R54" i="5"/>
  <c r="Q201" i="5"/>
  <c r="N201" i="5" s="1"/>
  <c r="R201" i="5"/>
  <c r="Q77" i="5"/>
  <c r="N77" i="5" s="1"/>
  <c r="R77" i="5"/>
  <c r="Q91" i="5"/>
  <c r="N91" i="5" s="1"/>
  <c r="R91" i="5"/>
  <c r="Q294" i="5"/>
  <c r="N294" i="5" s="1"/>
  <c r="R294" i="5"/>
  <c r="Q342" i="5"/>
  <c r="N342" i="5" s="1"/>
  <c r="R342" i="5"/>
  <c r="Q135" i="5"/>
  <c r="N135" i="5" s="1"/>
  <c r="R135" i="5"/>
  <c r="Q479" i="5"/>
  <c r="N479" i="5" s="1"/>
  <c r="R479" i="5"/>
  <c r="Q200" i="5"/>
  <c r="N200" i="5" s="1"/>
  <c r="R200" i="5"/>
  <c r="Q347" i="5"/>
  <c r="N347" i="5" s="1"/>
  <c r="R347" i="5"/>
  <c r="Q184" i="5"/>
  <c r="N184" i="5" s="1"/>
  <c r="R184" i="5"/>
  <c r="Q204" i="5"/>
  <c r="N204" i="5" s="1"/>
  <c r="R204" i="5"/>
  <c r="Q94" i="5"/>
  <c r="N94" i="5" s="1"/>
  <c r="R94" i="5"/>
  <c r="Q467" i="5"/>
  <c r="N467" i="5" s="1"/>
  <c r="R467" i="5"/>
  <c r="Q331" i="5"/>
  <c r="N331" i="5" s="1"/>
  <c r="R331" i="5"/>
  <c r="Q153" i="5"/>
  <c r="N153" i="5" s="1"/>
  <c r="R153" i="5"/>
  <c r="Q104" i="5"/>
  <c r="N104" i="5" s="1"/>
  <c r="R104" i="5"/>
  <c r="Q583" i="5"/>
  <c r="N583" i="5" s="1"/>
  <c r="R583" i="5"/>
  <c r="Q427" i="5"/>
  <c r="N427" i="5" s="1"/>
  <c r="R427" i="5"/>
  <c r="Q463" i="5"/>
  <c r="N463" i="5" s="1"/>
  <c r="R463" i="5"/>
  <c r="Q718" i="5"/>
  <c r="N718" i="5" s="1"/>
  <c r="R718" i="5"/>
  <c r="Q520" i="5"/>
  <c r="N520" i="5" s="1"/>
  <c r="R520" i="5"/>
  <c r="Q170" i="5"/>
  <c r="N170" i="5" s="1"/>
  <c r="R170" i="5"/>
  <c r="Q811" i="5"/>
  <c r="N811" i="5" s="1"/>
  <c r="R811" i="5"/>
  <c r="Q595" i="5"/>
  <c r="N595" i="5" s="1"/>
  <c r="R595" i="5"/>
  <c r="Q250" i="5"/>
  <c r="N250" i="5" s="1"/>
  <c r="R250" i="5"/>
  <c r="Q693" i="5"/>
  <c r="N693" i="5" s="1"/>
  <c r="R693" i="5"/>
  <c r="Q956" i="5"/>
  <c r="N956" i="5" s="1"/>
  <c r="R956" i="5"/>
  <c r="Q637" i="5"/>
  <c r="N637" i="5" s="1"/>
  <c r="R637" i="5"/>
  <c r="Q502" i="5"/>
  <c r="N502" i="5" s="1"/>
  <c r="R502" i="5"/>
  <c r="Q552" i="5"/>
  <c r="N552" i="5" s="1"/>
  <c r="R552" i="5"/>
  <c r="Q947" i="5"/>
  <c r="N947" i="5" s="1"/>
  <c r="R947" i="5"/>
  <c r="Q674" i="5"/>
  <c r="N674" i="5" s="1"/>
  <c r="R674" i="5"/>
  <c r="Q550" i="5"/>
  <c r="N550" i="5" s="1"/>
  <c r="R550" i="5"/>
  <c r="Q959" i="5"/>
  <c r="N959" i="5" s="1"/>
  <c r="R959" i="5"/>
  <c r="Q771" i="5"/>
  <c r="N771" i="5" s="1"/>
  <c r="R771" i="5"/>
  <c r="Q781" i="5"/>
  <c r="N781" i="5" s="1"/>
  <c r="R781" i="5"/>
  <c r="Q965" i="5"/>
  <c r="N965" i="5" s="1"/>
  <c r="R965" i="5"/>
  <c r="Q723" i="5"/>
  <c r="N723" i="5" s="1"/>
  <c r="R723" i="5"/>
  <c r="Q744" i="5"/>
  <c r="N744" i="5" s="1"/>
  <c r="R744" i="5"/>
  <c r="Q875" i="5"/>
  <c r="N875" i="5" s="1"/>
  <c r="R875" i="5"/>
  <c r="Q931" i="5"/>
  <c r="N931" i="5" s="1"/>
  <c r="R931" i="5"/>
  <c r="Q821" i="5"/>
  <c r="N821" i="5" s="1"/>
  <c r="R821" i="5"/>
  <c r="Q765" i="5"/>
  <c r="N765" i="5" s="1"/>
  <c r="R765" i="5"/>
  <c r="Q794" i="5"/>
  <c r="N794" i="5" s="1"/>
  <c r="R794" i="5"/>
  <c r="Q953" i="5"/>
  <c r="N953" i="5" s="1"/>
  <c r="R953" i="5"/>
  <c r="Q925" i="5"/>
  <c r="N925" i="5" s="1"/>
  <c r="R925" i="5"/>
  <c r="Q684" i="5"/>
  <c r="N684" i="5" s="1"/>
  <c r="R684" i="5"/>
  <c r="Q636" i="5"/>
  <c r="N636" i="5" s="1"/>
  <c r="R636" i="5"/>
  <c r="Q741" i="5"/>
  <c r="N741" i="5" s="1"/>
  <c r="R741" i="5"/>
  <c r="Q933" i="5"/>
  <c r="N933" i="5" s="1"/>
  <c r="R933" i="5"/>
  <c r="Q252" i="5"/>
  <c r="N252" i="5" s="1"/>
  <c r="R252" i="5"/>
  <c r="Q989" i="5"/>
  <c r="N989" i="5" s="1"/>
  <c r="R989" i="5"/>
  <c r="Q656" i="5"/>
  <c r="N656" i="5" s="1"/>
  <c r="R656" i="5"/>
  <c r="Q826" i="5"/>
  <c r="N826" i="5" s="1"/>
  <c r="R826" i="5"/>
  <c r="Q926" i="5"/>
  <c r="N926" i="5" s="1"/>
  <c r="R926" i="5"/>
  <c r="Q230" i="5"/>
  <c r="N230" i="5" s="1"/>
  <c r="R230" i="5"/>
  <c r="Q86" i="5"/>
  <c r="N86" i="5" s="1"/>
  <c r="R86" i="5"/>
  <c r="Q124" i="5"/>
  <c r="N124" i="5" s="1"/>
  <c r="R124" i="5"/>
  <c r="Q237" i="5"/>
  <c r="N237" i="5" s="1"/>
  <c r="R237" i="5"/>
  <c r="Q303" i="5"/>
  <c r="N303" i="5" s="1"/>
  <c r="R303" i="5"/>
  <c r="Q102" i="5"/>
  <c r="N102" i="5" s="1"/>
  <c r="R102" i="5"/>
  <c r="Q326" i="5"/>
  <c r="N326" i="5" s="1"/>
  <c r="R326" i="5"/>
  <c r="Q87" i="5"/>
  <c r="N87" i="5" s="1"/>
  <c r="R87" i="5"/>
  <c r="Q106" i="5"/>
  <c r="N106" i="5" s="1"/>
  <c r="R106" i="5"/>
  <c r="Q330" i="5"/>
  <c r="N330" i="5" s="1"/>
  <c r="R330" i="5"/>
  <c r="Q403" i="5"/>
  <c r="N403" i="5" s="1"/>
  <c r="R403" i="5"/>
  <c r="Q858" i="5"/>
  <c r="N858" i="5" s="1"/>
  <c r="R858" i="5"/>
  <c r="Q139" i="5"/>
  <c r="N139" i="5" s="1"/>
  <c r="R139" i="5"/>
  <c r="Q73" i="5"/>
  <c r="N73" i="5" s="1"/>
  <c r="R73" i="5"/>
  <c r="Q405" i="5"/>
  <c r="N405" i="5" s="1"/>
  <c r="R405" i="5"/>
  <c r="Q419" i="5"/>
  <c r="N419" i="5" s="1"/>
  <c r="R419" i="5"/>
  <c r="Q535" i="5"/>
  <c r="N535" i="5" s="1"/>
  <c r="R535" i="5"/>
  <c r="Q715" i="5"/>
  <c r="N715" i="5" s="1"/>
  <c r="R715" i="5"/>
  <c r="Q123" i="5"/>
  <c r="N123" i="5" s="1"/>
  <c r="R123" i="5"/>
  <c r="Q943" i="5"/>
  <c r="N943" i="5" s="1"/>
  <c r="R943" i="5"/>
  <c r="Q973" i="5"/>
  <c r="N973" i="5" s="1"/>
  <c r="R973" i="5"/>
  <c r="Q592" i="5"/>
  <c r="N592" i="5" s="1"/>
  <c r="R592" i="5"/>
  <c r="Q161" i="5"/>
  <c r="N161" i="5" s="1"/>
  <c r="R161" i="5"/>
  <c r="Q217" i="5"/>
  <c r="N217" i="5" s="1"/>
  <c r="R217" i="5"/>
  <c r="Q242" i="5"/>
  <c r="N242" i="5" s="1"/>
  <c r="R242" i="5"/>
  <c r="Q66" i="5"/>
  <c r="N66" i="5" s="1"/>
  <c r="R66" i="5"/>
  <c r="Q208" i="5"/>
  <c r="N208" i="5" s="1"/>
  <c r="R208" i="5"/>
  <c r="Q85" i="5"/>
  <c r="N85" i="5" s="1"/>
  <c r="R85" i="5"/>
  <c r="Q159" i="5"/>
  <c r="N159" i="5" s="1"/>
  <c r="R159" i="5"/>
  <c r="Q299" i="5"/>
  <c r="N299" i="5" s="1"/>
  <c r="R299" i="5"/>
  <c r="Q80" i="5"/>
  <c r="N80" i="5" s="1"/>
  <c r="R80" i="5"/>
  <c r="Q169" i="5"/>
  <c r="N169" i="5" s="1"/>
  <c r="R169" i="5"/>
  <c r="Q147" i="5"/>
  <c r="N147" i="5" s="1"/>
  <c r="R147" i="5"/>
  <c r="Q207" i="5"/>
  <c r="N207" i="5" s="1"/>
  <c r="R207" i="5"/>
  <c r="Q375" i="5"/>
  <c r="N375" i="5" s="1"/>
  <c r="R375" i="5"/>
  <c r="Q238" i="5"/>
  <c r="N238" i="5" s="1"/>
  <c r="R238" i="5"/>
  <c r="Q310" i="5"/>
  <c r="N310" i="5" s="1"/>
  <c r="R310" i="5"/>
  <c r="Q215" i="5"/>
  <c r="N215" i="5" s="1"/>
  <c r="R215" i="5"/>
  <c r="Q474" i="5"/>
  <c r="N474" i="5" s="1"/>
  <c r="R474" i="5"/>
  <c r="Q380" i="5"/>
  <c r="N380" i="5" s="1"/>
  <c r="R380" i="5"/>
  <c r="Q206" i="5"/>
  <c r="N206" i="5" s="1"/>
  <c r="R206" i="5"/>
  <c r="Q125" i="5"/>
  <c r="N125" i="5" s="1"/>
  <c r="R125" i="5"/>
  <c r="Q593" i="5"/>
  <c r="N593" i="5" s="1"/>
  <c r="R593" i="5"/>
  <c r="Q451" i="5"/>
  <c r="N451" i="5" s="1"/>
  <c r="R451" i="5"/>
  <c r="Q489" i="5"/>
  <c r="N489" i="5" s="1"/>
  <c r="R489" i="5"/>
  <c r="Q731" i="5"/>
  <c r="N731" i="5" s="1"/>
  <c r="R731" i="5"/>
  <c r="Q533" i="5"/>
  <c r="N533" i="5" s="1"/>
  <c r="R533" i="5"/>
  <c r="Q306" i="5"/>
  <c r="N306" i="5" s="1"/>
  <c r="R306" i="5"/>
  <c r="Q817" i="5"/>
  <c r="N817" i="5" s="1"/>
  <c r="R817" i="5"/>
  <c r="Q630" i="5"/>
  <c r="N630" i="5" s="1"/>
  <c r="R630" i="5"/>
  <c r="Q369" i="5"/>
  <c r="N369" i="5" s="1"/>
  <c r="R369" i="5"/>
  <c r="Q700" i="5"/>
  <c r="N700" i="5" s="1"/>
  <c r="R700" i="5"/>
  <c r="Q964" i="5"/>
  <c r="N964" i="5" s="1"/>
  <c r="R964" i="5"/>
  <c r="Q652" i="5"/>
  <c r="N652" i="5" s="1"/>
  <c r="R652" i="5"/>
  <c r="Q587" i="5"/>
  <c r="N587" i="5" s="1"/>
  <c r="R587" i="5"/>
  <c r="Q556" i="5"/>
  <c r="N556" i="5" s="1"/>
  <c r="R556" i="5"/>
  <c r="Q951" i="5"/>
  <c r="N951" i="5" s="1"/>
  <c r="R951" i="5"/>
  <c r="Q695" i="5"/>
  <c r="N695" i="5" s="1"/>
  <c r="R695" i="5"/>
  <c r="Q739" i="5"/>
  <c r="N739" i="5" s="1"/>
  <c r="R739" i="5"/>
  <c r="Q975" i="5"/>
  <c r="N975" i="5" s="1"/>
  <c r="R975" i="5"/>
  <c r="Q915" i="5"/>
  <c r="N915" i="5" s="1"/>
  <c r="R915" i="5"/>
  <c r="Q857" i="5"/>
  <c r="N857" i="5" s="1"/>
  <c r="R857" i="5"/>
  <c r="Q172" i="5"/>
  <c r="N172" i="5" s="1"/>
  <c r="R172" i="5"/>
  <c r="Q759" i="5"/>
  <c r="N759" i="5" s="1"/>
  <c r="R759" i="5"/>
  <c r="Q769" i="5"/>
  <c r="N769" i="5" s="1"/>
  <c r="R769" i="5"/>
  <c r="Q905" i="5"/>
  <c r="N905" i="5" s="1"/>
  <c r="R905" i="5"/>
  <c r="Q970" i="5"/>
  <c r="N970" i="5" s="1"/>
  <c r="R970" i="5"/>
  <c r="Q839" i="5"/>
  <c r="N839" i="5" s="1"/>
  <c r="R839" i="5"/>
  <c r="Q786" i="5"/>
  <c r="N786" i="5" s="1"/>
  <c r="R786" i="5"/>
  <c r="Q827" i="5"/>
  <c r="N827" i="5" s="1"/>
  <c r="R827" i="5"/>
  <c r="Q525" i="5"/>
  <c r="N525" i="5" s="1"/>
  <c r="R525" i="5"/>
  <c r="Q349" i="5"/>
  <c r="N349" i="5" s="1"/>
  <c r="R349" i="5"/>
  <c r="Q767" i="5"/>
  <c r="N767" i="5" s="1"/>
  <c r="R767" i="5"/>
  <c r="Q726" i="5"/>
  <c r="N726" i="5" s="1"/>
  <c r="R726" i="5"/>
  <c r="Q861" i="5"/>
  <c r="N861" i="5" s="1"/>
  <c r="R861" i="5"/>
  <c r="Q426" i="5"/>
  <c r="N426" i="5" s="1"/>
  <c r="R426" i="5"/>
  <c r="Q503" i="5"/>
  <c r="N503" i="5" s="1"/>
  <c r="R503" i="5"/>
  <c r="Q345" i="5"/>
  <c r="N345" i="5" s="1"/>
  <c r="R345" i="5"/>
  <c r="Q797" i="5"/>
  <c r="N797" i="5" s="1"/>
  <c r="R797" i="5"/>
  <c r="Q957" i="5"/>
  <c r="N957" i="5" s="1"/>
  <c r="R957" i="5"/>
  <c r="Q981" i="5"/>
  <c r="N981" i="5" s="1"/>
  <c r="R981" i="5"/>
  <c r="Q74" i="5"/>
  <c r="N74" i="5" s="1"/>
  <c r="R74" i="5"/>
  <c r="Q191" i="5"/>
  <c r="N191" i="5" s="1"/>
  <c r="R191" i="5"/>
  <c r="Q289" i="5"/>
  <c r="N289" i="5" s="1"/>
  <c r="R289" i="5"/>
  <c r="Q61" i="5"/>
  <c r="N61" i="5" s="1"/>
  <c r="R61" i="5"/>
  <c r="Q276" i="5"/>
  <c r="N276" i="5" s="1"/>
  <c r="R276" i="5"/>
  <c r="Q64" i="5"/>
  <c r="N64" i="5" s="1"/>
  <c r="R64" i="5"/>
  <c r="Q316" i="5"/>
  <c r="N316" i="5" s="1"/>
  <c r="R316" i="5"/>
  <c r="Q389" i="5"/>
  <c r="N389" i="5" s="1"/>
  <c r="R389" i="5"/>
  <c r="Q65" i="5"/>
  <c r="N65" i="5" s="1"/>
  <c r="R65" i="5"/>
  <c r="Q358" i="5"/>
  <c r="N358" i="5" s="1"/>
  <c r="R358" i="5"/>
  <c r="Q702" i="5"/>
  <c r="N702" i="5" s="1"/>
  <c r="R702" i="5"/>
  <c r="Q544" i="5"/>
  <c r="N544" i="5" s="1"/>
  <c r="R544" i="5"/>
  <c r="Q664" i="5"/>
  <c r="N664" i="5" s="1"/>
  <c r="R664" i="5"/>
  <c r="Q220" i="5"/>
  <c r="N220" i="5" s="1"/>
  <c r="R220" i="5"/>
  <c r="Q274" i="5"/>
  <c r="N274" i="5" s="1"/>
  <c r="R274" i="5"/>
  <c r="Q176" i="5"/>
  <c r="N176" i="5" s="1"/>
  <c r="R176" i="5"/>
  <c r="Q340" i="5"/>
  <c r="N340" i="5" s="1"/>
  <c r="R340" i="5"/>
  <c r="Q448" i="5"/>
  <c r="N448" i="5" s="1"/>
  <c r="R448" i="5"/>
  <c r="Q580" i="5"/>
  <c r="N580" i="5" s="1"/>
  <c r="R580" i="5"/>
  <c r="Q775" i="5"/>
  <c r="N775" i="5" s="1"/>
  <c r="R775" i="5"/>
  <c r="Q554" i="5"/>
  <c r="N554" i="5" s="1"/>
  <c r="R554" i="5"/>
  <c r="Q928" i="5"/>
  <c r="N928" i="5" s="1"/>
  <c r="R928" i="5"/>
  <c r="Q738" i="5"/>
  <c r="N738" i="5" s="1"/>
  <c r="R738" i="5"/>
  <c r="Q490" i="5"/>
  <c r="N490" i="5" s="1"/>
  <c r="R490" i="5"/>
  <c r="Q164" i="5"/>
  <c r="N164" i="5" s="1"/>
  <c r="R164" i="5"/>
  <c r="Q52" i="5"/>
  <c r="N52" i="5" s="1"/>
  <c r="R52" i="5"/>
  <c r="Q245" i="5"/>
  <c r="N245" i="5" s="1"/>
  <c r="R245" i="5"/>
  <c r="Q93" i="5"/>
  <c r="N93" i="5" s="1"/>
  <c r="R93" i="5"/>
  <c r="Q213" i="5"/>
  <c r="N213" i="5" s="1"/>
  <c r="R213" i="5"/>
  <c r="Q89" i="5"/>
  <c r="N89" i="5" s="1"/>
  <c r="R89" i="5"/>
  <c r="Q188" i="5"/>
  <c r="N188" i="5" s="1"/>
  <c r="R188" i="5"/>
  <c r="Q319" i="5"/>
  <c r="N319" i="5" s="1"/>
  <c r="R319" i="5"/>
  <c r="Q137" i="5"/>
  <c r="N137" i="5" s="1"/>
  <c r="R137" i="5"/>
  <c r="Q253" i="5"/>
  <c r="N253" i="5" s="1"/>
  <c r="R253" i="5"/>
  <c r="Q216" i="5"/>
  <c r="N216" i="5" s="1"/>
  <c r="R216" i="5"/>
  <c r="Q219" i="5"/>
  <c r="N219" i="5" s="1"/>
  <c r="R219" i="5"/>
  <c r="Q422" i="5"/>
  <c r="N422" i="5" s="1"/>
  <c r="R422" i="5"/>
  <c r="Q246" i="5"/>
  <c r="N246" i="5" s="1"/>
  <c r="R246" i="5"/>
  <c r="Q312" i="5"/>
  <c r="N312" i="5" s="1"/>
  <c r="R312" i="5"/>
  <c r="Q254" i="5"/>
  <c r="N254" i="5" s="1"/>
  <c r="R254" i="5"/>
  <c r="Q486" i="5"/>
  <c r="N486" i="5" s="1"/>
  <c r="R486" i="5"/>
  <c r="Q384" i="5"/>
  <c r="N384" i="5" s="1"/>
  <c r="R384" i="5"/>
  <c r="Q231" i="5"/>
  <c r="N231" i="5" s="1"/>
  <c r="R231" i="5"/>
  <c r="Q131" i="5"/>
  <c r="N131" i="5" s="1"/>
  <c r="R131" i="5"/>
  <c r="Q603" i="5"/>
  <c r="N603" i="5" s="1"/>
  <c r="R603" i="5"/>
  <c r="Q518" i="5"/>
  <c r="N518" i="5" s="1"/>
  <c r="R518" i="5"/>
  <c r="Q734" i="5"/>
  <c r="N734" i="5" s="1"/>
  <c r="R734" i="5"/>
  <c r="Q635" i="5"/>
  <c r="N635" i="5" s="1"/>
  <c r="R635" i="5"/>
  <c r="Q333" i="5"/>
  <c r="N333" i="5" s="1"/>
  <c r="R333" i="5"/>
  <c r="Q838" i="5"/>
  <c r="N838" i="5" s="1"/>
  <c r="R838" i="5"/>
  <c r="Q669" i="5"/>
  <c r="N669" i="5" s="1"/>
  <c r="R669" i="5"/>
  <c r="Q413" i="5"/>
  <c r="N413" i="5" s="1"/>
  <c r="R413" i="5"/>
  <c r="Q717" i="5"/>
  <c r="N717" i="5" s="1"/>
  <c r="R717" i="5"/>
  <c r="Q972" i="5"/>
  <c r="N972" i="5" s="1"/>
  <c r="R972" i="5"/>
  <c r="Q714" i="5"/>
  <c r="N714" i="5" s="1"/>
  <c r="R714" i="5"/>
  <c r="Q655" i="5"/>
  <c r="N655" i="5" s="1"/>
  <c r="R655" i="5"/>
  <c r="Q604" i="5"/>
  <c r="N604" i="5" s="1"/>
  <c r="R604" i="5"/>
  <c r="Q963" i="5"/>
  <c r="N963" i="5" s="1"/>
  <c r="R963" i="5"/>
  <c r="Q712" i="5"/>
  <c r="N712" i="5" s="1"/>
  <c r="R712" i="5"/>
  <c r="Q742" i="5"/>
  <c r="N742" i="5" s="1"/>
  <c r="R742" i="5"/>
  <c r="Q991" i="5"/>
  <c r="N991" i="5" s="1"/>
  <c r="R991" i="5"/>
  <c r="Q927" i="5"/>
  <c r="N927" i="5" s="1"/>
  <c r="R927" i="5"/>
  <c r="Q813" i="5"/>
  <c r="N813" i="5" s="1"/>
  <c r="R813" i="5"/>
  <c r="Q415" i="5"/>
  <c r="N415" i="5" s="1"/>
  <c r="R415" i="5"/>
  <c r="Q782" i="5"/>
  <c r="N782" i="5" s="1"/>
  <c r="R782" i="5"/>
  <c r="Q807" i="5"/>
  <c r="N807" i="5" s="1"/>
  <c r="R807" i="5"/>
  <c r="Q990" i="5"/>
  <c r="N990" i="5" s="1"/>
  <c r="R990" i="5"/>
  <c r="Q417" i="5"/>
  <c r="N417" i="5" s="1"/>
  <c r="R417" i="5"/>
  <c r="Q846" i="5"/>
  <c r="N846" i="5" s="1"/>
  <c r="R846" i="5"/>
  <c r="Q553" i="5"/>
  <c r="N553" i="5" s="1"/>
  <c r="R553" i="5"/>
  <c r="Q836" i="5"/>
  <c r="N836" i="5" s="1"/>
  <c r="R836" i="5"/>
  <c r="Q689" i="5"/>
  <c r="N689" i="5" s="1"/>
  <c r="R689" i="5"/>
  <c r="Q506" i="5"/>
  <c r="N506" i="5" s="1"/>
  <c r="R506" i="5"/>
  <c r="Q792" i="5"/>
  <c r="N792" i="5" s="1"/>
  <c r="R792" i="5"/>
  <c r="Q760" i="5"/>
  <c r="N760" i="5" s="1"/>
  <c r="R760" i="5"/>
  <c r="Q900" i="5"/>
  <c r="N900" i="5" s="1"/>
  <c r="R900" i="5"/>
  <c r="Q735" i="5"/>
  <c r="N735" i="5" s="1"/>
  <c r="R735" i="5"/>
  <c r="Q945" i="5"/>
  <c r="N945" i="5" s="1"/>
  <c r="R945" i="5"/>
  <c r="Q545" i="5"/>
  <c r="N545" i="5" s="1"/>
  <c r="R545" i="5"/>
  <c r="Q563" i="5"/>
  <c r="N563" i="5" s="1"/>
  <c r="R563" i="5"/>
  <c r="Q673" i="5"/>
  <c r="N673" i="5" s="1"/>
  <c r="R673" i="5"/>
  <c r="Q460" i="5"/>
  <c r="N460" i="5" s="1"/>
  <c r="R460" i="5"/>
  <c r="Q95" i="5"/>
  <c r="N95" i="5" s="1"/>
  <c r="R95" i="5"/>
  <c r="Q145" i="5"/>
  <c r="N145" i="5" s="1"/>
  <c r="R145" i="5"/>
  <c r="Q538" i="5"/>
  <c r="N538" i="5" s="1"/>
  <c r="R538" i="5"/>
  <c r="Q134" i="5"/>
  <c r="N134" i="5" s="1"/>
  <c r="R134" i="5"/>
  <c r="Q214" i="5"/>
  <c r="N214" i="5" s="1"/>
  <c r="R214" i="5"/>
  <c r="Q49" i="5"/>
  <c r="N49" i="5" s="1"/>
  <c r="R49" i="5"/>
  <c r="Q160" i="5"/>
  <c r="N160" i="5" s="1"/>
  <c r="R160" i="5"/>
  <c r="Q228" i="5"/>
  <c r="N228" i="5" s="1"/>
  <c r="R228" i="5"/>
  <c r="Q101" i="5"/>
  <c r="N101" i="5" s="1"/>
  <c r="R101" i="5"/>
  <c r="Q132" i="5"/>
  <c r="N132" i="5" s="1"/>
  <c r="R132" i="5"/>
  <c r="Q138" i="5"/>
  <c r="N138" i="5" s="1"/>
  <c r="R138" i="5"/>
  <c r="Q338" i="5"/>
  <c r="N338" i="5" s="1"/>
  <c r="R338" i="5"/>
  <c r="Q430" i="5"/>
  <c r="N430" i="5" s="1"/>
  <c r="R430" i="5"/>
  <c r="Q400" i="5"/>
  <c r="N400" i="5" s="1"/>
  <c r="R400" i="5"/>
  <c r="Q541" i="5"/>
  <c r="N541" i="5" s="1"/>
  <c r="R541" i="5"/>
  <c r="Q444" i="5"/>
  <c r="N444" i="5" s="1"/>
  <c r="R444" i="5"/>
  <c r="Q493" i="5"/>
  <c r="N493" i="5" s="1"/>
  <c r="R493" i="5"/>
  <c r="Q799" i="5"/>
  <c r="N799" i="5" s="1"/>
  <c r="R799" i="5"/>
  <c r="Q932" i="5"/>
  <c r="N932" i="5" s="1"/>
  <c r="R932" i="5"/>
  <c r="Q424" i="5"/>
  <c r="N424" i="5" s="1"/>
  <c r="R424" i="5"/>
  <c r="Q672" i="5"/>
  <c r="N672" i="5" s="1"/>
  <c r="R672" i="5"/>
  <c r="Q540" i="5"/>
  <c r="N540" i="5" s="1"/>
  <c r="R540" i="5"/>
  <c r="Q855" i="5"/>
  <c r="N855" i="5" s="1"/>
  <c r="R855" i="5"/>
  <c r="Q478" i="5"/>
  <c r="N478" i="5" s="1"/>
  <c r="R478" i="5"/>
  <c r="Q862" i="5"/>
  <c r="N862" i="5" s="1"/>
  <c r="R862" i="5"/>
  <c r="Q665" i="5"/>
  <c r="N665" i="5" s="1"/>
  <c r="R665" i="5"/>
  <c r="Q728" i="5"/>
  <c r="N728" i="5" s="1"/>
  <c r="R728" i="5"/>
  <c r="Q708" i="5"/>
  <c r="N708" i="5" s="1"/>
  <c r="R708" i="5"/>
  <c r="Q711" i="5"/>
  <c r="N711" i="5" s="1"/>
  <c r="R711" i="5"/>
  <c r="Q939" i="5"/>
  <c r="N939" i="5" s="1"/>
  <c r="R939" i="5"/>
  <c r="Q903" i="5"/>
  <c r="N903" i="5" s="1"/>
  <c r="R903" i="5"/>
  <c r="Q889" i="5"/>
  <c r="N889" i="5" s="1"/>
  <c r="R889" i="5"/>
  <c r="Q790" i="5"/>
  <c r="N790" i="5" s="1"/>
  <c r="R790" i="5"/>
  <c r="Q661" i="5"/>
  <c r="N661" i="5" s="1"/>
  <c r="R661" i="5"/>
  <c r="Q746" i="5"/>
  <c r="N746" i="5" s="1"/>
  <c r="R746" i="5"/>
  <c r="Q722" i="5"/>
  <c r="N722" i="5" s="1"/>
  <c r="R722" i="5"/>
  <c r="Q860" i="5"/>
  <c r="N860" i="5" s="1"/>
  <c r="R860" i="5"/>
  <c r="Q290" i="5"/>
  <c r="N290" i="5" s="1"/>
  <c r="R290" i="5"/>
  <c r="Q614" i="5"/>
  <c r="N614" i="5" s="1"/>
  <c r="R614" i="5"/>
  <c r="Q527" i="5"/>
  <c r="N527" i="5" s="1"/>
  <c r="R527" i="5"/>
  <c r="Q698" i="5"/>
  <c r="N698" i="5" s="1"/>
  <c r="R698" i="5"/>
  <c r="Q110" i="5"/>
  <c r="N110" i="5" s="1"/>
  <c r="R110" i="5"/>
  <c r="Q167" i="5"/>
  <c r="N167" i="5" s="1"/>
  <c r="R167" i="5"/>
  <c r="Q329" i="5"/>
  <c r="N329" i="5" s="1"/>
  <c r="R329" i="5"/>
  <c r="Q212" i="5"/>
  <c r="N212" i="5" s="1"/>
  <c r="R212" i="5"/>
  <c r="Q446" i="5"/>
  <c r="N446" i="5" s="1"/>
  <c r="R446" i="5"/>
  <c r="Q386" i="5"/>
  <c r="N386" i="5" s="1"/>
  <c r="R386" i="5"/>
  <c r="Q808" i="5"/>
  <c r="N808" i="5" s="1"/>
  <c r="R808" i="5"/>
  <c r="Q686" i="5"/>
  <c r="N686" i="5" s="1"/>
  <c r="R686" i="5"/>
  <c r="Q436" i="5"/>
  <c r="N436" i="5" s="1"/>
  <c r="R436" i="5"/>
  <c r="Q548" i="5"/>
  <c r="N548" i="5" s="1"/>
  <c r="R548" i="5"/>
  <c r="Q667" i="5"/>
  <c r="N667" i="5" s="1"/>
  <c r="R667" i="5"/>
  <c r="Q740" i="5"/>
  <c r="N740" i="5" s="1"/>
  <c r="R740" i="5"/>
  <c r="Q754" i="5"/>
  <c r="N754" i="5" s="1"/>
  <c r="R754" i="5"/>
  <c r="Q854" i="5"/>
  <c r="N854" i="5" s="1"/>
  <c r="R854" i="5"/>
  <c r="Q713" i="5"/>
  <c r="N713" i="5" s="1"/>
  <c r="R713" i="5"/>
  <c r="Q659" i="5"/>
  <c r="N659" i="5" s="1"/>
  <c r="R659" i="5"/>
  <c r="Q912" i="5"/>
  <c r="N912" i="5" s="1"/>
  <c r="R912" i="5"/>
  <c r="Q773" i="5"/>
  <c r="N773" i="5" s="1"/>
  <c r="R773" i="5"/>
  <c r="Q822" i="5"/>
  <c r="N822" i="5" s="1"/>
  <c r="R822" i="5"/>
  <c r="Q899" i="5"/>
  <c r="N899" i="5" s="1"/>
  <c r="R899" i="5"/>
  <c r="Q586" i="5"/>
  <c r="N586" i="5" s="1"/>
  <c r="R586" i="5"/>
  <c r="Q627" i="5"/>
  <c r="N627" i="5" s="1"/>
  <c r="R627" i="5"/>
  <c r="Q716" i="5"/>
  <c r="N716" i="5" s="1"/>
  <c r="R716" i="5"/>
  <c r="Q666" i="5"/>
  <c r="N666" i="5" s="1"/>
  <c r="R666" i="5"/>
  <c r="Q357" i="5"/>
  <c r="N357" i="5" s="1"/>
  <c r="R357" i="5"/>
  <c r="Q453" i="5"/>
  <c r="N453" i="5" s="1"/>
  <c r="R453" i="5"/>
  <c r="Q177" i="5"/>
  <c r="N177" i="5" s="1"/>
  <c r="R177" i="5"/>
  <c r="Q57" i="5"/>
  <c r="N57" i="5" s="1"/>
  <c r="R57" i="5"/>
  <c r="Q251" i="5"/>
  <c r="N251" i="5" s="1"/>
  <c r="R251" i="5"/>
  <c r="Q118" i="5"/>
  <c r="N118" i="5" s="1"/>
  <c r="R118" i="5"/>
  <c r="Q218" i="5"/>
  <c r="N218" i="5" s="1"/>
  <c r="R218" i="5"/>
  <c r="Q97" i="5"/>
  <c r="N97" i="5" s="1"/>
  <c r="R97" i="5"/>
  <c r="Q51" i="5"/>
  <c r="N51" i="5" s="1"/>
  <c r="R51" i="5"/>
  <c r="Q68" i="5"/>
  <c r="N68" i="5" s="1"/>
  <c r="R68" i="5"/>
  <c r="Q144" i="5"/>
  <c r="N144" i="5" s="1"/>
  <c r="R144" i="5"/>
  <c r="Q336" i="5"/>
  <c r="N336" i="5" s="1"/>
  <c r="R336" i="5"/>
  <c r="Q313" i="5"/>
  <c r="N313" i="5" s="1"/>
  <c r="R313" i="5"/>
  <c r="Q88" i="5"/>
  <c r="N88" i="5" s="1"/>
  <c r="R88" i="5"/>
  <c r="Q127" i="5"/>
  <c r="N127" i="5" s="1"/>
  <c r="R127" i="5"/>
  <c r="Q256" i="5"/>
  <c r="N256" i="5" s="1"/>
  <c r="R256" i="5"/>
  <c r="Q360" i="5"/>
  <c r="N360" i="5" s="1"/>
  <c r="R360" i="5"/>
  <c r="Q308" i="5"/>
  <c r="N308" i="5" s="1"/>
  <c r="R308" i="5"/>
  <c r="Q320" i="5"/>
  <c r="N320" i="5" s="1"/>
  <c r="R320" i="5"/>
  <c r="Q402" i="5"/>
  <c r="N402" i="5" s="1"/>
  <c r="R402" i="5"/>
  <c r="Q278" i="5"/>
  <c r="N278" i="5" s="1"/>
  <c r="R278" i="5"/>
  <c r="Q149" i="5"/>
  <c r="N149" i="5" s="1"/>
  <c r="R149" i="5"/>
  <c r="Q140" i="5"/>
  <c r="N140" i="5" s="1"/>
  <c r="R140" i="5"/>
  <c r="Q521" i="5"/>
  <c r="N521" i="5" s="1"/>
  <c r="R521" i="5"/>
  <c r="Q542" i="5"/>
  <c r="N542" i="5" s="1"/>
  <c r="R542" i="5"/>
  <c r="Q749" i="5"/>
  <c r="N749" i="5" s="1"/>
  <c r="R749" i="5"/>
  <c r="Q699" i="5"/>
  <c r="N699" i="5" s="1"/>
  <c r="R699" i="5"/>
  <c r="Q428" i="5"/>
  <c r="N428" i="5" s="1"/>
  <c r="R428" i="5"/>
  <c r="Q849" i="5"/>
  <c r="N849" i="5" s="1"/>
  <c r="R849" i="5"/>
  <c r="Q848" i="5"/>
  <c r="N848" i="5" s="1"/>
  <c r="R848" i="5"/>
  <c r="Q454" i="5"/>
  <c r="N454" i="5" s="1"/>
  <c r="R454" i="5"/>
  <c r="Q727" i="5"/>
  <c r="N727" i="5" s="1"/>
  <c r="R727" i="5"/>
  <c r="Q980" i="5"/>
  <c r="N980" i="5" s="1"/>
  <c r="R980" i="5"/>
  <c r="Q724" i="5"/>
  <c r="N724" i="5" s="1"/>
  <c r="R724" i="5"/>
  <c r="Q679" i="5"/>
  <c r="N679" i="5" s="1"/>
  <c r="R679" i="5"/>
  <c r="Q628" i="5"/>
  <c r="N628" i="5" s="1"/>
  <c r="R628" i="5"/>
  <c r="Q967" i="5"/>
  <c r="N967" i="5" s="1"/>
  <c r="R967" i="5"/>
  <c r="Q820" i="5"/>
  <c r="N820" i="5" s="1"/>
  <c r="R820" i="5"/>
  <c r="Q766" i="5"/>
  <c r="N766" i="5" s="1"/>
  <c r="R766" i="5"/>
  <c r="Q995" i="5"/>
  <c r="N995" i="5" s="1"/>
  <c r="R995" i="5"/>
  <c r="Q934" i="5"/>
  <c r="N934" i="5" s="1"/>
  <c r="R934" i="5"/>
  <c r="Q919" i="5"/>
  <c r="N919" i="5" s="1"/>
  <c r="R919" i="5"/>
  <c r="Q508" i="5"/>
  <c r="N508" i="5" s="1"/>
  <c r="R508" i="5"/>
  <c r="Q803" i="5"/>
  <c r="N803" i="5" s="1"/>
  <c r="R803" i="5"/>
  <c r="Q818" i="5"/>
  <c r="N818" i="5" s="1"/>
  <c r="R818" i="5"/>
  <c r="Q335" i="5"/>
  <c r="N335" i="5" s="1"/>
  <c r="R335" i="5"/>
  <c r="Q577" i="5"/>
  <c r="N577" i="5" s="1"/>
  <c r="R577" i="5"/>
  <c r="Q869" i="5"/>
  <c r="N869" i="5" s="1"/>
  <c r="R869" i="5"/>
  <c r="Q629" i="5"/>
  <c r="N629" i="5" s="1"/>
  <c r="R629" i="5"/>
  <c r="Q850" i="5"/>
  <c r="N850" i="5" s="1"/>
  <c r="R850" i="5"/>
  <c r="Q789" i="5"/>
  <c r="N789" i="5" s="1"/>
  <c r="R789" i="5"/>
  <c r="Q519" i="5"/>
  <c r="N519" i="5" s="1"/>
  <c r="R519" i="5"/>
  <c r="Q993" i="5"/>
  <c r="N993" i="5" s="1"/>
  <c r="R993" i="5"/>
  <c r="Q941" i="5"/>
  <c r="N941" i="5" s="1"/>
  <c r="R941" i="5"/>
  <c r="Q255" i="5"/>
  <c r="N255" i="5" s="1"/>
  <c r="R255" i="5"/>
  <c r="Q776" i="5"/>
  <c r="N776" i="5" s="1"/>
  <c r="R776" i="5"/>
  <c r="Q240" i="5"/>
  <c r="N240" i="5" s="1"/>
  <c r="R240" i="5"/>
  <c r="Q566" i="5"/>
  <c r="N566" i="5" s="1"/>
  <c r="R566" i="5"/>
  <c r="Q599" i="5"/>
  <c r="N599" i="5" s="1"/>
  <c r="R599" i="5"/>
  <c r="Q810" i="5"/>
  <c r="N810" i="5" s="1"/>
  <c r="R810" i="5"/>
  <c r="Q994" i="5"/>
  <c r="N994" i="5" s="1"/>
  <c r="R994" i="5"/>
  <c r="Q383" i="5"/>
  <c r="N383" i="5" s="1"/>
  <c r="R383" i="5"/>
  <c r="Q337" i="5"/>
  <c r="N337" i="5" s="1"/>
  <c r="R337" i="5"/>
  <c r="Q392" i="5"/>
  <c r="N392" i="5" s="1"/>
  <c r="R392" i="5"/>
  <c r="Q497" i="5"/>
  <c r="N497" i="5" s="1"/>
  <c r="R497" i="5"/>
  <c r="Q835" i="5"/>
  <c r="N835" i="5" s="1"/>
  <c r="R835" i="5"/>
  <c r="Q224" i="5"/>
  <c r="N224" i="5" s="1"/>
  <c r="R224" i="5"/>
  <c r="Q69" i="5"/>
  <c r="N69" i="5" s="1"/>
  <c r="R69" i="5"/>
  <c r="Q286" i="5"/>
  <c r="N286" i="5" s="1"/>
  <c r="R286" i="5"/>
  <c r="Q116" i="5"/>
  <c r="N116" i="5" s="1"/>
  <c r="R116" i="5"/>
  <c r="Q226" i="5"/>
  <c r="N226" i="5" s="1"/>
  <c r="R226" i="5"/>
  <c r="Q103" i="5"/>
  <c r="N103" i="5" s="1"/>
  <c r="R103" i="5"/>
  <c r="Q156" i="5"/>
  <c r="N156" i="5" s="1"/>
  <c r="R156" i="5"/>
  <c r="Q82" i="5"/>
  <c r="N82" i="5" s="1"/>
  <c r="R82" i="5"/>
  <c r="Q193" i="5"/>
  <c r="N193" i="5" s="1"/>
  <c r="R193" i="5"/>
  <c r="Q368" i="5"/>
  <c r="N368" i="5" s="1"/>
  <c r="R368" i="5"/>
  <c r="Q317" i="5"/>
  <c r="N317" i="5" s="1"/>
  <c r="R317" i="5"/>
  <c r="Q157" i="5"/>
  <c r="N157" i="5" s="1"/>
  <c r="R157" i="5"/>
  <c r="Q263" i="5"/>
  <c r="N263" i="5" s="1"/>
  <c r="R263" i="5"/>
  <c r="Q354" i="5"/>
  <c r="N354" i="5" s="1"/>
  <c r="R354" i="5"/>
  <c r="Q372" i="5"/>
  <c r="N372" i="5" s="1"/>
  <c r="R372" i="5"/>
  <c r="Q315" i="5"/>
  <c r="N315" i="5" s="1"/>
  <c r="R315" i="5"/>
  <c r="Q346" i="5"/>
  <c r="N346" i="5" s="1"/>
  <c r="R346" i="5"/>
  <c r="Q418" i="5"/>
  <c r="N418" i="5" s="1"/>
  <c r="R418" i="5"/>
  <c r="Q302" i="5"/>
  <c r="N302" i="5" s="1"/>
  <c r="R302" i="5"/>
  <c r="Q209" i="5"/>
  <c r="N209" i="5" s="1"/>
  <c r="R209" i="5"/>
  <c r="Q143" i="5"/>
  <c r="N143" i="5" s="1"/>
  <c r="R143" i="5"/>
  <c r="Q192" i="5"/>
  <c r="N192" i="5" s="1"/>
  <c r="R192" i="5"/>
  <c r="Q549" i="5"/>
  <c r="N549" i="5" s="1"/>
  <c r="R549" i="5"/>
  <c r="Q768" i="5"/>
  <c r="N768" i="5" s="1"/>
  <c r="R768" i="5"/>
  <c r="Q779" i="5"/>
  <c r="N779" i="5" s="1"/>
  <c r="R779" i="5"/>
  <c r="Q450" i="5"/>
  <c r="N450" i="5" s="1"/>
  <c r="R450" i="5"/>
  <c r="Q870" i="5"/>
  <c r="N870" i="5" s="1"/>
  <c r="R870" i="5"/>
  <c r="Q880" i="5"/>
  <c r="N880" i="5" s="1"/>
  <c r="R880" i="5"/>
  <c r="Q480" i="5"/>
  <c r="N480" i="5" s="1"/>
  <c r="R480" i="5"/>
  <c r="Q732" i="5"/>
  <c r="N732" i="5" s="1"/>
  <c r="R732" i="5"/>
  <c r="Q988" i="5"/>
  <c r="N988" i="5" s="1"/>
  <c r="R988" i="5"/>
  <c r="Q801" i="5"/>
  <c r="N801" i="5" s="1"/>
  <c r="R801" i="5"/>
  <c r="Q772" i="5"/>
  <c r="N772" i="5" s="1"/>
  <c r="R772" i="5"/>
  <c r="Q469" i="5"/>
  <c r="N469" i="5" s="1"/>
  <c r="R469" i="5"/>
  <c r="Q560" i="5"/>
  <c r="N560" i="5" s="1"/>
  <c r="R560" i="5"/>
  <c r="Q845" i="5"/>
  <c r="N845" i="5" s="1"/>
  <c r="R845" i="5"/>
  <c r="Q793" i="5"/>
  <c r="N793" i="5" s="1"/>
  <c r="R793" i="5"/>
  <c r="Q222" i="5"/>
  <c r="N222" i="5" s="1"/>
  <c r="R222" i="5"/>
  <c r="Q567" i="5"/>
  <c r="N567" i="5" s="1"/>
  <c r="R567" i="5"/>
  <c r="Q985" i="5"/>
  <c r="N985" i="5" s="1"/>
  <c r="R985" i="5"/>
  <c r="Q547" i="5"/>
  <c r="N547" i="5" s="1"/>
  <c r="R547" i="5"/>
  <c r="Q828" i="5"/>
  <c r="N828" i="5" s="1"/>
  <c r="R828" i="5"/>
  <c r="Q834" i="5"/>
  <c r="N834" i="5" s="1"/>
  <c r="R834" i="5"/>
  <c r="Q388" i="5"/>
  <c r="N388" i="5" s="1"/>
  <c r="R388" i="5"/>
  <c r="Q594" i="5"/>
  <c r="N594" i="5" s="1"/>
  <c r="R594" i="5"/>
  <c r="Q906" i="5"/>
  <c r="N906" i="5" s="1"/>
  <c r="R906" i="5"/>
  <c r="Q796" i="5"/>
  <c r="N796" i="5" s="1"/>
  <c r="R796" i="5"/>
  <c r="Q574" i="5"/>
  <c r="N574" i="5" s="1"/>
  <c r="R574" i="5"/>
  <c r="Q394" i="5"/>
  <c r="N394" i="5" s="1"/>
  <c r="R394" i="5"/>
  <c r="Q531" i="5"/>
  <c r="N531" i="5" s="1"/>
  <c r="R531" i="5"/>
  <c r="Q62" i="5"/>
  <c r="N62" i="5" s="1"/>
  <c r="R62" i="5"/>
  <c r="Q72" i="5"/>
  <c r="N72" i="5" s="1"/>
  <c r="R72" i="5"/>
  <c r="Q482" i="5"/>
  <c r="N482" i="5" s="1"/>
  <c r="R482" i="5"/>
  <c r="Q874" i="5"/>
  <c r="N874" i="5" s="1"/>
  <c r="R874" i="5"/>
  <c r="Q397" i="5"/>
  <c r="N397" i="5" s="1"/>
  <c r="R397" i="5"/>
  <c r="Q729" i="5"/>
  <c r="N729" i="5" s="1"/>
  <c r="R729" i="5"/>
  <c r="Q617" i="5"/>
  <c r="N617" i="5" s="1"/>
  <c r="R617" i="5"/>
  <c r="Q997" i="5"/>
  <c r="N997" i="5" s="1"/>
  <c r="R997" i="5"/>
  <c r="Q886" i="5"/>
  <c r="N886" i="5" s="1"/>
  <c r="R886" i="5"/>
  <c r="Q296" i="5"/>
  <c r="N296" i="5" s="1"/>
  <c r="R296" i="5"/>
  <c r="Q264" i="5"/>
  <c r="N264" i="5" s="1"/>
  <c r="R264" i="5"/>
  <c r="Q304" i="5"/>
  <c r="N304" i="5" s="1"/>
  <c r="R304" i="5"/>
  <c r="Q311" i="5"/>
  <c r="N311" i="5" s="1"/>
  <c r="R311" i="5"/>
  <c r="Q248" i="5"/>
  <c r="N248" i="5" s="1"/>
  <c r="R248" i="5"/>
  <c r="Q324" i="5"/>
  <c r="N324" i="5" s="1"/>
  <c r="R324" i="5"/>
  <c r="Q267" i="5"/>
  <c r="N267" i="5" s="1"/>
  <c r="R267" i="5"/>
  <c r="Q647" i="5"/>
  <c r="N647" i="5" s="1"/>
  <c r="R647" i="5"/>
  <c r="Q662" i="5"/>
  <c r="N662" i="5" s="1"/>
  <c r="R662" i="5"/>
  <c r="Q706" i="5"/>
  <c r="N706" i="5" s="1"/>
  <c r="R706" i="5"/>
  <c r="Q70" i="5"/>
  <c r="N70" i="5" s="1"/>
  <c r="R70" i="5"/>
  <c r="Q239" i="5"/>
  <c r="N239" i="5" s="1"/>
  <c r="R239" i="5"/>
  <c r="Q81" i="5"/>
  <c r="N81" i="5" s="1"/>
  <c r="R81" i="5"/>
  <c r="Q292" i="5"/>
  <c r="N292" i="5" s="1"/>
  <c r="R292" i="5"/>
  <c r="Q122" i="5"/>
  <c r="N122" i="5" s="1"/>
  <c r="R122" i="5"/>
  <c r="Q234" i="5"/>
  <c r="N234" i="5" s="1"/>
  <c r="R234" i="5"/>
  <c r="Q109" i="5"/>
  <c r="N109" i="5" s="1"/>
  <c r="R109" i="5"/>
  <c r="Q235" i="5"/>
  <c r="N235" i="5" s="1"/>
  <c r="R235" i="5"/>
  <c r="Q112" i="5"/>
  <c r="N112" i="5" s="1"/>
  <c r="R112" i="5"/>
  <c r="Q260" i="5"/>
  <c r="N260" i="5" s="1"/>
  <c r="R260" i="5"/>
  <c r="Q371" i="5"/>
  <c r="N371" i="5" s="1"/>
  <c r="R371" i="5"/>
  <c r="Q348" i="5"/>
  <c r="N348" i="5" s="1"/>
  <c r="R348" i="5"/>
  <c r="Q195" i="5"/>
  <c r="N195" i="5" s="1"/>
  <c r="R195" i="5"/>
  <c r="Q265" i="5"/>
  <c r="N265" i="5" s="1"/>
  <c r="R265" i="5"/>
  <c r="Q381" i="5"/>
  <c r="N381" i="5" s="1"/>
  <c r="R381" i="5"/>
  <c r="Q414" i="5"/>
  <c r="N414" i="5" s="1"/>
  <c r="R414" i="5"/>
  <c r="Q370" i="5"/>
  <c r="N370" i="5" s="1"/>
  <c r="R370" i="5"/>
  <c r="Q391" i="5"/>
  <c r="N391" i="5" s="1"/>
  <c r="R391" i="5"/>
  <c r="Q443" i="5"/>
  <c r="N443" i="5" s="1"/>
  <c r="R443" i="5"/>
  <c r="Q408" i="5"/>
  <c r="N408" i="5" s="1"/>
  <c r="R408" i="5"/>
  <c r="Q284" i="5"/>
  <c r="N284" i="5" s="1"/>
  <c r="R284" i="5"/>
  <c r="Q155" i="5"/>
  <c r="N155" i="5" s="1"/>
  <c r="R155" i="5"/>
  <c r="Q355" i="5"/>
  <c r="N355" i="5" s="1"/>
  <c r="R355" i="5"/>
  <c r="Q561" i="5"/>
  <c r="N561" i="5" s="1"/>
  <c r="R561" i="5"/>
  <c r="Q783" i="5"/>
  <c r="N783" i="5" s="1"/>
  <c r="R783" i="5"/>
  <c r="Q163" i="5"/>
  <c r="N163" i="5" s="1"/>
  <c r="R163" i="5"/>
  <c r="Q452" i="5"/>
  <c r="N452" i="5" s="1"/>
  <c r="R452" i="5"/>
  <c r="Q881" i="5"/>
  <c r="N881" i="5" s="1"/>
  <c r="R881" i="5"/>
  <c r="Q887" i="5"/>
  <c r="N887" i="5" s="1"/>
  <c r="R887" i="5"/>
  <c r="Q498" i="5"/>
  <c r="N498" i="5" s="1"/>
  <c r="R498" i="5"/>
  <c r="Q745" i="5"/>
  <c r="N745" i="5" s="1"/>
  <c r="R745" i="5"/>
  <c r="Q996" i="5"/>
  <c r="N996" i="5" s="1"/>
  <c r="R996" i="5"/>
  <c r="Q841" i="5"/>
  <c r="N841" i="5" s="1"/>
  <c r="R841" i="5"/>
  <c r="Q791" i="5"/>
  <c r="N791" i="5" s="1"/>
  <c r="R791" i="5"/>
  <c r="Q507" i="5"/>
  <c r="N507" i="5" s="1"/>
  <c r="R507" i="5"/>
  <c r="Q189" i="5"/>
  <c r="N189" i="5" s="1"/>
  <c r="R189" i="5"/>
  <c r="Q852" i="5"/>
  <c r="N852" i="5" s="1"/>
  <c r="R852" i="5"/>
  <c r="Q367" i="5"/>
  <c r="N367" i="5" s="1"/>
  <c r="R367" i="5"/>
  <c r="Q225" i="5"/>
  <c r="N225" i="5" s="1"/>
  <c r="R225" i="5"/>
  <c r="Q678" i="5"/>
  <c r="N678" i="5" s="1"/>
  <c r="R678" i="5"/>
  <c r="Q332" i="5"/>
  <c r="N332" i="5" s="1"/>
  <c r="R332" i="5"/>
  <c r="Q555" i="5"/>
  <c r="N555" i="5" s="1"/>
  <c r="R555" i="5"/>
  <c r="Q867" i="5"/>
  <c r="N867" i="5" s="1"/>
  <c r="R867" i="5"/>
  <c r="Q892" i="5"/>
  <c r="N892" i="5" s="1"/>
  <c r="R892" i="5"/>
  <c r="Q570" i="5"/>
  <c r="N570" i="5" s="1"/>
  <c r="R570" i="5"/>
  <c r="Q840" i="5"/>
  <c r="N840" i="5" s="1"/>
  <c r="R840" i="5"/>
  <c r="Q920" i="5"/>
  <c r="N920" i="5" s="1"/>
  <c r="R920" i="5"/>
  <c r="Q800" i="5"/>
  <c r="N800" i="5" s="1"/>
  <c r="R800" i="5"/>
  <c r="Q896" i="5"/>
  <c r="N896" i="5" s="1"/>
  <c r="R896" i="5"/>
  <c r="Q420" i="5"/>
  <c r="N420" i="5" s="1"/>
  <c r="R420" i="5"/>
  <c r="Q543" i="5"/>
  <c r="N543" i="5" s="1"/>
  <c r="R543" i="5"/>
  <c r="Q551" i="5"/>
  <c r="N551" i="5" s="1"/>
  <c r="R551" i="5"/>
  <c r="Q376" i="5"/>
  <c r="N376" i="5" s="1"/>
  <c r="R376" i="5"/>
  <c r="Q515" i="5"/>
  <c r="N515" i="5" s="1"/>
  <c r="R515" i="5"/>
  <c r="Q893" i="5"/>
  <c r="N893" i="5" s="1"/>
  <c r="R893" i="5"/>
  <c r="Q512" i="5"/>
  <c r="N512" i="5" s="1"/>
  <c r="R512" i="5"/>
  <c r="Q778" i="5"/>
  <c r="N778" i="5" s="1"/>
  <c r="R778" i="5"/>
  <c r="Q844" i="5"/>
  <c r="N844" i="5" s="1"/>
  <c r="R844" i="5"/>
  <c r="Q477" i="5"/>
  <c r="N477" i="5" s="1"/>
  <c r="R477" i="5"/>
  <c r="Q950" i="5"/>
  <c r="N950" i="5" s="1"/>
  <c r="R950" i="5"/>
  <c r="Q114" i="5"/>
  <c r="N114" i="5" s="1"/>
  <c r="R114" i="5"/>
  <c r="Q258" i="5"/>
  <c r="N258" i="5" s="1"/>
  <c r="R258" i="5"/>
  <c r="Q105" i="5"/>
  <c r="N105" i="5" s="1"/>
  <c r="R105" i="5"/>
  <c r="Q295" i="5"/>
  <c r="N295" i="5" s="1"/>
  <c r="R295" i="5"/>
  <c r="Q150" i="5"/>
  <c r="N150" i="5" s="1"/>
  <c r="R150" i="5"/>
  <c r="Q83" i="5"/>
  <c r="N83" i="5" s="1"/>
  <c r="R83" i="5"/>
  <c r="Q130" i="5"/>
  <c r="N130" i="5" s="1"/>
  <c r="R130" i="5"/>
  <c r="Q241" i="5"/>
  <c r="N241" i="5" s="1"/>
  <c r="R241" i="5"/>
  <c r="Q142" i="5"/>
  <c r="N142" i="5" s="1"/>
  <c r="R142" i="5"/>
  <c r="Q281" i="5"/>
  <c r="N281" i="5" s="1"/>
  <c r="R281" i="5"/>
  <c r="Q96" i="5"/>
  <c r="N96" i="5" s="1"/>
  <c r="R96" i="5"/>
  <c r="Q353" i="5"/>
  <c r="N353" i="5" s="1"/>
  <c r="R353" i="5"/>
  <c r="Q271" i="5"/>
  <c r="N271" i="5" s="1"/>
  <c r="R271" i="5"/>
  <c r="Q365" i="5"/>
  <c r="N365" i="5" s="1"/>
  <c r="R365" i="5"/>
  <c r="Q385" i="5"/>
  <c r="N385" i="5" s="1"/>
  <c r="R385" i="5"/>
  <c r="Q67" i="5"/>
  <c r="N67" i="5" s="1"/>
  <c r="R67" i="5"/>
  <c r="Q374" i="5"/>
  <c r="N374" i="5" s="1"/>
  <c r="R374" i="5"/>
  <c r="Q412" i="5"/>
  <c r="N412" i="5" s="1"/>
  <c r="R412" i="5"/>
  <c r="Q323" i="5"/>
  <c r="N323" i="5" s="1"/>
  <c r="R323" i="5"/>
  <c r="Q501" i="5"/>
  <c r="N501" i="5" s="1"/>
  <c r="R501" i="5"/>
  <c r="Q378" i="5"/>
  <c r="N378" i="5" s="1"/>
  <c r="R378" i="5"/>
  <c r="Q356" i="5"/>
  <c r="N356" i="5" s="1"/>
  <c r="R356" i="5"/>
  <c r="Q487" i="5"/>
  <c r="N487" i="5" s="1"/>
  <c r="R487" i="5"/>
  <c r="Q573" i="5"/>
  <c r="N573" i="5" s="1"/>
  <c r="R573" i="5"/>
  <c r="Q798" i="5"/>
  <c r="N798" i="5" s="1"/>
  <c r="R798" i="5"/>
  <c r="Q175" i="5"/>
  <c r="N175" i="5" s="1"/>
  <c r="R175" i="5"/>
  <c r="Q458" i="5"/>
  <c r="N458" i="5" s="1"/>
  <c r="R458" i="5"/>
  <c r="Q944" i="5"/>
  <c r="N944" i="5" s="1"/>
  <c r="R944" i="5"/>
  <c r="Q894" i="5"/>
  <c r="N894" i="5" s="1"/>
  <c r="R894" i="5"/>
  <c r="Q500" i="5"/>
  <c r="N500" i="5" s="1"/>
  <c r="R500" i="5"/>
  <c r="Q753" i="5"/>
  <c r="N753" i="5" s="1"/>
  <c r="R753" i="5"/>
  <c r="Q657" i="5"/>
  <c r="N657" i="5" s="1"/>
  <c r="R657" i="5"/>
  <c r="Q873" i="5"/>
  <c r="N873" i="5" s="1"/>
  <c r="R873" i="5"/>
  <c r="Q940" i="5"/>
  <c r="N940" i="5" s="1"/>
  <c r="R940" i="5"/>
  <c r="Q524" i="5"/>
  <c r="N524" i="5" s="1"/>
  <c r="R524" i="5"/>
  <c r="Q390" i="5"/>
  <c r="N390" i="5" s="1"/>
  <c r="R390" i="5"/>
  <c r="Q859" i="5"/>
  <c r="N859" i="5" s="1"/>
  <c r="R859" i="5"/>
  <c r="Q411" i="5"/>
  <c r="N411" i="5" s="1"/>
  <c r="R411" i="5"/>
  <c r="Q495" i="5"/>
  <c r="N495" i="5" s="1"/>
  <c r="R495" i="5"/>
  <c r="Q736" i="5"/>
  <c r="N736" i="5" s="1"/>
  <c r="R736" i="5"/>
  <c r="Q465" i="5"/>
  <c r="N465" i="5" s="1"/>
  <c r="R465" i="5"/>
  <c r="Q559" i="5"/>
  <c r="N559" i="5" s="1"/>
  <c r="R559" i="5"/>
  <c r="Q876" i="5"/>
  <c r="N876" i="5" s="1"/>
  <c r="R876" i="5"/>
  <c r="Q922" i="5"/>
  <c r="N922" i="5" s="1"/>
  <c r="R922" i="5"/>
  <c r="Q579" i="5"/>
  <c r="N579" i="5" s="1"/>
  <c r="R579" i="5"/>
  <c r="Q847" i="5"/>
  <c r="N847" i="5" s="1"/>
  <c r="R847" i="5"/>
  <c r="Q937" i="5"/>
  <c r="N937" i="5" s="1"/>
  <c r="R937" i="5"/>
  <c r="Q809" i="5"/>
  <c r="N809" i="5" s="1"/>
  <c r="R809" i="5"/>
  <c r="Q924" i="5"/>
  <c r="N924" i="5" s="1"/>
  <c r="R924" i="5"/>
  <c r="Q568" i="5"/>
  <c r="N568" i="5" s="1"/>
  <c r="R568" i="5"/>
  <c r="Q576" i="5"/>
  <c r="N576" i="5" s="1"/>
  <c r="R576" i="5"/>
  <c r="Q730" i="5"/>
  <c r="N730" i="5" s="1"/>
  <c r="R730" i="5"/>
  <c r="Q649" i="5"/>
  <c r="N649" i="5" s="1"/>
  <c r="R649" i="5"/>
  <c r="Q648" i="5"/>
  <c r="N648" i="5" s="1"/>
  <c r="R648" i="5"/>
  <c r="Q949" i="5"/>
  <c r="N949" i="5" s="1"/>
  <c r="R949" i="5"/>
  <c r="Q654" i="5"/>
  <c r="N654" i="5" s="1"/>
  <c r="R654" i="5"/>
  <c r="Q795" i="5"/>
  <c r="N795" i="5" s="1"/>
  <c r="R795" i="5"/>
  <c r="Q977" i="5"/>
  <c r="N977" i="5" s="1"/>
  <c r="R977" i="5"/>
  <c r="Q605" i="5"/>
  <c r="N605" i="5" s="1"/>
  <c r="R605" i="5"/>
  <c r="Q622" i="5"/>
  <c r="N622" i="5" s="1"/>
  <c r="R622" i="5"/>
  <c r="Q327" i="5"/>
  <c r="N327" i="5" s="1"/>
  <c r="R327" i="5"/>
  <c r="Q146" i="5"/>
  <c r="N146" i="5" s="1"/>
  <c r="R146" i="5"/>
  <c r="Q273" i="5"/>
  <c r="N273" i="5" s="1"/>
  <c r="R273" i="5"/>
  <c r="Q126" i="5"/>
  <c r="N126" i="5" s="1"/>
  <c r="R126" i="5"/>
  <c r="Q100" i="5"/>
  <c r="N100" i="5" s="1"/>
  <c r="R100" i="5"/>
  <c r="Q162" i="5"/>
  <c r="N162" i="5" s="1"/>
  <c r="R162" i="5"/>
  <c r="Q128" i="5"/>
  <c r="N128" i="5" s="1"/>
  <c r="R128" i="5"/>
  <c r="Q179" i="5"/>
  <c r="N179" i="5" s="1"/>
  <c r="R179" i="5"/>
  <c r="Q56" i="5"/>
  <c r="N56" i="5" s="1"/>
  <c r="R56" i="5"/>
  <c r="Q183" i="5"/>
  <c r="N183" i="5" s="1"/>
  <c r="R183" i="5"/>
  <c r="Q301" i="5"/>
  <c r="N301" i="5" s="1"/>
  <c r="R301" i="5"/>
  <c r="Q117" i="5"/>
  <c r="N117" i="5" s="1"/>
  <c r="R117" i="5"/>
  <c r="Q361" i="5"/>
  <c r="N361" i="5" s="1"/>
  <c r="R361" i="5"/>
  <c r="Q275" i="5"/>
  <c r="N275" i="5" s="1"/>
  <c r="R275" i="5"/>
  <c r="Q404" i="5"/>
  <c r="N404" i="5" s="1"/>
  <c r="R404" i="5"/>
  <c r="Q387" i="5"/>
  <c r="N387" i="5" s="1"/>
  <c r="R387" i="5"/>
  <c r="Q133" i="5"/>
  <c r="N133" i="5" s="1"/>
  <c r="R133" i="5"/>
  <c r="Q407" i="5"/>
  <c r="N407" i="5" s="1"/>
  <c r="R407" i="5"/>
  <c r="Q425" i="5"/>
  <c r="N425" i="5" s="1"/>
  <c r="R425" i="5"/>
  <c r="Q334" i="5"/>
  <c r="N334" i="5" s="1"/>
  <c r="R334" i="5"/>
  <c r="Q287" i="5"/>
  <c r="N287" i="5" s="1"/>
  <c r="R287" i="5"/>
  <c r="Q433" i="5"/>
  <c r="N433" i="5" s="1"/>
  <c r="R433" i="5"/>
  <c r="Q398" i="5"/>
  <c r="N398" i="5" s="1"/>
  <c r="R398" i="5"/>
  <c r="Q516" i="5"/>
  <c r="N516" i="5" s="1"/>
  <c r="R516" i="5"/>
  <c r="Q575" i="5"/>
  <c r="N575" i="5" s="1"/>
  <c r="R575" i="5"/>
  <c r="Q297" i="5"/>
  <c r="N297" i="5" s="1"/>
  <c r="R297" i="5"/>
  <c r="Q350" i="5"/>
  <c r="N350" i="5" s="1"/>
  <c r="R350" i="5"/>
  <c r="Q471" i="5"/>
  <c r="N471" i="5" s="1"/>
  <c r="R471" i="5"/>
  <c r="Q952" i="5"/>
  <c r="N952" i="5" s="1"/>
  <c r="R952" i="5"/>
  <c r="Q913" i="5"/>
  <c r="N913" i="5" s="1"/>
  <c r="R913" i="5"/>
  <c r="Q504" i="5"/>
  <c r="N504" i="5" s="1"/>
  <c r="R504" i="5"/>
  <c r="Q824" i="5"/>
  <c r="N824" i="5" s="1"/>
  <c r="R824" i="5"/>
  <c r="Q681" i="5"/>
  <c r="N681" i="5" s="1"/>
  <c r="R681" i="5"/>
  <c r="Q979" i="5"/>
  <c r="N979" i="5" s="1"/>
  <c r="R979" i="5"/>
  <c r="Q902" i="5"/>
  <c r="N902" i="5" s="1"/>
  <c r="R902" i="5"/>
  <c r="Q528" i="5"/>
  <c r="N528" i="5" s="1"/>
  <c r="R528" i="5"/>
  <c r="Q431" i="5"/>
  <c r="N431" i="5" s="1"/>
  <c r="R431" i="5"/>
  <c r="Q866" i="5"/>
  <c r="N866" i="5" s="1"/>
  <c r="R866" i="5"/>
  <c r="Q509" i="5"/>
  <c r="N509" i="5" s="1"/>
  <c r="R509" i="5"/>
  <c r="Q615" i="5"/>
  <c r="N615" i="5" s="1"/>
  <c r="R615" i="5"/>
  <c r="Q752" i="5"/>
  <c r="N752" i="5" s="1"/>
  <c r="R752" i="5"/>
  <c r="Q484" i="5"/>
  <c r="N484" i="5" s="1"/>
  <c r="R484" i="5"/>
  <c r="Q571" i="5"/>
  <c r="N571" i="5" s="1"/>
  <c r="R571" i="5"/>
  <c r="Q890" i="5"/>
  <c r="N890" i="5" s="1"/>
  <c r="R890" i="5"/>
  <c r="Q961" i="5"/>
  <c r="N961" i="5" s="1"/>
  <c r="R961" i="5"/>
  <c r="Q591" i="5"/>
  <c r="N591" i="5" s="1"/>
  <c r="R591" i="5"/>
  <c r="Q907" i="5"/>
  <c r="N907" i="5" s="1"/>
  <c r="R907" i="5"/>
  <c r="Q954" i="5"/>
  <c r="N954" i="5" s="1"/>
  <c r="R954" i="5"/>
  <c r="Q344" i="5"/>
  <c r="N344" i="5" s="1"/>
  <c r="R344" i="5"/>
  <c r="Q958" i="5"/>
  <c r="N958" i="5" s="1"/>
  <c r="R958" i="5"/>
  <c r="Q710" i="5"/>
  <c r="N710" i="5" s="1"/>
  <c r="R710" i="5"/>
  <c r="Q588" i="5"/>
  <c r="N588" i="5" s="1"/>
  <c r="R588" i="5"/>
  <c r="Q750" i="5"/>
  <c r="N750" i="5" s="1"/>
  <c r="R750" i="5"/>
  <c r="Q758" i="5"/>
  <c r="N758" i="5" s="1"/>
  <c r="R758" i="5"/>
  <c r="Q682" i="5"/>
  <c r="N682" i="5" s="1"/>
  <c r="R682" i="5"/>
  <c r="Q585" i="5"/>
  <c r="N585" i="5" s="1"/>
  <c r="R585" i="5"/>
  <c r="Q671" i="5"/>
  <c r="N671" i="5" s="1"/>
  <c r="R671" i="5"/>
  <c r="Q833" i="5"/>
  <c r="N833" i="5" s="1"/>
  <c r="R833" i="5"/>
  <c r="Q683" i="5"/>
  <c r="N683" i="5" s="1"/>
  <c r="R683" i="5"/>
  <c r="Q646" i="5"/>
  <c r="N646" i="5" s="1"/>
  <c r="R646" i="5"/>
  <c r="Q819" i="5"/>
  <c r="N819" i="5" s="1"/>
  <c r="R819" i="5"/>
  <c r="Q288" i="5"/>
  <c r="N288" i="5" s="1"/>
  <c r="R288" i="5"/>
  <c r="Q121" i="5"/>
  <c r="N121" i="5" s="1"/>
  <c r="R121" i="5"/>
  <c r="Q186" i="5"/>
  <c r="N186" i="5" s="1"/>
  <c r="R186" i="5"/>
  <c r="Q203" i="5"/>
  <c r="N203" i="5" s="1"/>
  <c r="R203" i="5"/>
  <c r="Q84" i="5"/>
  <c r="N84" i="5" s="1"/>
  <c r="R84" i="5"/>
  <c r="Q187" i="5"/>
  <c r="N187" i="5" s="1"/>
  <c r="R187" i="5"/>
  <c r="Q339" i="5"/>
  <c r="N339" i="5" s="1"/>
  <c r="R339" i="5"/>
  <c r="Q60" i="5"/>
  <c r="N60" i="5" s="1"/>
  <c r="R60" i="5"/>
  <c r="Q279" i="5"/>
  <c r="N279" i="5" s="1"/>
  <c r="R279" i="5"/>
  <c r="Q99" i="5"/>
  <c r="N99" i="5" s="1"/>
  <c r="R99" i="5"/>
  <c r="Q190" i="5"/>
  <c r="N190" i="5" s="1"/>
  <c r="R190" i="5"/>
  <c r="Q182" i="5"/>
  <c r="N182" i="5" s="1"/>
  <c r="R182" i="5"/>
  <c r="Q432" i="5"/>
  <c r="N432" i="5" s="1"/>
  <c r="R432" i="5"/>
  <c r="Q351" i="5"/>
  <c r="N351" i="5" s="1"/>
  <c r="R351" i="5"/>
  <c r="Q393" i="5"/>
  <c r="N393" i="5" s="1"/>
  <c r="R393" i="5"/>
  <c r="Q447" i="5"/>
  <c r="N447" i="5" s="1"/>
  <c r="R447" i="5"/>
  <c r="Q423" i="5"/>
  <c r="N423" i="5" s="1"/>
  <c r="R423" i="5"/>
  <c r="Q600" i="5"/>
  <c r="N600" i="5" s="1"/>
  <c r="R600" i="5"/>
  <c r="Q623" i="5"/>
  <c r="N623" i="5" s="1"/>
  <c r="R623" i="5"/>
  <c r="Q325" i="5"/>
  <c r="N325" i="5" s="1"/>
  <c r="R325" i="5"/>
  <c r="Q569" i="5"/>
  <c r="N569" i="5" s="1"/>
  <c r="R569" i="5"/>
  <c r="Q960" i="5"/>
  <c r="N960" i="5" s="1"/>
  <c r="R960" i="5"/>
  <c r="Q955" i="5"/>
  <c r="N955" i="5" s="1"/>
  <c r="R955" i="5"/>
  <c r="Q565" i="5"/>
  <c r="N565" i="5" s="1"/>
  <c r="R565" i="5"/>
  <c r="Q831" i="5"/>
  <c r="N831" i="5" s="1"/>
  <c r="R831" i="5"/>
  <c r="Q697" i="5"/>
  <c r="N697" i="5" s="1"/>
  <c r="R697" i="5"/>
  <c r="Q983" i="5"/>
  <c r="N983" i="5" s="1"/>
  <c r="R983" i="5"/>
  <c r="Q921" i="5"/>
  <c r="N921" i="5" s="1"/>
  <c r="R921" i="5"/>
  <c r="Q536" i="5"/>
  <c r="N536" i="5" s="1"/>
  <c r="R536" i="5"/>
  <c r="Q496" i="5"/>
  <c r="N496" i="5" s="1"/>
  <c r="R496" i="5"/>
  <c r="Q877" i="5"/>
  <c r="N877" i="5" s="1"/>
  <c r="R877" i="5"/>
  <c r="Q522" i="5"/>
  <c r="N522" i="5" s="1"/>
  <c r="R522" i="5"/>
  <c r="Q721" i="5"/>
  <c r="N721" i="5" s="1"/>
  <c r="R721" i="5"/>
  <c r="Q825" i="5"/>
  <c r="N825" i="5" s="1"/>
  <c r="R825" i="5"/>
  <c r="Q596" i="5"/>
  <c r="N596" i="5" s="1"/>
  <c r="R596" i="5"/>
  <c r="Q578" i="5"/>
  <c r="N578" i="5" s="1"/>
  <c r="R578" i="5"/>
  <c r="Q897" i="5"/>
  <c r="N897" i="5" s="1"/>
  <c r="R897" i="5"/>
  <c r="Q562" i="5"/>
  <c r="N562" i="5" s="1"/>
  <c r="R562" i="5"/>
  <c r="Q488" i="5"/>
  <c r="N488" i="5" s="1"/>
  <c r="R488" i="5"/>
  <c r="Q611" i="5"/>
  <c r="N611" i="5" s="1"/>
  <c r="R611" i="5"/>
  <c r="Q399" i="5"/>
  <c r="N399" i="5" s="1"/>
  <c r="R399" i="5"/>
  <c r="Q572" i="5"/>
  <c r="N572" i="5" s="1"/>
  <c r="R572" i="5"/>
  <c r="Q804" i="5"/>
  <c r="N804" i="5" s="1"/>
  <c r="R804" i="5"/>
  <c r="Q590" i="5"/>
  <c r="N590" i="5" s="1"/>
  <c r="R590" i="5"/>
  <c r="Q978" i="5"/>
  <c r="N978" i="5" s="1"/>
  <c r="R978" i="5"/>
  <c r="Q704" i="5"/>
  <c r="N704" i="5" s="1"/>
  <c r="R704" i="5"/>
  <c r="Q733" i="5"/>
  <c r="N733" i="5" s="1"/>
  <c r="R733" i="5"/>
  <c r="Q974" i="5"/>
  <c r="N974" i="5" s="1"/>
  <c r="R974" i="5"/>
  <c r="Q879" i="5"/>
  <c r="N879" i="5" s="1"/>
  <c r="R879" i="5"/>
  <c r="Q743" i="5"/>
  <c r="N743" i="5" s="1"/>
  <c r="R743" i="5"/>
  <c r="Q677" i="5"/>
  <c r="N677" i="5" s="1"/>
  <c r="R677" i="5"/>
  <c r="Q601" i="5"/>
  <c r="N601" i="5" s="1"/>
  <c r="R601" i="5"/>
  <c r="Q607" i="5"/>
  <c r="N607" i="5" s="1"/>
  <c r="R607" i="5"/>
  <c r="Q976" i="5"/>
  <c r="N976" i="5" s="1"/>
  <c r="R976" i="5"/>
  <c r="Q747" i="5"/>
  <c r="N747" i="5" s="1"/>
  <c r="R747" i="5"/>
  <c r="Q864" i="5"/>
  <c r="N864" i="5" s="1"/>
  <c r="R864" i="5"/>
  <c r="Q624" i="5"/>
  <c r="N624" i="5" s="1"/>
  <c r="R624" i="5"/>
  <c r="Q918" i="5"/>
  <c r="N918" i="5" s="1"/>
  <c r="R918" i="5"/>
  <c r="Q946" i="5"/>
  <c r="N946" i="5" s="1"/>
  <c r="R946" i="5"/>
  <c r="Q882" i="5"/>
  <c r="N882" i="5" s="1"/>
  <c r="R882" i="5"/>
  <c r="Q701" i="5"/>
  <c r="N701" i="5" s="1"/>
  <c r="R701" i="5"/>
  <c r="Q680" i="5"/>
  <c r="N680" i="5" s="1"/>
  <c r="R680" i="5"/>
  <c r="Q534" i="5"/>
  <c r="N534" i="5" s="1"/>
  <c r="R534" i="5"/>
  <c r="Q612" i="5"/>
  <c r="N612" i="5" s="1"/>
  <c r="R612" i="5"/>
  <c r="Q435" i="5"/>
  <c r="N435" i="5" s="1"/>
  <c r="R435" i="5"/>
  <c r="Q853" i="5"/>
  <c r="N853" i="5" s="1"/>
  <c r="R853" i="5"/>
  <c r="Q352" i="5"/>
  <c r="N352" i="5" s="1"/>
  <c r="R352" i="5"/>
  <c r="Q720" i="5"/>
  <c r="N720" i="5" s="1"/>
  <c r="R720" i="5"/>
  <c r="Q916" i="5"/>
  <c r="N916" i="5" s="1"/>
  <c r="R916" i="5"/>
  <c r="Q523" i="5"/>
  <c r="N523" i="5" s="1"/>
  <c r="R523" i="5"/>
  <c r="Q837" i="5"/>
  <c r="N837" i="5" s="1"/>
  <c r="R837" i="5"/>
  <c r="Q909" i="5"/>
  <c r="N909" i="5" s="1"/>
  <c r="R909" i="5"/>
  <c r="Q510" i="5"/>
  <c r="N510" i="5" s="1"/>
  <c r="R510" i="5"/>
  <c r="Q409" i="5"/>
  <c r="N409" i="5" s="1"/>
  <c r="R409" i="5"/>
  <c r="Q178" i="5"/>
  <c r="N178" i="5" s="1"/>
  <c r="R178" i="5"/>
  <c r="Q129" i="5"/>
  <c r="N129" i="5" s="1"/>
  <c r="R129" i="5"/>
  <c r="Q198" i="5"/>
  <c r="N198" i="5" s="1"/>
  <c r="R198" i="5"/>
  <c r="Q202" i="5"/>
  <c r="N202" i="5" s="1"/>
  <c r="R202" i="5"/>
  <c r="Q416" i="5"/>
  <c r="N416" i="5" s="1"/>
  <c r="R416" i="5"/>
  <c r="Q363" i="5"/>
  <c r="N363" i="5" s="1"/>
  <c r="R363" i="5"/>
  <c r="Q829" i="5"/>
  <c r="N829" i="5" s="1"/>
  <c r="R829" i="5"/>
  <c r="Q210" i="5"/>
  <c r="N210" i="5" s="1"/>
  <c r="R210" i="5"/>
  <c r="Q78" i="5"/>
  <c r="N78" i="5" s="1"/>
  <c r="R78" i="5"/>
  <c r="Q151" i="5"/>
  <c r="N151" i="5" s="1"/>
  <c r="R151" i="5"/>
  <c r="Q171" i="5"/>
  <c r="N171" i="5" s="1"/>
  <c r="R171" i="5"/>
  <c r="Q196" i="5"/>
  <c r="N196" i="5" s="1"/>
  <c r="R196" i="5"/>
  <c r="Q249" i="5"/>
  <c r="N249" i="5" s="1"/>
  <c r="R249" i="5"/>
  <c r="Q257" i="5"/>
  <c r="N257" i="5" s="1"/>
  <c r="R257" i="5"/>
  <c r="Q98" i="5"/>
  <c r="N98" i="5" s="1"/>
  <c r="R98" i="5"/>
  <c r="Q197" i="5"/>
  <c r="N197" i="5" s="1"/>
  <c r="R197" i="5"/>
  <c r="Q148" i="5"/>
  <c r="N148" i="5" s="1"/>
  <c r="R148" i="5"/>
  <c r="Q76" i="5"/>
  <c r="N76" i="5" s="1"/>
  <c r="R76" i="5"/>
  <c r="Q79" i="5"/>
  <c r="N79" i="5" s="1"/>
  <c r="R79" i="5"/>
  <c r="Q283" i="5"/>
  <c r="N283" i="5" s="1"/>
  <c r="R283" i="5"/>
  <c r="Q307" i="5"/>
  <c r="N307" i="5" s="1"/>
  <c r="R307" i="5"/>
  <c r="Q233" i="5"/>
  <c r="N233" i="5" s="1"/>
  <c r="R233" i="5"/>
  <c r="Q236" i="5"/>
  <c r="N236" i="5" s="1"/>
  <c r="R236" i="5"/>
  <c r="Q120" i="5"/>
  <c r="N120" i="5" s="1"/>
  <c r="R120" i="5"/>
  <c r="Q481" i="5"/>
  <c r="N481" i="5" s="1"/>
  <c r="R481" i="5"/>
  <c r="Q362" i="5"/>
  <c r="N362" i="5" s="1"/>
  <c r="R362" i="5"/>
  <c r="Q421" i="5"/>
  <c r="N421" i="5" s="1"/>
  <c r="R421" i="5"/>
  <c r="Q449" i="5"/>
  <c r="N449" i="5" s="1"/>
  <c r="R449" i="5"/>
  <c r="Q472" i="5"/>
  <c r="N472" i="5" s="1"/>
  <c r="R472" i="5"/>
  <c r="Q610" i="5"/>
  <c r="N610" i="5" s="1"/>
  <c r="R610" i="5"/>
  <c r="Q632" i="5"/>
  <c r="N632" i="5" s="1"/>
  <c r="R632" i="5"/>
  <c r="Q379" i="5"/>
  <c r="N379" i="5" s="1"/>
  <c r="R379" i="5"/>
  <c r="Q455" i="5"/>
  <c r="N455" i="5" s="1"/>
  <c r="R455" i="5"/>
  <c r="Q691" i="5"/>
  <c r="N691" i="5" s="1"/>
  <c r="R691" i="5"/>
  <c r="Q968" i="5"/>
  <c r="N968" i="5" s="1"/>
  <c r="R968" i="5"/>
  <c r="Q971" i="5"/>
  <c r="N971" i="5" s="1"/>
  <c r="R971" i="5"/>
  <c r="Q581" i="5"/>
  <c r="N581" i="5" s="1"/>
  <c r="R581" i="5"/>
  <c r="Q856" i="5"/>
  <c r="N856" i="5" s="1"/>
  <c r="R856" i="5"/>
  <c r="Q707" i="5"/>
  <c r="N707" i="5" s="1"/>
  <c r="R707" i="5"/>
  <c r="Q999" i="5"/>
  <c r="N999" i="5" s="1"/>
  <c r="R999" i="5"/>
  <c r="Q92" i="5"/>
  <c r="N92" i="5" s="1"/>
  <c r="R92" i="5"/>
  <c r="Q688" i="5"/>
  <c r="N688" i="5" s="1"/>
  <c r="R688" i="5"/>
  <c r="Q513" i="5"/>
  <c r="N513" i="5" s="1"/>
  <c r="R513" i="5"/>
  <c r="Q884" i="5"/>
  <c r="N884" i="5" s="1"/>
  <c r="R884" i="5"/>
  <c r="Q530" i="5"/>
  <c r="N530" i="5" s="1"/>
  <c r="R530" i="5"/>
  <c r="Q780" i="5"/>
  <c r="N780" i="5" s="1"/>
  <c r="R780" i="5"/>
  <c r="Q843" i="5"/>
  <c r="N843" i="5" s="1"/>
  <c r="R843" i="5"/>
  <c r="Q938" i="5"/>
  <c r="N938" i="5" s="1"/>
  <c r="R938" i="5"/>
  <c r="Q597" i="5"/>
  <c r="N597" i="5" s="1"/>
  <c r="R597" i="5"/>
  <c r="Q911" i="5"/>
  <c r="N911" i="5" s="1"/>
  <c r="R911" i="5"/>
  <c r="Q676" i="5"/>
  <c r="N676" i="5" s="1"/>
  <c r="R676" i="5"/>
  <c r="Q868" i="5"/>
  <c r="N868" i="5" s="1"/>
  <c r="R868" i="5"/>
  <c r="Q557" i="5"/>
  <c r="N557" i="5" s="1"/>
  <c r="R557" i="5"/>
  <c r="Q620" i="5"/>
  <c r="N620" i="5" s="1"/>
  <c r="R620" i="5"/>
  <c r="Q473" i="5"/>
  <c r="N473" i="5" s="1"/>
  <c r="R473" i="5"/>
  <c r="Q598" i="5"/>
  <c r="N598" i="5" s="1"/>
  <c r="R598" i="5"/>
  <c r="Q115" i="5"/>
  <c r="N115" i="5" s="1"/>
  <c r="R115" i="5"/>
  <c r="Q805" i="5"/>
  <c r="N805" i="5" s="1"/>
  <c r="R805" i="5"/>
  <c r="Q50" i="5"/>
  <c r="N50" i="5" s="1"/>
  <c r="R50" i="5"/>
  <c r="Q227" i="5"/>
  <c r="N227" i="5" s="1"/>
  <c r="R227" i="5"/>
  <c r="Q709" i="5"/>
  <c r="N709" i="5" s="1"/>
  <c r="R709" i="5"/>
  <c r="Q445" i="5"/>
  <c r="N445" i="5" s="1"/>
  <c r="R445" i="5"/>
  <c r="Q982" i="5"/>
  <c r="N982" i="5" s="1"/>
  <c r="R982" i="5"/>
  <c r="Q492" i="5"/>
  <c r="N492" i="5" s="1"/>
  <c r="R492" i="5"/>
  <c r="Q812" i="5"/>
  <c r="N812" i="5" s="1"/>
  <c r="R812" i="5"/>
  <c r="Q806" i="5"/>
  <c r="N806" i="5" s="1"/>
  <c r="R806" i="5"/>
  <c r="Q770" i="5"/>
  <c r="N770" i="5" s="1"/>
  <c r="R770" i="5"/>
  <c r="Q90" i="5"/>
  <c r="N90" i="5" s="1"/>
  <c r="R90" i="5"/>
  <c r="Q107" i="5"/>
  <c r="N107" i="5" s="1"/>
  <c r="R107" i="5"/>
  <c r="Q174" i="5"/>
  <c r="N174" i="5" s="1"/>
  <c r="R174" i="5"/>
  <c r="Q205" i="5"/>
  <c r="N205" i="5" s="1"/>
  <c r="R205" i="5"/>
  <c r="Q221" i="5"/>
  <c r="N221" i="5" s="1"/>
  <c r="R221" i="5"/>
  <c r="Q53" i="5"/>
  <c r="N53" i="5" s="1"/>
  <c r="R53" i="5"/>
  <c r="Q55" i="5"/>
  <c r="N55" i="5" s="1"/>
  <c r="R55" i="5"/>
  <c r="Q152" i="5"/>
  <c r="N152" i="5" s="1"/>
  <c r="R152" i="5"/>
  <c r="Q262" i="5"/>
  <c r="N262" i="5" s="1"/>
  <c r="R262" i="5"/>
  <c r="Q181" i="5"/>
  <c r="N181" i="5" s="1"/>
  <c r="R181" i="5"/>
  <c r="Q108" i="5"/>
  <c r="N108" i="5" s="1"/>
  <c r="R108" i="5"/>
  <c r="Q111" i="5"/>
  <c r="N111" i="5" s="1"/>
  <c r="R111" i="5"/>
  <c r="Q285" i="5"/>
  <c r="N285" i="5" s="1"/>
  <c r="R285" i="5"/>
  <c r="Q314" i="5"/>
  <c r="N314" i="5" s="1"/>
  <c r="R314" i="5"/>
  <c r="Q261" i="5"/>
  <c r="N261" i="5" s="1"/>
  <c r="R261" i="5"/>
  <c r="Q244" i="5"/>
  <c r="N244" i="5" s="1"/>
  <c r="R244" i="5"/>
  <c r="Q272" i="5"/>
  <c r="N272" i="5" s="1"/>
  <c r="R272" i="5"/>
  <c r="Q514" i="5"/>
  <c r="N514" i="5" s="1"/>
  <c r="R514" i="5"/>
  <c r="Q364" i="5"/>
  <c r="N364" i="5" s="1"/>
  <c r="R364" i="5"/>
  <c r="Q462" i="5"/>
  <c r="N462" i="5" s="1"/>
  <c r="R462" i="5"/>
  <c r="Q464" i="5"/>
  <c r="N464" i="5" s="1"/>
  <c r="R464" i="5"/>
  <c r="Q476" i="5"/>
  <c r="N476" i="5" s="1"/>
  <c r="R476" i="5"/>
  <c r="Q675" i="5"/>
  <c r="N675" i="5" s="1"/>
  <c r="R675" i="5"/>
  <c r="Q638" i="5"/>
  <c r="N638" i="5" s="1"/>
  <c r="R638" i="5"/>
  <c r="Q395" i="5"/>
  <c r="N395" i="5" s="1"/>
  <c r="R395" i="5"/>
  <c r="Q457" i="5"/>
  <c r="N457" i="5" s="1"/>
  <c r="R457" i="5"/>
  <c r="Q705" i="5"/>
  <c r="N705" i="5" s="1"/>
  <c r="R705" i="5"/>
  <c r="Q987" i="5"/>
  <c r="N987" i="5" s="1"/>
  <c r="R987" i="5"/>
  <c r="Q613" i="5"/>
  <c r="N613" i="5" s="1"/>
  <c r="R613" i="5"/>
  <c r="Q863" i="5"/>
  <c r="N863" i="5" s="1"/>
  <c r="R863" i="5"/>
  <c r="Q898" i="5"/>
  <c r="N898" i="5" s="1"/>
  <c r="R898" i="5"/>
  <c r="Q608" i="5"/>
  <c r="N608" i="5" s="1"/>
  <c r="R608" i="5"/>
  <c r="Q180" i="5"/>
  <c r="N180" i="5" s="1"/>
  <c r="R180" i="5"/>
  <c r="Q719" i="5"/>
  <c r="N719" i="5" s="1"/>
  <c r="R719" i="5"/>
  <c r="Q558" i="5"/>
  <c r="N558" i="5" s="1"/>
  <c r="R558" i="5"/>
  <c r="Q891" i="5"/>
  <c r="N891" i="5" s="1"/>
  <c r="R891" i="5"/>
  <c r="Q969" i="5"/>
  <c r="N969" i="5" s="1"/>
  <c r="R969" i="5"/>
  <c r="Q582" i="5"/>
  <c r="N582" i="5" s="1"/>
  <c r="R582" i="5"/>
  <c r="Q456" i="5"/>
  <c r="N456" i="5" s="1"/>
  <c r="R456" i="5"/>
  <c r="Q277" i="5"/>
  <c r="N277" i="5" s="1"/>
  <c r="R277" i="5"/>
  <c r="Q113" i="5"/>
  <c r="N113" i="5" s="1"/>
  <c r="R113" i="5"/>
  <c r="Q185" i="5"/>
  <c r="N185" i="5" s="1"/>
  <c r="R185" i="5"/>
  <c r="Q229" i="5"/>
  <c r="N229" i="5" s="1"/>
  <c r="R229" i="5"/>
  <c r="Q270" i="5"/>
  <c r="N270" i="5" s="1"/>
  <c r="R270" i="5"/>
  <c r="Q59" i="5"/>
  <c r="N59" i="5" s="1"/>
  <c r="R59" i="5"/>
  <c r="Q71" i="5"/>
  <c r="N71" i="5" s="1"/>
  <c r="R71" i="5"/>
  <c r="Q158" i="5"/>
  <c r="N158" i="5" s="1"/>
  <c r="R158" i="5"/>
  <c r="Q269" i="5"/>
  <c r="N269" i="5" s="1"/>
  <c r="R269" i="5"/>
  <c r="Q247" i="5"/>
  <c r="N247" i="5" s="1"/>
  <c r="R247" i="5"/>
  <c r="Q173" i="5"/>
  <c r="N173" i="5" s="1"/>
  <c r="R173" i="5"/>
  <c r="Q166" i="5"/>
  <c r="N166" i="5" s="1"/>
  <c r="R166" i="5"/>
  <c r="Q291" i="5"/>
  <c r="N291" i="5" s="1"/>
  <c r="R291" i="5"/>
  <c r="Q377" i="5"/>
  <c r="N377" i="5" s="1"/>
  <c r="R377" i="5"/>
  <c r="Q266" i="5"/>
  <c r="N266" i="5" s="1"/>
  <c r="R266" i="5"/>
  <c r="Q259" i="5"/>
  <c r="N259" i="5" s="1"/>
  <c r="R259" i="5"/>
  <c r="Q328" i="5"/>
  <c r="N328" i="5" s="1"/>
  <c r="R328" i="5"/>
  <c r="Q517" i="5"/>
  <c r="N517" i="5" s="1"/>
  <c r="R517" i="5"/>
  <c r="Q373" i="5"/>
  <c r="N373" i="5" s="1"/>
  <c r="R373" i="5"/>
  <c r="Q485" i="5"/>
  <c r="N485" i="5" s="1"/>
  <c r="R485" i="5"/>
  <c r="Q466" i="5"/>
  <c r="N466" i="5" s="1"/>
  <c r="R466" i="5"/>
  <c r="Q511" i="5"/>
  <c r="N511" i="5" s="1"/>
  <c r="R511" i="5"/>
  <c r="Q787" i="5"/>
  <c r="N787" i="5" s="1"/>
  <c r="R787" i="5"/>
  <c r="Q641" i="5"/>
  <c r="N641" i="5" s="1"/>
  <c r="R641" i="5"/>
  <c r="Q438" i="5"/>
  <c r="N438" i="5" s="1"/>
  <c r="R438" i="5"/>
  <c r="Q459" i="5"/>
  <c r="N459" i="5" s="1"/>
  <c r="R459" i="5"/>
  <c r="Q737" i="5"/>
  <c r="N737" i="5" s="1"/>
  <c r="R737" i="5"/>
  <c r="Q984" i="5"/>
  <c r="N984" i="5" s="1"/>
  <c r="R984" i="5"/>
  <c r="Q268" i="5"/>
  <c r="N268" i="5" s="1"/>
  <c r="R268" i="5"/>
  <c r="Q640" i="5"/>
  <c r="N640" i="5" s="1"/>
  <c r="R640" i="5"/>
  <c r="Q888" i="5"/>
  <c r="N888" i="5" s="1"/>
  <c r="R888" i="5"/>
  <c r="Q406" i="5"/>
  <c r="N406" i="5" s="1"/>
  <c r="R406" i="5"/>
  <c r="Q621" i="5"/>
  <c r="N621" i="5" s="1"/>
  <c r="R621" i="5"/>
  <c r="Q359" i="5"/>
  <c r="N359" i="5" s="1"/>
  <c r="R359" i="5"/>
  <c r="Q785" i="5"/>
  <c r="N785" i="5" s="1"/>
  <c r="R785" i="5"/>
  <c r="Q602" i="5"/>
  <c r="N602" i="5" s="1"/>
  <c r="R602" i="5"/>
  <c r="Q936" i="5"/>
  <c r="N936" i="5" s="1"/>
  <c r="R936" i="5"/>
  <c r="Q755" i="5"/>
  <c r="N755" i="5" s="1"/>
  <c r="R755" i="5"/>
  <c r="Q784" i="5"/>
  <c r="N784" i="5" s="1"/>
  <c r="R784" i="5"/>
  <c r="Q885" i="5"/>
  <c r="N885" i="5" s="1"/>
  <c r="R885" i="5"/>
  <c r="Q643" i="5"/>
  <c r="N643" i="5" s="1"/>
  <c r="R643" i="5"/>
  <c r="Q633" i="5"/>
  <c r="N633" i="5" s="1"/>
  <c r="R633" i="5"/>
  <c r="Q930" i="5"/>
  <c r="N930" i="5" s="1"/>
  <c r="R930" i="5"/>
  <c r="Q609" i="5"/>
  <c r="N609" i="5" s="1"/>
  <c r="R609" i="5"/>
  <c r="Q537" i="5"/>
  <c r="N537" i="5" s="1"/>
  <c r="R537" i="5"/>
  <c r="Q725" i="5"/>
  <c r="N725" i="5" s="1"/>
  <c r="R725" i="5"/>
  <c r="Q703" i="5"/>
  <c r="N703" i="5" s="1"/>
  <c r="R703" i="5"/>
  <c r="Q618" i="5"/>
  <c r="N618" i="5" s="1"/>
  <c r="R618" i="5"/>
  <c r="Q645" i="5"/>
  <c r="N645" i="5" s="1"/>
  <c r="R645" i="5"/>
  <c r="Q642" i="5"/>
  <c r="N642" i="5" s="1"/>
  <c r="R642" i="5"/>
  <c r="Q871" i="5"/>
  <c r="N871" i="5" s="1"/>
  <c r="R871" i="5"/>
  <c r="Q584" i="5"/>
  <c r="N584" i="5" s="1"/>
  <c r="R584" i="5"/>
  <c r="Q756" i="5"/>
  <c r="N756" i="5" s="1"/>
  <c r="R756" i="5"/>
  <c r="Q865" i="5"/>
  <c r="N865" i="5" s="1"/>
  <c r="R865" i="5"/>
  <c r="Q692" i="5"/>
  <c r="N692" i="5" s="1"/>
  <c r="R692" i="5"/>
  <c r="Q619" i="5"/>
  <c r="N619" i="5" s="1"/>
  <c r="R619" i="5"/>
  <c r="Q564" i="5"/>
  <c r="N564" i="5" s="1"/>
  <c r="R564" i="5"/>
  <c r="Q658" i="5"/>
  <c r="N658" i="5" s="1"/>
  <c r="R658" i="5"/>
  <c r="Q872" i="5"/>
  <c r="N872" i="5" s="1"/>
  <c r="R872" i="5"/>
  <c r="Q437" i="5"/>
  <c r="N437" i="5" s="1"/>
  <c r="R437" i="5"/>
  <c r="M34" i="5"/>
  <c r="S34" i="5" s="1"/>
  <c r="M33" i="5"/>
  <c r="S33" i="5" s="1"/>
  <c r="M17" i="5"/>
  <c r="S17" i="5" s="1"/>
  <c r="M18" i="5"/>
  <c r="M35" i="5"/>
  <c r="S35" i="5" s="1"/>
  <c r="M19" i="5"/>
  <c r="S19" i="5" s="1"/>
  <c r="M31" i="5"/>
  <c r="S31" i="5" s="1"/>
  <c r="M46" i="5"/>
  <c r="S46" i="5" s="1"/>
  <c r="M30" i="5"/>
  <c r="S30" i="5" s="1"/>
  <c r="M14" i="5"/>
  <c r="S14" i="5" s="1"/>
  <c r="M32" i="5"/>
  <c r="S32" i="5" s="1"/>
  <c r="M45" i="5"/>
  <c r="S45" i="5" s="1"/>
  <c r="M29" i="5"/>
  <c r="S29" i="5" s="1"/>
  <c r="M13" i="5"/>
  <c r="S13" i="5" s="1"/>
  <c r="M48" i="5"/>
  <c r="S48" i="5" s="1"/>
  <c r="M44" i="5"/>
  <c r="S44" i="5" s="1"/>
  <c r="M28" i="5"/>
  <c r="S28" i="5" s="1"/>
  <c r="M12" i="5"/>
  <c r="S12" i="5" s="1"/>
  <c r="M43" i="5"/>
  <c r="S43" i="5" s="1"/>
  <c r="M27" i="5"/>
  <c r="S27" i="5" s="1"/>
  <c r="M47" i="5"/>
  <c r="S47" i="5" s="1"/>
  <c r="M42" i="5"/>
  <c r="S42" i="5" s="1"/>
  <c r="M26" i="5"/>
  <c r="S26" i="5" s="1"/>
  <c r="M16" i="5"/>
  <c r="S16" i="5" s="1"/>
  <c r="M15" i="5"/>
  <c r="S15" i="5" s="1"/>
  <c r="M41" i="5"/>
  <c r="S41" i="5" s="1"/>
  <c r="M25" i="5"/>
  <c r="S25" i="5" s="1"/>
  <c r="M40" i="5"/>
  <c r="S40" i="5" s="1"/>
  <c r="M39" i="5"/>
  <c r="S39" i="5" s="1"/>
  <c r="M38" i="5"/>
  <c r="S38" i="5" s="1"/>
  <c r="M37" i="5"/>
  <c r="S37" i="5" s="1"/>
  <c r="M21" i="5"/>
  <c r="S21" i="5" s="1"/>
  <c r="M24" i="5"/>
  <c r="S24" i="5" s="1"/>
  <c r="M23" i="5"/>
  <c r="S23" i="5" s="1"/>
  <c r="M22" i="5"/>
  <c r="S22" i="5" s="1"/>
  <c r="M36" i="5"/>
  <c r="S36" i="5" s="1"/>
  <c r="M20" i="5"/>
  <c r="S20" i="5" s="1"/>
  <c r="M11" i="5"/>
  <c r="M10" i="5"/>
  <c r="M8" i="5"/>
  <c r="M9" i="5"/>
  <c r="M7" i="5"/>
  <c r="L17" i="3"/>
  <c r="G16" i="3" s="1"/>
  <c r="L15" i="3"/>
  <c r="E17" i="3" s="1"/>
  <c r="L16" i="3"/>
  <c r="G15" i="3" s="1"/>
  <c r="L14" i="3"/>
  <c r="E16" i="3" s="1"/>
  <c r="K25" i="5"/>
  <c r="K26" i="5"/>
  <c r="K27" i="5"/>
  <c r="K28" i="5"/>
  <c r="R9" i="5" l="1"/>
  <c r="R8" i="5"/>
  <c r="R10" i="5"/>
  <c r="R11" i="5"/>
  <c r="S11" i="5"/>
  <c r="Q7" i="5"/>
  <c r="Q28" i="5"/>
  <c r="N28" i="5" s="1"/>
  <c r="R28" i="5"/>
  <c r="Q44" i="5"/>
  <c r="N44" i="5" s="1"/>
  <c r="R44" i="5"/>
  <c r="Q23" i="5"/>
  <c r="N23" i="5" s="1"/>
  <c r="R23" i="5"/>
  <c r="Q21" i="5"/>
  <c r="N21" i="5" s="1"/>
  <c r="R21" i="5"/>
  <c r="Q37" i="5"/>
  <c r="N37" i="5" s="1"/>
  <c r="R37" i="5"/>
  <c r="Q48" i="5"/>
  <c r="N48" i="5" s="1"/>
  <c r="R48" i="5"/>
  <c r="Q42" i="5"/>
  <c r="N42" i="5" s="1"/>
  <c r="R42" i="5"/>
  <c r="Q12" i="5"/>
  <c r="N12" i="5" s="1"/>
  <c r="R12" i="5"/>
  <c r="Q24" i="5"/>
  <c r="N24" i="5" s="1"/>
  <c r="R24" i="5"/>
  <c r="Q13" i="5"/>
  <c r="N13" i="5" s="1"/>
  <c r="R13" i="5"/>
  <c r="Q33" i="5"/>
  <c r="N33" i="5" s="1"/>
  <c r="R33" i="5"/>
  <c r="Q34" i="5"/>
  <c r="N34" i="5" s="1"/>
  <c r="R34" i="5"/>
  <c r="Q38" i="5"/>
  <c r="N38" i="5" s="1"/>
  <c r="R38" i="5"/>
  <c r="Q39" i="5"/>
  <c r="N39" i="5" s="1"/>
  <c r="R39" i="5"/>
  <c r="Q29" i="5"/>
  <c r="N29" i="5" s="1"/>
  <c r="R29" i="5"/>
  <c r="Q25" i="5"/>
  <c r="N25" i="5" s="1"/>
  <c r="R25" i="5"/>
  <c r="Q32" i="5"/>
  <c r="N32" i="5" s="1"/>
  <c r="R32" i="5"/>
  <c r="Q40" i="5"/>
  <c r="N40" i="5" s="1"/>
  <c r="R40" i="5"/>
  <c r="Q41" i="5"/>
  <c r="N41" i="5" s="1"/>
  <c r="R41" i="5"/>
  <c r="Q14" i="5"/>
  <c r="N14" i="5" s="1"/>
  <c r="R14" i="5"/>
  <c r="Q15" i="5"/>
  <c r="N15" i="5" s="1"/>
  <c r="R15" i="5"/>
  <c r="Q30" i="5"/>
  <c r="N30" i="5" s="1"/>
  <c r="R30" i="5"/>
  <c r="Q16" i="5"/>
  <c r="N16" i="5" s="1"/>
  <c r="R16" i="5"/>
  <c r="Q46" i="5"/>
  <c r="N46" i="5" s="1"/>
  <c r="R46" i="5"/>
  <c r="Q26" i="5"/>
  <c r="N26" i="5" s="1"/>
  <c r="R26" i="5"/>
  <c r="Q31" i="5"/>
  <c r="N31" i="5" s="1"/>
  <c r="R31" i="5"/>
  <c r="Q45" i="5"/>
  <c r="N45" i="5" s="1"/>
  <c r="R45" i="5"/>
  <c r="Q19" i="5"/>
  <c r="N19" i="5" s="1"/>
  <c r="R19" i="5"/>
  <c r="Q47" i="5"/>
  <c r="N47" i="5" s="1"/>
  <c r="R47" i="5"/>
  <c r="Q20" i="5"/>
  <c r="N20" i="5" s="1"/>
  <c r="R20" i="5"/>
  <c r="Q35" i="5"/>
  <c r="N35" i="5" s="1"/>
  <c r="R35" i="5"/>
  <c r="Q36" i="5"/>
  <c r="N36" i="5" s="1"/>
  <c r="R36" i="5"/>
  <c r="Q27" i="5"/>
  <c r="N27" i="5" s="1"/>
  <c r="R27" i="5"/>
  <c r="Q18" i="5"/>
  <c r="N18" i="5" s="1"/>
  <c r="R18" i="5"/>
  <c r="Q22" i="5"/>
  <c r="N22" i="5" s="1"/>
  <c r="R22" i="5"/>
  <c r="Q43" i="5"/>
  <c r="N43" i="5" s="1"/>
  <c r="R43" i="5"/>
  <c r="Q17" i="5"/>
  <c r="N17" i="5" s="1"/>
  <c r="R17" i="5"/>
  <c r="R7" i="5"/>
  <c r="S7" i="5" s="1"/>
  <c r="Q11" i="5"/>
  <c r="Q10" i="5"/>
  <c r="Q9" i="5"/>
  <c r="Q8" i="5"/>
  <c r="L9" i="3"/>
  <c r="K3" i="3" s="1" a="1"/>
  <c r="K3" i="3" s="1"/>
  <c r="L18" i="3"/>
  <c r="T48" i="5"/>
  <c r="K48" i="5"/>
  <c r="D48" i="5"/>
  <c r="T47" i="5"/>
  <c r="K47" i="5"/>
  <c r="D47" i="5"/>
  <c r="T46" i="5"/>
  <c r="K46" i="5"/>
  <c r="D46" i="5"/>
  <c r="T45" i="5"/>
  <c r="K45" i="5"/>
  <c r="D45" i="5"/>
  <c r="T44" i="5"/>
  <c r="K44" i="5"/>
  <c r="D44" i="5"/>
  <c r="T43" i="5"/>
  <c r="K43" i="5"/>
  <c r="D43" i="5"/>
  <c r="T42" i="5"/>
  <c r="K42" i="5"/>
  <c r="D42" i="5"/>
  <c r="T41" i="5"/>
  <c r="K41" i="5"/>
  <c r="D41" i="5"/>
  <c r="T40" i="5"/>
  <c r="K40" i="5"/>
  <c r="D40" i="5"/>
  <c r="T39" i="5"/>
  <c r="K39" i="5"/>
  <c r="D39" i="5"/>
  <c r="T38" i="5"/>
  <c r="K38" i="5"/>
  <c r="D38" i="5"/>
  <c r="T37" i="5"/>
  <c r="K37" i="5"/>
  <c r="D37" i="5"/>
  <c r="T36" i="5"/>
  <c r="K36" i="5"/>
  <c r="D36" i="5"/>
  <c r="T35" i="5"/>
  <c r="K35" i="5"/>
  <c r="D35" i="5"/>
  <c r="T34" i="5"/>
  <c r="K34" i="5"/>
  <c r="D34" i="5"/>
  <c r="T33" i="5"/>
  <c r="K33" i="5"/>
  <c r="D33" i="5"/>
  <c r="T32" i="5"/>
  <c r="K32" i="5"/>
  <c r="D32" i="5"/>
  <c r="T31" i="5"/>
  <c r="K31" i="5"/>
  <c r="D31" i="5"/>
  <c r="T30" i="5"/>
  <c r="K30" i="5"/>
  <c r="D30" i="5"/>
  <c r="T29" i="5"/>
  <c r="K29" i="5"/>
  <c r="D29" i="5"/>
  <c r="T28" i="5"/>
  <c r="D28" i="5"/>
  <c r="T27" i="5"/>
  <c r="D27" i="5"/>
  <c r="T26" i="5"/>
  <c r="D26" i="5"/>
  <c r="T25" i="5"/>
  <c r="D25" i="5"/>
  <c r="T24" i="5"/>
  <c r="K24" i="5"/>
  <c r="D24" i="5"/>
  <c r="T23" i="5"/>
  <c r="K23" i="5"/>
  <c r="D23" i="5"/>
  <c r="T22" i="5"/>
  <c r="K22" i="5"/>
  <c r="D22" i="5"/>
  <c r="T21" i="5"/>
  <c r="K21" i="5"/>
  <c r="D21" i="5"/>
  <c r="T20" i="5"/>
  <c r="K20" i="5"/>
  <c r="D20" i="5"/>
  <c r="T19" i="5"/>
  <c r="K19" i="5"/>
  <c r="D19" i="5"/>
  <c r="T18" i="5"/>
  <c r="K18" i="5"/>
  <c r="D18" i="5"/>
  <c r="T17" i="5"/>
  <c r="K17" i="5"/>
  <c r="D17" i="5"/>
  <c r="T16" i="5"/>
  <c r="K16" i="5"/>
  <c r="T15" i="5"/>
  <c r="K15" i="5"/>
  <c r="D15" i="5"/>
  <c r="T14" i="5"/>
  <c r="K14" i="5"/>
  <c r="D14" i="5"/>
  <c r="T13" i="5"/>
  <c r="K13" i="5"/>
  <c r="D13" i="5"/>
  <c r="T12" i="5"/>
  <c r="K12" i="5"/>
  <c r="D12" i="5"/>
  <c r="T11" i="5"/>
  <c r="K11" i="5"/>
  <c r="D11" i="5"/>
  <c r="T10" i="5"/>
  <c r="K10" i="5"/>
  <c r="D10" i="5"/>
  <c r="T9" i="5"/>
  <c r="K9" i="5"/>
  <c r="D9" i="5"/>
  <c r="T8" i="5"/>
  <c r="K8" i="5"/>
  <c r="D8" i="5"/>
  <c r="T7" i="5"/>
  <c r="K7" i="5"/>
  <c r="D7" i="5"/>
  <c r="S18" i="5" l="1"/>
  <c r="N11" i="5"/>
  <c r="N7" i="5"/>
  <c r="S10" i="5"/>
  <c r="N10" i="5" s="1"/>
  <c r="S8" i="5"/>
  <c r="N8" i="5" s="1"/>
  <c r="S9" i="5"/>
  <c r="N9" i="5" s="1"/>
  <c r="O51" i="5"/>
  <c r="O55" i="5"/>
  <c r="O59" i="5"/>
  <c r="O63" i="5"/>
  <c r="O67" i="5"/>
  <c r="O71" i="5"/>
  <c r="O75" i="5"/>
  <c r="O79" i="5"/>
  <c r="O83" i="5"/>
  <c r="O87" i="5"/>
  <c r="O91" i="5"/>
  <c r="O95" i="5"/>
  <c r="O99" i="5"/>
  <c r="O103" i="5"/>
  <c r="O107" i="5"/>
  <c r="O64" i="5"/>
  <c r="O74" i="5"/>
  <c r="O101" i="5"/>
  <c r="O129" i="5"/>
  <c r="O161" i="5"/>
  <c r="O193" i="5"/>
  <c r="O218" i="5"/>
  <c r="O222" i="5"/>
  <c r="O226" i="5"/>
  <c r="O230" i="5"/>
  <c r="O234" i="5"/>
  <c r="O238" i="5"/>
  <c r="O242" i="5"/>
  <c r="O246" i="5"/>
  <c r="O250" i="5"/>
  <c r="O254" i="5"/>
  <c r="O258" i="5"/>
  <c r="O262" i="5"/>
  <c r="O266" i="5"/>
  <c r="O270" i="5"/>
  <c r="O274" i="5"/>
  <c r="O278" i="5"/>
  <c r="O282" i="5"/>
  <c r="O286" i="5"/>
  <c r="O290" i="5"/>
  <c r="O57" i="5"/>
  <c r="O84" i="5"/>
  <c r="O94" i="5"/>
  <c r="O111" i="5"/>
  <c r="O118" i="5"/>
  <c r="O53" i="5"/>
  <c r="O56" i="5"/>
  <c r="O82" i="5"/>
  <c r="O108" i="5"/>
  <c r="O117" i="5"/>
  <c r="O132" i="5"/>
  <c r="O145" i="5"/>
  <c r="O168" i="5"/>
  <c r="O188" i="5"/>
  <c r="O225" i="5"/>
  <c r="O240" i="5"/>
  <c r="O255" i="5"/>
  <c r="O289" i="5"/>
  <c r="O70" i="5"/>
  <c r="O76" i="5"/>
  <c r="O102" i="5"/>
  <c r="O120" i="5"/>
  <c r="O123" i="5"/>
  <c r="O135" i="5"/>
  <c r="O155" i="5"/>
  <c r="O158" i="5"/>
  <c r="O171" i="5"/>
  <c r="O181" i="5"/>
  <c r="O191" i="5"/>
  <c r="O204" i="5"/>
  <c r="O207" i="5"/>
  <c r="O221" i="5"/>
  <c r="O236" i="5"/>
  <c r="O251" i="5"/>
  <c r="O285" i="5"/>
  <c r="O73" i="5"/>
  <c r="O96" i="5"/>
  <c r="O72" i="5"/>
  <c r="O89" i="5"/>
  <c r="O143" i="5"/>
  <c r="O163" i="5"/>
  <c r="O166" i="5"/>
  <c r="O197" i="5"/>
  <c r="O203" i="5"/>
  <c r="O233" i="5"/>
  <c r="O271" i="5"/>
  <c r="O277" i="5"/>
  <c r="O302" i="5"/>
  <c r="O305" i="5"/>
  <c r="O311" i="5"/>
  <c r="O320" i="5"/>
  <c r="O345" i="5"/>
  <c r="O355" i="5"/>
  <c r="O382" i="5"/>
  <c r="O392" i="5"/>
  <c r="O62" i="5"/>
  <c r="O98" i="5"/>
  <c r="O119" i="5"/>
  <c r="O124" i="5"/>
  <c r="O146" i="5"/>
  <c r="O157" i="5"/>
  <c r="O169" i="5"/>
  <c r="O194" i="5"/>
  <c r="O200" i="5"/>
  <c r="O217" i="5"/>
  <c r="O280" i="5"/>
  <c r="O137" i="5"/>
  <c r="O140" i="5"/>
  <c r="O160" i="5"/>
  <c r="O174" i="5"/>
  <c r="O239" i="5"/>
  <c r="O261" i="5"/>
  <c r="O264" i="5"/>
  <c r="O267" i="5"/>
  <c r="O283" i="5"/>
  <c r="O326" i="5"/>
  <c r="O86" i="5"/>
  <c r="O116" i="5"/>
  <c r="O134" i="5"/>
  <c r="O52" i="5"/>
  <c r="O69" i="5"/>
  <c r="O81" i="5"/>
  <c r="O105" i="5"/>
  <c r="O113" i="5"/>
  <c r="O126" i="5"/>
  <c r="O112" i="5"/>
  <c r="O133" i="5"/>
  <c r="O139" i="5"/>
  <c r="O148" i="5"/>
  <c r="O165" i="5"/>
  <c r="O184" i="5"/>
  <c r="O199" i="5"/>
  <c r="O211" i="5"/>
  <c r="O265" i="5"/>
  <c r="O291" i="5"/>
  <c r="O294" i="5"/>
  <c r="O307" i="5"/>
  <c r="O315" i="5"/>
  <c r="O323" i="5"/>
  <c r="O337" i="5"/>
  <c r="O377" i="5"/>
  <c r="O383" i="5"/>
  <c r="O386" i="5"/>
  <c r="O114" i="5"/>
  <c r="O153" i="5"/>
  <c r="O177" i="5"/>
  <c r="O189" i="5"/>
  <c r="O206" i="5"/>
  <c r="O216" i="5"/>
  <c r="O229" i="5"/>
  <c r="O141" i="5"/>
  <c r="O150" i="5"/>
  <c r="O172" i="5"/>
  <c r="O208" i="5"/>
  <c r="O237" i="5"/>
  <c r="O252" i="5"/>
  <c r="O122" i="5"/>
  <c r="O162" i="5"/>
  <c r="O186" i="5"/>
  <c r="O196" i="5"/>
  <c r="O260" i="5"/>
  <c r="O49" i="5"/>
  <c r="O61" i="5"/>
  <c r="O77" i="5"/>
  <c r="O167" i="5"/>
  <c r="O201" i="5"/>
  <c r="O213" i="5"/>
  <c r="O223" i="5"/>
  <c r="O93" i="5"/>
  <c r="O97" i="5"/>
  <c r="O128" i="5"/>
  <c r="O198" i="5"/>
  <c r="O60" i="5"/>
  <c r="O164" i="5"/>
  <c r="O176" i="5"/>
  <c r="O205" i="5"/>
  <c r="O209" i="5"/>
  <c r="O231" i="5"/>
  <c r="O297" i="5"/>
  <c r="O332" i="5"/>
  <c r="O340" i="5"/>
  <c r="O384" i="5"/>
  <c r="O393" i="5"/>
  <c r="O399" i="5"/>
  <c r="O409" i="5"/>
  <c r="O436" i="5"/>
  <c r="O446" i="5"/>
  <c r="O463" i="5"/>
  <c r="O473" i="5"/>
  <c r="O58" i="5"/>
  <c r="O130" i="5"/>
  <c r="O178" i="5"/>
  <c r="O279" i="5"/>
  <c r="O304" i="5"/>
  <c r="O327" i="5"/>
  <c r="O154" i="5"/>
  <c r="O284" i="5"/>
  <c r="O314" i="5"/>
  <c r="O322" i="5"/>
  <c r="O121" i="5"/>
  <c r="O152" i="5"/>
  <c r="O156" i="5"/>
  <c r="O185" i="5"/>
  <c r="O235" i="5"/>
  <c r="O241" i="5"/>
  <c r="O243" i="5"/>
  <c r="O299" i="5"/>
  <c r="O309" i="5"/>
  <c r="O348" i="5"/>
  <c r="O366" i="5"/>
  <c r="O369" i="5"/>
  <c r="O381" i="5"/>
  <c r="O110" i="5"/>
  <c r="O142" i="5"/>
  <c r="O183" i="5"/>
  <c r="O220" i="5"/>
  <c r="O245" i="5"/>
  <c r="O281" i="5"/>
  <c r="O316" i="5"/>
  <c r="O319" i="5"/>
  <c r="O324" i="5"/>
  <c r="O329" i="5"/>
  <c r="O54" i="5"/>
  <c r="O68" i="5"/>
  <c r="O187" i="5"/>
  <c r="O247" i="5"/>
  <c r="O249" i="5"/>
  <c r="O256" i="5"/>
  <c r="O269" i="5"/>
  <c r="O276" i="5"/>
  <c r="O296" i="5"/>
  <c r="O334" i="5"/>
  <c r="O342" i="5"/>
  <c r="O354" i="5"/>
  <c r="O357" i="5"/>
  <c r="O363" i="5"/>
  <c r="O398" i="5"/>
  <c r="O408" i="5"/>
  <c r="O80" i="5"/>
  <c r="O144" i="5"/>
  <c r="O195" i="5"/>
  <c r="O100" i="5"/>
  <c r="O131" i="5"/>
  <c r="O244" i="5"/>
  <c r="O268" i="5"/>
  <c r="O371" i="5"/>
  <c r="O379" i="5"/>
  <c r="O389" i="5"/>
  <c r="O400" i="5"/>
  <c r="O411" i="5"/>
  <c r="O414" i="5"/>
  <c r="O427" i="5"/>
  <c r="O433" i="5"/>
  <c r="O439" i="5"/>
  <c r="O455" i="5"/>
  <c r="O458" i="5"/>
  <c r="O461" i="5"/>
  <c r="O489" i="5"/>
  <c r="O65" i="5"/>
  <c r="O173" i="5"/>
  <c r="O190" i="5"/>
  <c r="O232" i="5"/>
  <c r="O253" i="5"/>
  <c r="O331" i="5"/>
  <c r="O335" i="5"/>
  <c r="O339" i="5"/>
  <c r="O356" i="5"/>
  <c r="O92" i="5"/>
  <c r="O149" i="5"/>
  <c r="O192" i="5"/>
  <c r="O202" i="5"/>
  <c r="O90" i="5"/>
  <c r="O228" i="5"/>
  <c r="O301" i="5"/>
  <c r="O85" i="5"/>
  <c r="O147" i="5"/>
  <c r="O159" i="5"/>
  <c r="O214" i="5"/>
  <c r="O313" i="5"/>
  <c r="O353" i="5"/>
  <c r="O358" i="5"/>
  <c r="O394" i="5"/>
  <c r="O295" i="5"/>
  <c r="O303" i="5"/>
  <c r="O373" i="5"/>
  <c r="O378" i="5"/>
  <c r="O388" i="5"/>
  <c r="O413" i="5"/>
  <c r="O432" i="5"/>
  <c r="O438" i="5"/>
  <c r="O454" i="5"/>
  <c r="O457" i="5"/>
  <c r="O466" i="5"/>
  <c r="O106" i="5"/>
  <c r="O109" i="5"/>
  <c r="O219" i="5"/>
  <c r="O224" i="5"/>
  <c r="O273" i="5"/>
  <c r="O287" i="5"/>
  <c r="O350" i="5"/>
  <c r="O370" i="5"/>
  <c r="O391" i="5"/>
  <c r="O410" i="5"/>
  <c r="O248" i="5"/>
  <c r="O263" i="5"/>
  <c r="O328" i="5"/>
  <c r="O365" i="5"/>
  <c r="O396" i="5"/>
  <c r="O449" i="5"/>
  <c r="O460" i="5"/>
  <c r="O465" i="5"/>
  <c r="O470" i="5"/>
  <c r="O478" i="5"/>
  <c r="O481" i="5"/>
  <c r="O484" i="5"/>
  <c r="O487" i="5"/>
  <c r="O490" i="5"/>
  <c r="O496" i="5"/>
  <c r="O510" i="5"/>
  <c r="O288" i="5"/>
  <c r="O330" i="5"/>
  <c r="O344" i="5"/>
  <c r="O352" i="5"/>
  <c r="O138" i="5"/>
  <c r="O346" i="5"/>
  <c r="O385" i="5"/>
  <c r="O422" i="5"/>
  <c r="O425" i="5"/>
  <c r="O428" i="5"/>
  <c r="O431" i="5"/>
  <c r="O179" i="5"/>
  <c r="O321" i="5"/>
  <c r="O300" i="5"/>
  <c r="O312" i="5"/>
  <c r="O333" i="5"/>
  <c r="O360" i="5"/>
  <c r="O387" i="5"/>
  <c r="O405" i="5"/>
  <c r="O419" i="5"/>
  <c r="O127" i="5"/>
  <c r="O212" i="5"/>
  <c r="O293" i="5"/>
  <c r="O298" i="5"/>
  <c r="O317" i="5"/>
  <c r="O372" i="5"/>
  <c r="O443" i="5"/>
  <c r="O477" i="5"/>
  <c r="O483" i="5"/>
  <c r="O486" i="5"/>
  <c r="O505" i="5"/>
  <c r="O336" i="5"/>
  <c r="O395" i="5"/>
  <c r="O441" i="5"/>
  <c r="O456" i="5"/>
  <c r="O472" i="5"/>
  <c r="O527" i="5"/>
  <c r="O530" i="5"/>
  <c r="O540" i="5"/>
  <c r="O557" i="5"/>
  <c r="O88" i="5"/>
  <c r="O170" i="5"/>
  <c r="O325" i="5"/>
  <c r="O341" i="5"/>
  <c r="O423" i="5"/>
  <c r="O451" i="5"/>
  <c r="O479" i="5"/>
  <c r="O491" i="5"/>
  <c r="O499" i="5"/>
  <c r="O502" i="5"/>
  <c r="O115" i="5"/>
  <c r="O412" i="5"/>
  <c r="O430" i="5"/>
  <c r="O272" i="5"/>
  <c r="O275" i="5"/>
  <c r="O375" i="5"/>
  <c r="O402" i="5"/>
  <c r="O416" i="5"/>
  <c r="O310" i="5"/>
  <c r="O364" i="5"/>
  <c r="O380" i="5"/>
  <c r="O418" i="5"/>
  <c r="O469" i="5"/>
  <c r="O493" i="5"/>
  <c r="O514" i="5"/>
  <c r="O517" i="5"/>
  <c r="O520" i="5"/>
  <c r="O546" i="5"/>
  <c r="O556" i="5"/>
  <c r="O573" i="5"/>
  <c r="O583" i="5"/>
  <c r="O318" i="5"/>
  <c r="O343" i="5"/>
  <c r="O437" i="5"/>
  <c r="O492" i="5"/>
  <c r="O497" i="5"/>
  <c r="O504" i="5"/>
  <c r="O509" i="5"/>
  <c r="O522" i="5"/>
  <c r="O550" i="5"/>
  <c r="O587" i="5"/>
  <c r="O614" i="5"/>
  <c r="O624" i="5"/>
  <c r="O628" i="5"/>
  <c r="O632" i="5"/>
  <c r="O636" i="5"/>
  <c r="O640" i="5"/>
  <c r="O644" i="5"/>
  <c r="O648" i="5"/>
  <c r="O652" i="5"/>
  <c r="O656" i="5"/>
  <c r="O660" i="5"/>
  <c r="O664" i="5"/>
  <c r="O668" i="5"/>
  <c r="O672" i="5"/>
  <c r="O676" i="5"/>
  <c r="O680" i="5"/>
  <c r="O684" i="5"/>
  <c r="O688" i="5"/>
  <c r="O692" i="5"/>
  <c r="O696" i="5"/>
  <c r="O700" i="5"/>
  <c r="O704" i="5"/>
  <c r="O708" i="5"/>
  <c r="O712" i="5"/>
  <c r="O716" i="5"/>
  <c r="O720" i="5"/>
  <c r="O724" i="5"/>
  <c r="O728" i="5"/>
  <c r="O732" i="5"/>
  <c r="O736" i="5"/>
  <c r="O740" i="5"/>
  <c r="O744" i="5"/>
  <c r="O748" i="5"/>
  <c r="O752" i="5"/>
  <c r="O756" i="5"/>
  <c r="O760" i="5"/>
  <c r="O764" i="5"/>
  <c r="O768" i="5"/>
  <c r="O772" i="5"/>
  <c r="O776" i="5"/>
  <c r="O780" i="5"/>
  <c r="O784" i="5"/>
  <c r="O788" i="5"/>
  <c r="O792" i="5"/>
  <c r="O796" i="5"/>
  <c r="O800" i="5"/>
  <c r="O804" i="5"/>
  <c r="O808" i="5"/>
  <c r="O812" i="5"/>
  <c r="O816" i="5"/>
  <c r="O407" i="5"/>
  <c r="O435" i="5"/>
  <c r="O544" i="5"/>
  <c r="O553" i="5"/>
  <c r="O562" i="5"/>
  <c r="O597" i="5"/>
  <c r="O607" i="5"/>
  <c r="O104" i="5"/>
  <c r="O125" i="5"/>
  <c r="O445" i="5"/>
  <c r="O462" i="5"/>
  <c r="O464" i="5"/>
  <c r="O506" i="5"/>
  <c r="O519" i="5"/>
  <c r="O532" i="5"/>
  <c r="O547" i="5"/>
  <c r="O565" i="5"/>
  <c r="O568" i="5"/>
  <c r="O571" i="5"/>
  <c r="O590" i="5"/>
  <c r="O600" i="5"/>
  <c r="O617" i="5"/>
  <c r="O338" i="5"/>
  <c r="O421" i="5"/>
  <c r="O474" i="5"/>
  <c r="O476" i="5"/>
  <c r="O485" i="5"/>
  <c r="O494" i="5"/>
  <c r="O535" i="5"/>
  <c r="O574" i="5"/>
  <c r="O577" i="5"/>
  <c r="O580" i="5"/>
  <c r="O610" i="5"/>
  <c r="O620" i="5"/>
  <c r="O180" i="5"/>
  <c r="O397" i="5"/>
  <c r="O538" i="5"/>
  <c r="O545" i="5"/>
  <c r="O559" i="5"/>
  <c r="O564" i="5"/>
  <c r="O595" i="5"/>
  <c r="O621" i="5"/>
  <c r="O654" i="5"/>
  <c r="O657" i="5"/>
  <c r="O663" i="5"/>
  <c r="O706" i="5"/>
  <c r="O722" i="5"/>
  <c r="O735" i="5"/>
  <c r="O750" i="5"/>
  <c r="O765" i="5"/>
  <c r="O799" i="5"/>
  <c r="O368" i="5"/>
  <c r="O376" i="5"/>
  <c r="O426" i="5"/>
  <c r="O516" i="5"/>
  <c r="O618" i="5"/>
  <c r="O666" i="5"/>
  <c r="O669" i="5"/>
  <c r="O675" i="5"/>
  <c r="O709" i="5"/>
  <c r="O725" i="5"/>
  <c r="O746" i="5"/>
  <c r="O761" i="5"/>
  <c r="O795" i="5"/>
  <c r="O308" i="5"/>
  <c r="O424" i="5"/>
  <c r="O442" i="5"/>
  <c r="O495" i="5"/>
  <c r="O512" i="5"/>
  <c r="O531" i="5"/>
  <c r="O566" i="5"/>
  <c r="O592" i="5"/>
  <c r="O615" i="5"/>
  <c r="O678" i="5"/>
  <c r="O681" i="5"/>
  <c r="O687" i="5"/>
  <c r="O742" i="5"/>
  <c r="O757" i="5"/>
  <c r="O791" i="5"/>
  <c r="O806" i="5"/>
  <c r="O259" i="5"/>
  <c r="O390" i="5"/>
  <c r="O440" i="5"/>
  <c r="O549" i="5"/>
  <c r="O554" i="5"/>
  <c r="O582" i="5"/>
  <c r="O605" i="5"/>
  <c r="O623" i="5"/>
  <c r="O626" i="5"/>
  <c r="O629" i="5"/>
  <c r="O635" i="5"/>
  <c r="O690" i="5"/>
  <c r="O693" i="5"/>
  <c r="O699" i="5"/>
  <c r="O715" i="5"/>
  <c r="O731" i="5"/>
  <c r="O738" i="5"/>
  <c r="O753" i="5"/>
  <c r="O787" i="5"/>
  <c r="O802" i="5"/>
  <c r="O817" i="5"/>
  <c r="O821" i="5"/>
  <c r="O825" i="5"/>
  <c r="O829" i="5"/>
  <c r="O833" i="5"/>
  <c r="O837" i="5"/>
  <c r="O841" i="5"/>
  <c r="O845" i="5"/>
  <c r="O849" i="5"/>
  <c r="O853" i="5"/>
  <c r="O857" i="5"/>
  <c r="O861" i="5"/>
  <c r="O865" i="5"/>
  <c r="O869" i="5"/>
  <c r="O873" i="5"/>
  <c r="O877" i="5"/>
  <c r="O881" i="5"/>
  <c r="O885" i="5"/>
  <c r="O889" i="5"/>
  <c r="O893" i="5"/>
  <c r="O897" i="5"/>
  <c r="O901" i="5"/>
  <c r="O905" i="5"/>
  <c r="O909" i="5"/>
  <c r="O913" i="5"/>
  <c r="O917" i="5"/>
  <c r="O921" i="5"/>
  <c r="O925" i="5"/>
  <c r="O929" i="5"/>
  <c r="O933" i="5"/>
  <c r="O937" i="5"/>
  <c r="O941" i="5"/>
  <c r="O521" i="5"/>
  <c r="O523" i="5"/>
  <c r="O537" i="5"/>
  <c r="O561" i="5"/>
  <c r="O631" i="5"/>
  <c r="O638" i="5"/>
  <c r="O653" i="5"/>
  <c r="O658" i="5"/>
  <c r="O670" i="5"/>
  <c r="O689" i="5"/>
  <c r="O698" i="5"/>
  <c r="O730" i="5"/>
  <c r="O743" i="5"/>
  <c r="O751" i="5"/>
  <c r="O759" i="5"/>
  <c r="O770" i="5"/>
  <c r="O778" i="5"/>
  <c r="O832" i="5"/>
  <c r="O839" i="5"/>
  <c r="O846" i="5"/>
  <c r="O864" i="5"/>
  <c r="O871" i="5"/>
  <c r="O878" i="5"/>
  <c r="O896" i="5"/>
  <c r="O911" i="5"/>
  <c r="O926" i="5"/>
  <c r="O945" i="5"/>
  <c r="O949" i="5"/>
  <c r="O953" i="5"/>
  <c r="O957" i="5"/>
  <c r="O961" i="5"/>
  <c r="O965" i="5"/>
  <c r="O969" i="5"/>
  <c r="O973" i="5"/>
  <c r="O977" i="5"/>
  <c r="O981" i="5"/>
  <c r="O985" i="5"/>
  <c r="O989" i="5"/>
  <c r="O993" i="5"/>
  <c r="O997" i="5"/>
  <c r="O794" i="5"/>
  <c r="O922" i="5"/>
  <c r="O734" i="5"/>
  <c r="O944" i="5"/>
  <c r="O948" i="5"/>
  <c r="O952" i="5"/>
  <c r="O956" i="5"/>
  <c r="O960" i="5"/>
  <c r="O964" i="5"/>
  <c r="O968" i="5"/>
  <c r="O976" i="5"/>
  <c r="O988" i="5"/>
  <c r="O511" i="5"/>
  <c r="O589" i="5"/>
  <c r="O769" i="5"/>
  <c r="O906" i="5"/>
  <c r="O292" i="5"/>
  <c r="O534" i="5"/>
  <c r="O151" i="5"/>
  <c r="O306" i="5"/>
  <c r="O482" i="5"/>
  <c r="O575" i="5"/>
  <c r="O609" i="5"/>
  <c r="O677" i="5"/>
  <c r="O691" i="5"/>
  <c r="O767" i="5"/>
  <c r="O907" i="5"/>
  <c r="O667" i="5"/>
  <c r="O686" i="5"/>
  <c r="O695" i="5"/>
  <c r="O863" i="5"/>
  <c r="O910" i="5"/>
  <c r="O980" i="5"/>
  <c r="O647" i="5"/>
  <c r="O351" i="5"/>
  <c r="O401" i="5"/>
  <c r="O434" i="5"/>
  <c r="O515" i="5"/>
  <c r="O524" i="5"/>
  <c r="O552" i="5"/>
  <c r="O591" i="5"/>
  <c r="O604" i="5"/>
  <c r="O606" i="5"/>
  <c r="O619" i="5"/>
  <c r="O642" i="5"/>
  <c r="O415" i="5"/>
  <c r="O450" i="5"/>
  <c r="O452" i="5"/>
  <c r="O563" i="5"/>
  <c r="O567" i="5"/>
  <c r="O579" i="5"/>
  <c r="O598" i="5"/>
  <c r="O611" i="5"/>
  <c r="O622" i="5"/>
  <c r="O665" i="5"/>
  <c r="O705" i="5"/>
  <c r="O710" i="5"/>
  <c r="O775" i="5"/>
  <c r="O783" i="5"/>
  <c r="O786" i="5"/>
  <c r="O805" i="5"/>
  <c r="O828" i="5"/>
  <c r="O835" i="5"/>
  <c r="O842" i="5"/>
  <c r="O860" i="5"/>
  <c r="O867" i="5"/>
  <c r="O874" i="5"/>
  <c r="O892" i="5"/>
  <c r="O903" i="5"/>
  <c r="O918" i="5"/>
  <c r="O899" i="5"/>
  <c r="O500" i="5"/>
  <c r="O581" i="5"/>
  <c r="O702" i="5"/>
  <c r="O717" i="5"/>
  <c r="O811" i="5"/>
  <c r="O824" i="5"/>
  <c r="O831" i="5"/>
  <c r="O838" i="5"/>
  <c r="O856" i="5"/>
  <c r="O870" i="5"/>
  <c r="O888" i="5"/>
  <c r="O972" i="5"/>
  <c r="O996" i="5"/>
  <c r="O513" i="5"/>
  <c r="O542" i="5"/>
  <c r="O558" i="5"/>
  <c r="O593" i="5"/>
  <c r="O602" i="5"/>
  <c r="O940" i="5"/>
  <c r="O662" i="5"/>
  <c r="O361" i="5"/>
  <c r="O471" i="5"/>
  <c r="O480" i="5"/>
  <c r="O498" i="5"/>
  <c r="O569" i="5"/>
  <c r="O585" i="5"/>
  <c r="O613" i="5"/>
  <c r="O633" i="5"/>
  <c r="O645" i="5"/>
  <c r="O650" i="5"/>
  <c r="O655" i="5"/>
  <c r="O679" i="5"/>
  <c r="O727" i="5"/>
  <c r="O737" i="5"/>
  <c r="O745" i="5"/>
  <c r="O814" i="5"/>
  <c r="O914" i="5"/>
  <c r="O136" i="5"/>
  <c r="O403" i="5"/>
  <c r="O448" i="5"/>
  <c r="O895" i="5"/>
  <c r="O984" i="5"/>
  <c r="O992" i="5"/>
  <c r="O548" i="5"/>
  <c r="O429" i="5"/>
  <c r="O603" i="5"/>
  <c r="O671" i="5"/>
  <c r="O747" i="5"/>
  <c r="O797" i="5"/>
  <c r="O826" i="5"/>
  <c r="O872" i="5"/>
  <c r="O879" i="5"/>
  <c r="O886" i="5"/>
  <c r="O967" i="5"/>
  <c r="O999" i="5"/>
  <c r="O928" i="5"/>
  <c r="O994" i="5"/>
  <c r="O782" i="5"/>
  <c r="O959" i="5"/>
  <c r="O701" i="5"/>
  <c r="O588" i="5"/>
  <c r="O697" i="5"/>
  <c r="O834" i="5"/>
  <c r="O459" i="5"/>
  <c r="O939" i="5"/>
  <c r="O966" i="5"/>
  <c r="O661" i="5"/>
  <c r="O915" i="5"/>
  <c r="O927" i="5"/>
  <c r="O880" i="5"/>
  <c r="O887" i="5"/>
  <c r="O444" i="5"/>
  <c r="O539" i="5"/>
  <c r="O612" i="5"/>
  <c r="O758" i="5"/>
  <c r="O852" i="5"/>
  <c r="O924" i="5"/>
  <c r="O958" i="5"/>
  <c r="O990" i="5"/>
  <c r="O175" i="5"/>
  <c r="O503" i="5"/>
  <c r="O528" i="5"/>
  <c r="O608" i="5"/>
  <c r="O637" i="5"/>
  <c r="O673" i="5"/>
  <c r="O801" i="5"/>
  <c r="O819" i="5"/>
  <c r="O916" i="5"/>
  <c r="O923" i="5"/>
  <c r="O935" i="5"/>
  <c r="O962" i="5"/>
  <c r="O979" i="5"/>
  <c r="O920" i="5"/>
  <c r="O932" i="5"/>
  <c r="O954" i="5"/>
  <c r="O543" i="5"/>
  <c r="O659" i="5"/>
  <c r="O682" i="5"/>
  <c r="O703" i="5"/>
  <c r="O971" i="5"/>
  <c r="O50" i="5"/>
  <c r="O529" i="5"/>
  <c r="O771" i="5"/>
  <c r="O777" i="5"/>
  <c r="O866" i="5"/>
  <c r="O551" i="5"/>
  <c r="O560" i="5"/>
  <c r="O627" i="5"/>
  <c r="O843" i="5"/>
  <c r="O718" i="5"/>
  <c r="O836" i="5"/>
  <c r="O963" i="5"/>
  <c r="O995" i="5"/>
  <c r="O468" i="5"/>
  <c r="O572" i="5"/>
  <c r="O875" i="5"/>
  <c r="O210" i="5"/>
  <c r="O508" i="5"/>
  <c r="O533" i="5"/>
  <c r="O599" i="5"/>
  <c r="O694" i="5"/>
  <c r="O719" i="5"/>
  <c r="O721" i="5"/>
  <c r="O774" i="5"/>
  <c r="O810" i="5"/>
  <c r="O844" i="5"/>
  <c r="O858" i="5"/>
  <c r="O904" i="5"/>
  <c r="O947" i="5"/>
  <c r="O713" i="5"/>
  <c r="O803" i="5"/>
  <c r="O930" i="5"/>
  <c r="O467" i="5"/>
  <c r="O763" i="5"/>
  <c r="O823" i="5"/>
  <c r="O883" i="5"/>
  <c r="O798" i="5"/>
  <c r="O848" i="5"/>
  <c r="O855" i="5"/>
  <c r="O347" i="5"/>
  <c r="O674" i="5"/>
  <c r="O934" i="5"/>
  <c r="O951" i="5"/>
  <c r="O983" i="5"/>
  <c r="O584" i="5"/>
  <c r="O616" i="5"/>
  <c r="O779" i="5"/>
  <c r="O820" i="5"/>
  <c r="O978" i="5"/>
  <c r="O367" i="5"/>
  <c r="O625" i="5"/>
  <c r="O634" i="5"/>
  <c r="O773" i="5"/>
  <c r="O813" i="5"/>
  <c r="O859" i="5"/>
  <c r="O781" i="5"/>
  <c r="O404" i="5"/>
  <c r="O475" i="5"/>
  <c r="O501" i="5"/>
  <c r="O526" i="5"/>
  <c r="O601" i="5"/>
  <c r="O646" i="5"/>
  <c r="O711" i="5"/>
  <c r="O723" i="5"/>
  <c r="O755" i="5"/>
  <c r="O830" i="5"/>
  <c r="O851" i="5"/>
  <c r="O942" i="5"/>
  <c r="O974" i="5"/>
  <c r="O488" i="5"/>
  <c r="O536" i="5"/>
  <c r="O555" i="5"/>
  <c r="O578" i="5"/>
  <c r="O707" i="5"/>
  <c r="O876" i="5"/>
  <c r="O890" i="5"/>
  <c r="O991" i="5"/>
  <c r="O182" i="5"/>
  <c r="O576" i="5"/>
  <c r="O790" i="5"/>
  <c r="O862" i="5"/>
  <c r="O986" i="5"/>
  <c r="O349" i="5"/>
  <c r="O586" i="5"/>
  <c r="O894" i="5"/>
  <c r="O908" i="5"/>
  <c r="O998" i="5"/>
  <c r="O78" i="5"/>
  <c r="O541" i="5"/>
  <c r="O807" i="5"/>
  <c r="O809" i="5"/>
  <c r="O818" i="5"/>
  <c r="O827" i="5"/>
  <c r="O936" i="5"/>
  <c r="O946" i="5"/>
  <c r="O257" i="5"/>
  <c r="O507" i="5"/>
  <c r="O850" i="5"/>
  <c r="O66" i="5"/>
  <c r="O726" i="5"/>
  <c r="O754" i="5"/>
  <c r="O898" i="5"/>
  <c r="O227" i="5"/>
  <c r="O406" i="5"/>
  <c r="O518" i="5"/>
  <c r="O789" i="5"/>
  <c r="O854" i="5"/>
  <c r="O950" i="5"/>
  <c r="O884" i="5"/>
  <c r="O987" i="5"/>
  <c r="O649" i="5"/>
  <c r="O683" i="5"/>
  <c r="O975" i="5"/>
  <c r="O570" i="5"/>
  <c r="O912" i="5"/>
  <c r="O970" i="5"/>
  <c r="O630" i="5"/>
  <c r="O639" i="5"/>
  <c r="O902" i="5"/>
  <c r="O955" i="5"/>
  <c r="O822" i="5"/>
  <c r="O900" i="5"/>
  <c r="O943" i="5"/>
  <c r="O525" i="5"/>
  <c r="O815" i="5"/>
  <c r="O733" i="5"/>
  <c r="O840" i="5"/>
  <c r="O739" i="5"/>
  <c r="O215" i="5"/>
  <c r="O651" i="5"/>
  <c r="O685" i="5"/>
  <c r="O793" i="5"/>
  <c r="O882" i="5"/>
  <c r="O359" i="5"/>
  <c r="O374" i="5"/>
  <c r="O417" i="5"/>
  <c r="O420" i="5"/>
  <c r="O362" i="5"/>
  <c r="O741" i="5"/>
  <c r="O931" i="5"/>
  <c r="O766" i="5"/>
  <c r="O596" i="5"/>
  <c r="O729" i="5"/>
  <c r="O868" i="5"/>
  <c r="O919" i="5"/>
  <c r="O938" i="5"/>
  <c r="O847" i="5"/>
  <c r="O594" i="5"/>
  <c r="O641" i="5"/>
  <c r="O762" i="5"/>
  <c r="O714" i="5"/>
  <c r="O749" i="5"/>
  <c r="O643" i="5"/>
  <c r="O982" i="5"/>
  <c r="O447" i="5"/>
  <c r="O453" i="5"/>
  <c r="O785" i="5"/>
  <c r="O891" i="5"/>
  <c r="O17" i="5"/>
  <c r="G17" i="5" s="1"/>
  <c r="O33" i="5"/>
  <c r="G33" i="5" s="1"/>
  <c r="O28" i="5"/>
  <c r="G28" i="5" s="1"/>
  <c r="O31" i="5"/>
  <c r="G31" i="5" s="1"/>
  <c r="O10" i="5"/>
  <c r="G10" i="5" s="1"/>
  <c r="O18" i="5"/>
  <c r="G18" i="5" s="1"/>
  <c r="O34" i="5"/>
  <c r="G34" i="5" s="1"/>
  <c r="O42" i="5"/>
  <c r="G42" i="5" s="1"/>
  <c r="O13" i="5"/>
  <c r="G13" i="5" s="1"/>
  <c r="O21" i="5"/>
  <c r="G21" i="5" s="1"/>
  <c r="O29" i="5"/>
  <c r="G29" i="5" s="1"/>
  <c r="O37" i="5"/>
  <c r="G37" i="5" s="1"/>
  <c r="O45" i="5"/>
  <c r="G45" i="5" s="1"/>
  <c r="O19" i="5"/>
  <c r="G19" i="5" s="1"/>
  <c r="O27" i="5"/>
  <c r="G27" i="5" s="1"/>
  <c r="O35" i="5"/>
  <c r="G35" i="5" s="1"/>
  <c r="O22" i="5"/>
  <c r="G22" i="5" s="1"/>
  <c r="O30" i="5"/>
  <c r="G30" i="5" s="1"/>
  <c r="O46" i="5"/>
  <c r="G46" i="5" s="1"/>
  <c r="O9" i="5"/>
  <c r="G9" i="5" s="1"/>
  <c r="O25" i="5"/>
  <c r="G25" i="5" s="1"/>
  <c r="O12" i="5"/>
  <c r="G12" i="5" s="1"/>
  <c r="O44" i="5"/>
  <c r="G44" i="5" s="1"/>
  <c r="O15" i="5"/>
  <c r="G15" i="5" s="1"/>
  <c r="O23" i="5"/>
  <c r="G23" i="5" s="1"/>
  <c r="O39" i="5"/>
  <c r="G39" i="5" s="1"/>
  <c r="O47" i="5"/>
  <c r="G47" i="5" s="1"/>
  <c r="O11" i="5"/>
  <c r="G11" i="5" s="1"/>
  <c r="O38" i="5"/>
  <c r="G38" i="5" s="1"/>
  <c r="O41" i="5"/>
  <c r="G41" i="5" s="1"/>
  <c r="O20" i="5"/>
  <c r="G20" i="5" s="1"/>
  <c r="O36" i="5"/>
  <c r="G36" i="5" s="1"/>
  <c r="O26" i="5"/>
  <c r="G26" i="5" s="1"/>
  <c r="O8" i="5"/>
  <c r="G8" i="5" s="1"/>
  <c r="O16" i="5"/>
  <c r="G16" i="5" s="1"/>
  <c r="O24" i="5"/>
  <c r="G24" i="5" s="1"/>
  <c r="O32" i="5"/>
  <c r="G32" i="5" s="1"/>
  <c r="O40" i="5"/>
  <c r="G40" i="5" s="1"/>
  <c r="O48" i="5"/>
  <c r="G48" i="5" s="1"/>
  <c r="O43" i="5"/>
  <c r="G43" i="5" s="1"/>
  <c r="O14" i="5"/>
  <c r="G14" i="5" s="1"/>
  <c r="O7" i="5"/>
  <c r="G7" i="5" s="1"/>
  <c r="B13" i="3"/>
  <c r="G18" i="3"/>
  <c r="E15" i="3"/>
  <c r="G17" i="3"/>
  <c r="K21" i="3"/>
  <c r="E21" i="3" s="1" a="1"/>
  <c r="K24" i="3"/>
  <c r="K45" i="3"/>
  <c r="G45" i="3" s="1"/>
  <c r="K26" i="3"/>
  <c r="K42" i="3"/>
  <c r="G42" i="3" s="1"/>
  <c r="K58" i="3"/>
  <c r="G58" i="3" s="1"/>
  <c r="K62" i="3"/>
  <c r="G62" i="3" s="1"/>
  <c r="K32" i="3"/>
  <c r="G32" i="3" s="1"/>
  <c r="K28" i="3"/>
  <c r="G28" i="3" s="1"/>
  <c r="K44" i="3"/>
  <c r="G44" i="3" s="1"/>
  <c r="K60" i="3"/>
  <c r="G60" i="3" s="1"/>
  <c r="K29" i="3"/>
  <c r="G29" i="3" s="1"/>
  <c r="K35" i="3"/>
  <c r="G35" i="3" s="1"/>
  <c r="K51" i="3"/>
  <c r="G51" i="3" s="1"/>
  <c r="K53" i="3"/>
  <c r="G53" i="3" s="1"/>
  <c r="K38" i="3"/>
  <c r="G38" i="3" s="1"/>
  <c r="K54" i="3"/>
  <c r="G54" i="3" s="1"/>
  <c r="K39" i="3"/>
  <c r="G39" i="3" s="1"/>
  <c r="K55" i="3"/>
  <c r="G55" i="3" s="1"/>
  <c r="K56" i="3"/>
  <c r="G56" i="3" s="1"/>
  <c r="K41" i="3"/>
  <c r="G41" i="3" s="1"/>
  <c r="K57" i="3"/>
  <c r="G57" i="3" s="1"/>
  <c r="K43" i="3"/>
  <c r="G43" i="3" s="1"/>
  <c r="K59" i="3"/>
  <c r="G59" i="3" s="1"/>
  <c r="K46" i="3"/>
  <c r="G46" i="3" s="1"/>
  <c r="K47" i="3"/>
  <c r="G47" i="3" s="1"/>
  <c r="K48" i="3"/>
  <c r="G48" i="3" s="1"/>
  <c r="K33" i="3"/>
  <c r="G33" i="3" s="1"/>
  <c r="K34" i="3"/>
  <c r="G34" i="3" s="1"/>
  <c r="K36" i="3"/>
  <c r="G36" i="3" s="1"/>
  <c r="K52" i="3"/>
  <c r="G52" i="3" s="1"/>
  <c r="K37" i="3"/>
  <c r="G37" i="3" s="1"/>
  <c r="K22" i="3"/>
  <c r="K23" i="3"/>
  <c r="K40" i="3"/>
  <c r="G40" i="3" s="1"/>
  <c r="K25" i="3"/>
  <c r="K27" i="3"/>
  <c r="K61" i="3"/>
  <c r="G61" i="3" s="1"/>
  <c r="K30" i="3"/>
  <c r="G30" i="3" s="1"/>
  <c r="K31" i="3"/>
  <c r="G31" i="3" s="1"/>
  <c r="K49" i="3"/>
  <c r="G49" i="3" s="1"/>
  <c r="K50" i="3"/>
  <c r="G50" i="3" s="1"/>
  <c r="I902" i="5" l="1"/>
  <c r="G902" i="5"/>
  <c r="I859" i="5"/>
  <c r="G859" i="5"/>
  <c r="G962" i="5"/>
  <c r="I962" i="5"/>
  <c r="I613" i="5"/>
  <c r="G613" i="5"/>
  <c r="I647" i="5"/>
  <c r="G647" i="5"/>
  <c r="G689" i="5"/>
  <c r="I689" i="5"/>
  <c r="G757" i="5"/>
  <c r="I757" i="5"/>
  <c r="G574" i="5"/>
  <c r="I574" i="5"/>
  <c r="G680" i="5"/>
  <c r="I680" i="5"/>
  <c r="I395" i="5"/>
  <c r="G395" i="5"/>
  <c r="I413" i="5"/>
  <c r="G413" i="5"/>
  <c r="G68" i="5"/>
  <c r="I68" i="5"/>
  <c r="G196" i="5"/>
  <c r="I196" i="5"/>
  <c r="G62" i="5"/>
  <c r="I62" i="5"/>
  <c r="G143" i="5"/>
  <c r="I143" i="5"/>
  <c r="G64" i="5"/>
  <c r="I64" i="5"/>
  <c r="I359" i="5"/>
  <c r="G359" i="5"/>
  <c r="I488" i="5"/>
  <c r="G488" i="5"/>
  <c r="G719" i="5"/>
  <c r="I719" i="5"/>
  <c r="G782" i="5"/>
  <c r="I782" i="5"/>
  <c r="I860" i="5"/>
  <c r="G860" i="5"/>
  <c r="I794" i="5"/>
  <c r="G794" i="5"/>
  <c r="G913" i="5"/>
  <c r="I913" i="5"/>
  <c r="G725" i="5"/>
  <c r="I725" i="5"/>
  <c r="G804" i="5"/>
  <c r="I804" i="5"/>
  <c r="I493" i="5"/>
  <c r="G493" i="5"/>
  <c r="G510" i="5"/>
  <c r="I510" i="5"/>
  <c r="I455" i="5"/>
  <c r="G455" i="5"/>
  <c r="G130" i="5"/>
  <c r="I130" i="5"/>
  <c r="G133" i="5"/>
  <c r="I133" i="5"/>
  <c r="I254" i="5"/>
  <c r="G254" i="5"/>
  <c r="I630" i="5"/>
  <c r="G630" i="5"/>
  <c r="I773" i="5"/>
  <c r="G773" i="5"/>
  <c r="G923" i="5"/>
  <c r="I923" i="5"/>
  <c r="G569" i="5"/>
  <c r="I569" i="5"/>
  <c r="G910" i="5"/>
  <c r="I910" i="5"/>
  <c r="I658" i="5"/>
  <c r="G658" i="5"/>
  <c r="I687" i="5"/>
  <c r="G687" i="5"/>
  <c r="G464" i="5"/>
  <c r="I464" i="5"/>
  <c r="I522" i="5"/>
  <c r="G522" i="5"/>
  <c r="G312" i="5"/>
  <c r="I312" i="5"/>
  <c r="G378" i="5"/>
  <c r="I378" i="5"/>
  <c r="G329" i="5"/>
  <c r="I329" i="5"/>
  <c r="G162" i="5"/>
  <c r="I162" i="5"/>
  <c r="I382" i="5"/>
  <c r="G382" i="5"/>
  <c r="G120" i="5"/>
  <c r="I120" i="5"/>
  <c r="I726" i="5"/>
  <c r="G726" i="5"/>
  <c r="I634" i="5"/>
  <c r="G634" i="5"/>
  <c r="G916" i="5"/>
  <c r="I916" i="5"/>
  <c r="I498" i="5"/>
  <c r="G498" i="5"/>
  <c r="G863" i="5"/>
  <c r="I863" i="5"/>
  <c r="G653" i="5"/>
  <c r="I653" i="5"/>
  <c r="G681" i="5"/>
  <c r="I681" i="5"/>
  <c r="G462" i="5"/>
  <c r="I462" i="5"/>
  <c r="I418" i="5"/>
  <c r="G418" i="5"/>
  <c r="G490" i="5"/>
  <c r="I490" i="5"/>
  <c r="I433" i="5"/>
  <c r="G433" i="5"/>
  <c r="I473" i="5"/>
  <c r="G473" i="5"/>
  <c r="G126" i="5"/>
  <c r="I126" i="5"/>
  <c r="G96" i="5"/>
  <c r="I96" i="5"/>
  <c r="G99" i="5"/>
  <c r="I99" i="5"/>
  <c r="G912" i="5"/>
  <c r="I912" i="5"/>
  <c r="G625" i="5"/>
  <c r="I625" i="5"/>
  <c r="I819" i="5"/>
  <c r="G819" i="5"/>
  <c r="I480" i="5"/>
  <c r="G480" i="5"/>
  <c r="G695" i="5"/>
  <c r="I695" i="5"/>
  <c r="I638" i="5"/>
  <c r="G638" i="5"/>
  <c r="I678" i="5"/>
  <c r="G678" i="5"/>
  <c r="I445" i="5"/>
  <c r="G445" i="5"/>
  <c r="I504" i="5"/>
  <c r="G504" i="5"/>
  <c r="G321" i="5"/>
  <c r="I321" i="5"/>
  <c r="G92" i="5"/>
  <c r="I92" i="5"/>
  <c r="I235" i="5"/>
  <c r="G235" i="5"/>
  <c r="G337" i="5"/>
  <c r="I337" i="5"/>
  <c r="G73" i="5"/>
  <c r="I73" i="5"/>
  <c r="G95" i="5"/>
  <c r="I95" i="5"/>
  <c r="G570" i="5"/>
  <c r="I570" i="5"/>
  <c r="I367" i="5"/>
  <c r="G367" i="5"/>
  <c r="G801" i="5"/>
  <c r="I801" i="5"/>
  <c r="G471" i="5"/>
  <c r="I471" i="5"/>
  <c r="I686" i="5"/>
  <c r="G686" i="5"/>
  <c r="G631" i="5"/>
  <c r="I631" i="5"/>
  <c r="I615" i="5"/>
  <c r="G615" i="5"/>
  <c r="G125" i="5"/>
  <c r="I125" i="5"/>
  <c r="G497" i="5"/>
  <c r="I497" i="5"/>
  <c r="I477" i="5"/>
  <c r="G477" i="5"/>
  <c r="G295" i="5"/>
  <c r="I295" i="5"/>
  <c r="G316" i="5"/>
  <c r="I316" i="5"/>
  <c r="G323" i="5"/>
  <c r="I323" i="5"/>
  <c r="I285" i="5"/>
  <c r="G285" i="5"/>
  <c r="G238" i="5"/>
  <c r="I238" i="5"/>
  <c r="G975" i="5"/>
  <c r="I975" i="5"/>
  <c r="G978" i="5"/>
  <c r="I978" i="5"/>
  <c r="G673" i="5"/>
  <c r="I673" i="5"/>
  <c r="G361" i="5"/>
  <c r="I361" i="5"/>
  <c r="I667" i="5"/>
  <c r="G667" i="5"/>
  <c r="I561" i="5"/>
  <c r="G561" i="5"/>
  <c r="G592" i="5"/>
  <c r="I592" i="5"/>
  <c r="I104" i="5"/>
  <c r="G104" i="5"/>
  <c r="I492" i="5"/>
  <c r="G492" i="5"/>
  <c r="I431" i="5"/>
  <c r="G431" i="5"/>
  <c r="G339" i="5"/>
  <c r="I339" i="5"/>
  <c r="G156" i="5"/>
  <c r="I156" i="5"/>
  <c r="G315" i="5"/>
  <c r="I315" i="5"/>
  <c r="G234" i="5"/>
  <c r="I234" i="5"/>
  <c r="G868" i="5"/>
  <c r="I868" i="5"/>
  <c r="I790" i="5"/>
  <c r="G790" i="5"/>
  <c r="G875" i="5"/>
  <c r="I875" i="5"/>
  <c r="G879" i="5"/>
  <c r="I879" i="5"/>
  <c r="G783" i="5"/>
  <c r="I783" i="5"/>
  <c r="I977" i="5"/>
  <c r="G977" i="5"/>
  <c r="G825" i="5"/>
  <c r="I825" i="5"/>
  <c r="I559" i="5"/>
  <c r="G559" i="5"/>
  <c r="G716" i="5"/>
  <c r="I716" i="5"/>
  <c r="G170" i="5"/>
  <c r="I170" i="5"/>
  <c r="G224" i="5"/>
  <c r="I224" i="5"/>
  <c r="G342" i="5"/>
  <c r="I342" i="5"/>
  <c r="G93" i="5"/>
  <c r="I93" i="5"/>
  <c r="G217" i="5"/>
  <c r="I217" i="5"/>
  <c r="G255" i="5"/>
  <c r="I255" i="5"/>
  <c r="G840" i="5"/>
  <c r="I840" i="5"/>
  <c r="G711" i="5"/>
  <c r="I711" i="5"/>
  <c r="G703" i="5"/>
  <c r="I703" i="5"/>
  <c r="G745" i="5"/>
  <c r="I745" i="5"/>
  <c r="G604" i="5"/>
  <c r="I604" i="5"/>
  <c r="G832" i="5"/>
  <c r="I832" i="5"/>
  <c r="G582" i="5"/>
  <c r="I582" i="5"/>
  <c r="G617" i="5"/>
  <c r="I617" i="5"/>
  <c r="G712" i="5"/>
  <c r="I712" i="5"/>
  <c r="G88" i="5"/>
  <c r="I88" i="5"/>
  <c r="G219" i="5"/>
  <c r="I219" i="5"/>
  <c r="I334" i="5"/>
  <c r="G334" i="5"/>
  <c r="G223" i="5"/>
  <c r="I223" i="5"/>
  <c r="G200" i="5"/>
  <c r="I200" i="5"/>
  <c r="I226" i="5"/>
  <c r="G226" i="5"/>
  <c r="I596" i="5"/>
  <c r="G596" i="5"/>
  <c r="G182" i="5"/>
  <c r="I182" i="5"/>
  <c r="G468" i="5"/>
  <c r="I468" i="5"/>
  <c r="I826" i="5"/>
  <c r="G826" i="5"/>
  <c r="I710" i="5"/>
  <c r="G710" i="5"/>
  <c r="G969" i="5"/>
  <c r="I969" i="5"/>
  <c r="I817" i="5"/>
  <c r="G817" i="5"/>
  <c r="I538" i="5"/>
  <c r="G538" i="5"/>
  <c r="G708" i="5"/>
  <c r="I708" i="5"/>
  <c r="I557" i="5"/>
  <c r="G557" i="5"/>
  <c r="I465" i="5"/>
  <c r="G465" i="5"/>
  <c r="I379" i="5"/>
  <c r="G379" i="5"/>
  <c r="G393" i="5"/>
  <c r="I393" i="5"/>
  <c r="G194" i="5"/>
  <c r="I194" i="5"/>
  <c r="G222" i="5"/>
  <c r="I222" i="5"/>
  <c r="G785" i="5"/>
  <c r="I785" i="5"/>
  <c r="I827" i="5"/>
  <c r="G827" i="5"/>
  <c r="G947" i="5"/>
  <c r="I947" i="5"/>
  <c r="G939" i="5"/>
  <c r="I939" i="5"/>
  <c r="I500" i="5"/>
  <c r="G500" i="5"/>
  <c r="I960" i="5"/>
  <c r="G960" i="5"/>
  <c r="I877" i="5"/>
  <c r="G877" i="5"/>
  <c r="I368" i="5"/>
  <c r="G368" i="5"/>
  <c r="I768" i="5"/>
  <c r="G768" i="5"/>
  <c r="G275" i="5"/>
  <c r="I275" i="5"/>
  <c r="G293" i="5"/>
  <c r="I293" i="5"/>
  <c r="G214" i="5"/>
  <c r="I214" i="5"/>
  <c r="I142" i="5"/>
  <c r="G142" i="5"/>
  <c r="I229" i="5"/>
  <c r="G229" i="5"/>
  <c r="G271" i="5"/>
  <c r="I271" i="5"/>
  <c r="G218" i="5"/>
  <c r="I218" i="5"/>
  <c r="G931" i="5"/>
  <c r="I931" i="5"/>
  <c r="G526" i="5"/>
  <c r="I526" i="5"/>
  <c r="I543" i="5"/>
  <c r="G543" i="5"/>
  <c r="G679" i="5"/>
  <c r="I679" i="5"/>
  <c r="G524" i="5"/>
  <c r="I524" i="5"/>
  <c r="G759" i="5"/>
  <c r="I759" i="5"/>
  <c r="I440" i="5"/>
  <c r="G440" i="5"/>
  <c r="G180" i="5"/>
  <c r="I180" i="5"/>
  <c r="G764" i="5"/>
  <c r="I764" i="5"/>
  <c r="G700" i="5"/>
  <c r="I700" i="5"/>
  <c r="G573" i="5"/>
  <c r="I573" i="5"/>
  <c r="G272" i="5"/>
  <c r="I272" i="5"/>
  <c r="G212" i="5"/>
  <c r="I212" i="5"/>
  <c r="I449" i="5"/>
  <c r="G449" i="5"/>
  <c r="G466" i="5"/>
  <c r="I466" i="5"/>
  <c r="I159" i="5"/>
  <c r="G159" i="5"/>
  <c r="I190" i="5"/>
  <c r="G190" i="5"/>
  <c r="G268" i="5"/>
  <c r="I268" i="5"/>
  <c r="G269" i="5"/>
  <c r="I269" i="5"/>
  <c r="I110" i="5"/>
  <c r="G110" i="5"/>
  <c r="G284" i="5"/>
  <c r="I284" i="5"/>
  <c r="G340" i="5"/>
  <c r="I340" i="5"/>
  <c r="G167" i="5"/>
  <c r="I167" i="5"/>
  <c r="G216" i="5"/>
  <c r="I216" i="5"/>
  <c r="G211" i="5"/>
  <c r="I211" i="5"/>
  <c r="G86" i="5"/>
  <c r="I86" i="5"/>
  <c r="G157" i="5"/>
  <c r="I157" i="5"/>
  <c r="G233" i="5"/>
  <c r="I233" i="5"/>
  <c r="I191" i="5"/>
  <c r="G191" i="5"/>
  <c r="G168" i="5"/>
  <c r="I168" i="5"/>
  <c r="G278" i="5"/>
  <c r="I278" i="5"/>
  <c r="G193" i="5"/>
  <c r="I193" i="5"/>
  <c r="G67" i="5"/>
  <c r="I67" i="5"/>
  <c r="I447" i="5"/>
  <c r="G447" i="5"/>
  <c r="I741" i="5"/>
  <c r="G741" i="5"/>
  <c r="G943" i="5"/>
  <c r="I943" i="5"/>
  <c r="G854" i="5"/>
  <c r="I854" i="5"/>
  <c r="I809" i="5"/>
  <c r="G809" i="5"/>
  <c r="I876" i="5"/>
  <c r="G876" i="5"/>
  <c r="G501" i="5"/>
  <c r="I501" i="5"/>
  <c r="G951" i="5"/>
  <c r="I951" i="5"/>
  <c r="I858" i="5"/>
  <c r="G858" i="5"/>
  <c r="G836" i="5"/>
  <c r="I836" i="5"/>
  <c r="G954" i="5"/>
  <c r="I954" i="5"/>
  <c r="G990" i="5"/>
  <c r="I990" i="5"/>
  <c r="I834" i="5"/>
  <c r="G834" i="5"/>
  <c r="G671" i="5"/>
  <c r="I671" i="5"/>
  <c r="G655" i="5"/>
  <c r="I655" i="5"/>
  <c r="G542" i="5"/>
  <c r="I542" i="5"/>
  <c r="I918" i="5"/>
  <c r="G918" i="5"/>
  <c r="G622" i="5"/>
  <c r="I622" i="5"/>
  <c r="I515" i="5"/>
  <c r="G515" i="5"/>
  <c r="I575" i="5"/>
  <c r="G575" i="5"/>
  <c r="I952" i="5"/>
  <c r="G952" i="5"/>
  <c r="G957" i="5"/>
  <c r="I957" i="5"/>
  <c r="G751" i="5"/>
  <c r="I751" i="5"/>
  <c r="I933" i="5"/>
  <c r="G933" i="5"/>
  <c r="I869" i="5"/>
  <c r="G869" i="5"/>
  <c r="G753" i="5"/>
  <c r="I753" i="5"/>
  <c r="G390" i="5"/>
  <c r="I390" i="5"/>
  <c r="I424" i="5"/>
  <c r="G424" i="5"/>
  <c r="G765" i="5"/>
  <c r="I765" i="5"/>
  <c r="G620" i="5"/>
  <c r="I620" i="5"/>
  <c r="G568" i="5"/>
  <c r="I568" i="5"/>
  <c r="I435" i="5"/>
  <c r="G435" i="5"/>
  <c r="I760" i="5"/>
  <c r="G760" i="5"/>
  <c r="G696" i="5"/>
  <c r="I696" i="5"/>
  <c r="I632" i="5"/>
  <c r="G632" i="5"/>
  <c r="G556" i="5"/>
  <c r="I556" i="5"/>
  <c r="I430" i="5"/>
  <c r="G430" i="5"/>
  <c r="I527" i="5"/>
  <c r="G527" i="5"/>
  <c r="G127" i="5"/>
  <c r="I127" i="5"/>
  <c r="G138" i="5"/>
  <c r="I138" i="5"/>
  <c r="G396" i="5"/>
  <c r="I396" i="5"/>
  <c r="I457" i="5"/>
  <c r="G457" i="5"/>
  <c r="G147" i="5"/>
  <c r="I147" i="5"/>
  <c r="G173" i="5"/>
  <c r="I173" i="5"/>
  <c r="G244" i="5"/>
  <c r="I244" i="5"/>
  <c r="G256" i="5"/>
  <c r="I256" i="5"/>
  <c r="G381" i="5"/>
  <c r="I381" i="5"/>
  <c r="I154" i="5"/>
  <c r="G154" i="5"/>
  <c r="G332" i="5"/>
  <c r="I332" i="5"/>
  <c r="G77" i="5"/>
  <c r="I77" i="5"/>
  <c r="I206" i="5"/>
  <c r="G206" i="5"/>
  <c r="I199" i="5"/>
  <c r="G199" i="5"/>
  <c r="G326" i="5"/>
  <c r="I326" i="5"/>
  <c r="G146" i="5"/>
  <c r="I146" i="5"/>
  <c r="I203" i="5"/>
  <c r="G203" i="5"/>
  <c r="G181" i="5"/>
  <c r="I181" i="5"/>
  <c r="G145" i="5"/>
  <c r="I145" i="5"/>
  <c r="G274" i="5"/>
  <c r="I274" i="5"/>
  <c r="G161" i="5"/>
  <c r="I161" i="5"/>
  <c r="G63" i="5"/>
  <c r="I63" i="5"/>
  <c r="G227" i="5"/>
  <c r="I227" i="5"/>
  <c r="G855" i="5"/>
  <c r="I855" i="5"/>
  <c r="I758" i="5"/>
  <c r="G758" i="5"/>
  <c r="G888" i="5"/>
  <c r="I888" i="5"/>
  <c r="G534" i="5"/>
  <c r="I534" i="5"/>
  <c r="G917" i="5"/>
  <c r="I917" i="5"/>
  <c r="I746" i="5"/>
  <c r="G746" i="5"/>
  <c r="G808" i="5"/>
  <c r="I808" i="5"/>
  <c r="I514" i="5"/>
  <c r="G514" i="5"/>
  <c r="G288" i="5"/>
  <c r="I288" i="5"/>
  <c r="G458" i="5"/>
  <c r="I458" i="5"/>
  <c r="G178" i="5"/>
  <c r="I178" i="5"/>
  <c r="G139" i="5"/>
  <c r="I139" i="5"/>
  <c r="I82" i="5"/>
  <c r="G82" i="5"/>
  <c r="G898" i="5"/>
  <c r="I898" i="5"/>
  <c r="G848" i="5"/>
  <c r="I848" i="5"/>
  <c r="G612" i="5"/>
  <c r="I612" i="5"/>
  <c r="G870" i="5"/>
  <c r="I870" i="5"/>
  <c r="G292" i="5"/>
  <c r="I292" i="5"/>
  <c r="G849" i="5"/>
  <c r="I849" i="5"/>
  <c r="I663" i="5"/>
  <c r="G663" i="5"/>
  <c r="G740" i="5"/>
  <c r="I740" i="5"/>
  <c r="G491" i="5"/>
  <c r="I491" i="5"/>
  <c r="G410" i="5"/>
  <c r="I410" i="5"/>
  <c r="G54" i="5"/>
  <c r="I54" i="5"/>
  <c r="G186" i="5"/>
  <c r="I186" i="5"/>
  <c r="I392" i="5"/>
  <c r="G392" i="5"/>
  <c r="G123" i="5"/>
  <c r="I123" i="5"/>
  <c r="G754" i="5"/>
  <c r="I754" i="5"/>
  <c r="G798" i="5"/>
  <c r="I798" i="5"/>
  <c r="I539" i="5"/>
  <c r="G539" i="5"/>
  <c r="I856" i="5"/>
  <c r="G856" i="5"/>
  <c r="I906" i="5"/>
  <c r="G906" i="5"/>
  <c r="G909" i="5"/>
  <c r="I909" i="5"/>
  <c r="I709" i="5"/>
  <c r="G709" i="5"/>
  <c r="G800" i="5"/>
  <c r="I800" i="5"/>
  <c r="I469" i="5"/>
  <c r="G469" i="5"/>
  <c r="G496" i="5"/>
  <c r="I496" i="5"/>
  <c r="I439" i="5"/>
  <c r="G439" i="5"/>
  <c r="G58" i="5"/>
  <c r="I58" i="5"/>
  <c r="G112" i="5"/>
  <c r="I112" i="5"/>
  <c r="G72" i="5"/>
  <c r="I72" i="5"/>
  <c r="G103" i="5"/>
  <c r="I103" i="5"/>
  <c r="G793" i="5"/>
  <c r="I793" i="5"/>
  <c r="G942" i="5"/>
  <c r="I942" i="5"/>
  <c r="I777" i="5"/>
  <c r="G777" i="5"/>
  <c r="G448" i="5"/>
  <c r="I448" i="5"/>
  <c r="G450" i="5"/>
  <c r="I450" i="5"/>
  <c r="G878" i="5"/>
  <c r="I878" i="5"/>
  <c r="G635" i="5"/>
  <c r="I635" i="5"/>
  <c r="I485" i="5"/>
  <c r="G485" i="5"/>
  <c r="G668" i="5"/>
  <c r="I668" i="5"/>
  <c r="G486" i="5"/>
  <c r="I486" i="5"/>
  <c r="I373" i="5"/>
  <c r="G373" i="5"/>
  <c r="I324" i="5"/>
  <c r="G324" i="5"/>
  <c r="G122" i="5"/>
  <c r="I122" i="5"/>
  <c r="I355" i="5"/>
  <c r="G355" i="5"/>
  <c r="G246" i="5"/>
  <c r="I246" i="5"/>
  <c r="G685" i="5"/>
  <c r="I685" i="5"/>
  <c r="I851" i="5"/>
  <c r="G851" i="5"/>
  <c r="G771" i="5"/>
  <c r="I771" i="5"/>
  <c r="G403" i="5"/>
  <c r="I403" i="5"/>
  <c r="G415" i="5"/>
  <c r="I415" i="5"/>
  <c r="G871" i="5"/>
  <c r="I871" i="5"/>
  <c r="I629" i="5"/>
  <c r="G629" i="5"/>
  <c r="G476" i="5"/>
  <c r="I476" i="5"/>
  <c r="I664" i="5"/>
  <c r="G664" i="5"/>
  <c r="I483" i="5"/>
  <c r="G483" i="5"/>
  <c r="G303" i="5"/>
  <c r="I303" i="5"/>
  <c r="G319" i="5"/>
  <c r="I319" i="5"/>
  <c r="G252" i="5"/>
  <c r="I252" i="5"/>
  <c r="G345" i="5"/>
  <c r="I345" i="5"/>
  <c r="G242" i="5"/>
  <c r="I242" i="5"/>
  <c r="G938" i="5"/>
  <c r="I938" i="5"/>
  <c r="G986" i="5"/>
  <c r="I986" i="5"/>
  <c r="G763" i="5"/>
  <c r="I763" i="5"/>
  <c r="G880" i="5"/>
  <c r="I880" i="5"/>
  <c r="I824" i="5"/>
  <c r="G824" i="5"/>
  <c r="G511" i="5"/>
  <c r="I511" i="5"/>
  <c r="G897" i="5"/>
  <c r="I897" i="5"/>
  <c r="I666" i="5"/>
  <c r="G666" i="5"/>
  <c r="I788" i="5"/>
  <c r="G788" i="5"/>
  <c r="I364" i="5"/>
  <c r="G364" i="5"/>
  <c r="I484" i="5"/>
  <c r="G484" i="5"/>
  <c r="I414" i="5"/>
  <c r="G414" i="5"/>
  <c r="I446" i="5"/>
  <c r="G446" i="5"/>
  <c r="G105" i="5"/>
  <c r="I105" i="5"/>
  <c r="G94" i="5"/>
  <c r="I94" i="5"/>
  <c r="I919" i="5"/>
  <c r="G919" i="5"/>
  <c r="G862" i="5"/>
  <c r="I862" i="5"/>
  <c r="G210" i="5"/>
  <c r="I210" i="5"/>
  <c r="G886" i="5"/>
  <c r="I886" i="5"/>
  <c r="G786" i="5"/>
  <c r="I786" i="5"/>
  <c r="I981" i="5"/>
  <c r="G981" i="5"/>
  <c r="G893" i="5"/>
  <c r="I893" i="5"/>
  <c r="I618" i="5"/>
  <c r="G618" i="5"/>
  <c r="G784" i="5"/>
  <c r="I784" i="5"/>
  <c r="I310" i="5"/>
  <c r="G310" i="5"/>
  <c r="I481" i="5"/>
  <c r="G481" i="5"/>
  <c r="G411" i="5"/>
  <c r="I411" i="5"/>
  <c r="G436" i="5"/>
  <c r="I436" i="5"/>
  <c r="G81" i="5"/>
  <c r="I81" i="5"/>
  <c r="G289" i="5"/>
  <c r="I289" i="5"/>
  <c r="G257" i="5"/>
  <c r="I257" i="5"/>
  <c r="G930" i="5"/>
  <c r="I930" i="5"/>
  <c r="G915" i="5"/>
  <c r="I915" i="5"/>
  <c r="G717" i="5"/>
  <c r="I717" i="5"/>
  <c r="G976" i="5"/>
  <c r="I976" i="5"/>
  <c r="G889" i="5"/>
  <c r="I889" i="5"/>
  <c r="G516" i="5"/>
  <c r="I516" i="5"/>
  <c r="I780" i="5"/>
  <c r="G780" i="5"/>
  <c r="G416" i="5"/>
  <c r="I416" i="5"/>
  <c r="G478" i="5"/>
  <c r="I478" i="5"/>
  <c r="G400" i="5"/>
  <c r="I400" i="5"/>
  <c r="I409" i="5"/>
  <c r="G409" i="5"/>
  <c r="G307" i="5"/>
  <c r="I307" i="5"/>
  <c r="G236" i="5"/>
  <c r="I236" i="5"/>
  <c r="G230" i="5"/>
  <c r="I230" i="5"/>
  <c r="G649" i="5"/>
  <c r="I649" i="5"/>
  <c r="G779" i="5"/>
  <c r="I779" i="5"/>
  <c r="G608" i="5"/>
  <c r="I608" i="5"/>
  <c r="I940" i="5"/>
  <c r="G940" i="5"/>
  <c r="G767" i="5"/>
  <c r="I767" i="5"/>
  <c r="I523" i="5"/>
  <c r="G523" i="5"/>
  <c r="I531" i="5"/>
  <c r="G531" i="5"/>
  <c r="I597" i="5"/>
  <c r="G597" i="5"/>
  <c r="I343" i="5"/>
  <c r="G343" i="5"/>
  <c r="I425" i="5"/>
  <c r="G425" i="5"/>
  <c r="G331" i="5"/>
  <c r="I331" i="5"/>
  <c r="G121" i="5"/>
  <c r="I121" i="5"/>
  <c r="G294" i="5"/>
  <c r="I294" i="5"/>
  <c r="G221" i="5"/>
  <c r="I221" i="5"/>
  <c r="G79" i="5"/>
  <c r="I79" i="5"/>
  <c r="G987" i="5"/>
  <c r="I987" i="5"/>
  <c r="G616" i="5"/>
  <c r="I616" i="5"/>
  <c r="G528" i="5"/>
  <c r="I528" i="5"/>
  <c r="G602" i="5"/>
  <c r="I602" i="5"/>
  <c r="G691" i="5"/>
  <c r="I691" i="5"/>
  <c r="G521" i="5"/>
  <c r="I521" i="5"/>
  <c r="I512" i="5"/>
  <c r="G512" i="5"/>
  <c r="I772" i="5"/>
  <c r="G772" i="5"/>
  <c r="I375" i="5"/>
  <c r="G375" i="5"/>
  <c r="G109" i="5"/>
  <c r="I109" i="5"/>
  <c r="G296" i="5"/>
  <c r="I296" i="5"/>
  <c r="G213" i="5"/>
  <c r="I213" i="5"/>
  <c r="G291" i="5"/>
  <c r="I291" i="5"/>
  <c r="G207" i="5"/>
  <c r="I207" i="5"/>
  <c r="G75" i="5"/>
  <c r="I75" i="5"/>
  <c r="G815" i="5"/>
  <c r="I815" i="5"/>
  <c r="I601" i="5"/>
  <c r="G601" i="5"/>
  <c r="G503" i="5"/>
  <c r="I503" i="5"/>
  <c r="G593" i="5"/>
  <c r="I593" i="5"/>
  <c r="G677" i="5"/>
  <c r="I677" i="5"/>
  <c r="I770" i="5"/>
  <c r="G770" i="5"/>
  <c r="I549" i="5"/>
  <c r="G549" i="5"/>
  <c r="G590" i="5"/>
  <c r="I590" i="5"/>
  <c r="G640" i="5"/>
  <c r="I640" i="5"/>
  <c r="I385" i="5"/>
  <c r="G385" i="5"/>
  <c r="I232" i="5"/>
  <c r="G232" i="5"/>
  <c r="G314" i="5"/>
  <c r="I314" i="5"/>
  <c r="I116" i="5"/>
  <c r="G116" i="5"/>
  <c r="G282" i="5"/>
  <c r="I282" i="5"/>
  <c r="I453" i="5"/>
  <c r="G453" i="5"/>
  <c r="G818" i="5"/>
  <c r="I818" i="5"/>
  <c r="G904" i="5"/>
  <c r="I904" i="5"/>
  <c r="G459" i="5"/>
  <c r="I459" i="5"/>
  <c r="G899" i="5"/>
  <c r="I899" i="5"/>
  <c r="I956" i="5"/>
  <c r="G956" i="5"/>
  <c r="I787" i="5"/>
  <c r="G787" i="5"/>
  <c r="G636" i="5"/>
  <c r="I636" i="5"/>
  <c r="G982" i="5"/>
  <c r="I982" i="5"/>
  <c r="G362" i="5"/>
  <c r="I362" i="5"/>
  <c r="I900" i="5"/>
  <c r="G900" i="5"/>
  <c r="G789" i="5"/>
  <c r="I789" i="5"/>
  <c r="G807" i="5"/>
  <c r="I807" i="5"/>
  <c r="G707" i="5"/>
  <c r="I707" i="5"/>
  <c r="G475" i="5"/>
  <c r="I475" i="5"/>
  <c r="G934" i="5"/>
  <c r="I934" i="5"/>
  <c r="I844" i="5"/>
  <c r="G844" i="5"/>
  <c r="I718" i="5"/>
  <c r="G718" i="5"/>
  <c r="G932" i="5"/>
  <c r="I932" i="5"/>
  <c r="G958" i="5"/>
  <c r="I958" i="5"/>
  <c r="G697" i="5"/>
  <c r="I697" i="5"/>
  <c r="I603" i="5"/>
  <c r="G603" i="5"/>
  <c r="I650" i="5"/>
  <c r="G650" i="5"/>
  <c r="I513" i="5"/>
  <c r="G513" i="5"/>
  <c r="I903" i="5"/>
  <c r="G903" i="5"/>
  <c r="I611" i="5"/>
  <c r="G611" i="5"/>
  <c r="I434" i="5"/>
  <c r="G434" i="5"/>
  <c r="I482" i="5"/>
  <c r="G482" i="5"/>
  <c r="G948" i="5"/>
  <c r="I948" i="5"/>
  <c r="G953" i="5"/>
  <c r="I953" i="5"/>
  <c r="I743" i="5"/>
  <c r="G743" i="5"/>
  <c r="I929" i="5"/>
  <c r="G929" i="5"/>
  <c r="G865" i="5"/>
  <c r="I865" i="5"/>
  <c r="G738" i="5"/>
  <c r="I738" i="5"/>
  <c r="G259" i="5"/>
  <c r="I259" i="5"/>
  <c r="G308" i="5"/>
  <c r="I308" i="5"/>
  <c r="I750" i="5"/>
  <c r="G750" i="5"/>
  <c r="I610" i="5"/>
  <c r="G610" i="5"/>
  <c r="I565" i="5"/>
  <c r="G565" i="5"/>
  <c r="G407" i="5"/>
  <c r="I407" i="5"/>
  <c r="G756" i="5"/>
  <c r="I756" i="5"/>
  <c r="G692" i="5"/>
  <c r="I692" i="5"/>
  <c r="G628" i="5"/>
  <c r="I628" i="5"/>
  <c r="G546" i="5"/>
  <c r="I546" i="5"/>
  <c r="G412" i="5"/>
  <c r="I412" i="5"/>
  <c r="G472" i="5"/>
  <c r="I472" i="5"/>
  <c r="I419" i="5"/>
  <c r="G419" i="5"/>
  <c r="G352" i="5"/>
  <c r="I352" i="5"/>
  <c r="G365" i="5"/>
  <c r="I365" i="5"/>
  <c r="I454" i="5"/>
  <c r="G454" i="5"/>
  <c r="G85" i="5"/>
  <c r="I85" i="5"/>
  <c r="G65" i="5"/>
  <c r="I65" i="5"/>
  <c r="G131" i="5"/>
  <c r="I131" i="5"/>
  <c r="G249" i="5"/>
  <c r="I249" i="5"/>
  <c r="G369" i="5"/>
  <c r="I369" i="5"/>
  <c r="G327" i="5"/>
  <c r="I327" i="5"/>
  <c r="I297" i="5"/>
  <c r="G297" i="5"/>
  <c r="G61" i="5"/>
  <c r="I61" i="5"/>
  <c r="G189" i="5"/>
  <c r="I189" i="5"/>
  <c r="G184" i="5"/>
  <c r="I184" i="5"/>
  <c r="G283" i="5"/>
  <c r="I283" i="5"/>
  <c r="G124" i="5"/>
  <c r="I124" i="5"/>
  <c r="G197" i="5"/>
  <c r="I197" i="5"/>
  <c r="I171" i="5"/>
  <c r="G171" i="5"/>
  <c r="G132" i="5"/>
  <c r="I132" i="5"/>
  <c r="I270" i="5"/>
  <c r="G270" i="5"/>
  <c r="G129" i="5"/>
  <c r="I129" i="5"/>
  <c r="G59" i="5"/>
  <c r="I59" i="5"/>
  <c r="I374" i="5"/>
  <c r="G374" i="5"/>
  <c r="G536" i="5"/>
  <c r="I536" i="5"/>
  <c r="G560" i="5"/>
  <c r="I560" i="5"/>
  <c r="G992" i="5"/>
  <c r="I992" i="5"/>
  <c r="I567" i="5"/>
  <c r="G567" i="5"/>
  <c r="G926" i="5"/>
  <c r="I926" i="5"/>
  <c r="G699" i="5"/>
  <c r="I699" i="5"/>
  <c r="I519" i="5"/>
  <c r="G519" i="5"/>
  <c r="I587" i="5"/>
  <c r="G587" i="5"/>
  <c r="I360" i="5"/>
  <c r="G360" i="5"/>
  <c r="G90" i="5"/>
  <c r="I90" i="5"/>
  <c r="I309" i="5"/>
  <c r="G309" i="5"/>
  <c r="G114" i="5"/>
  <c r="I114" i="5"/>
  <c r="G258" i="5"/>
  <c r="I258" i="5"/>
  <c r="I762" i="5"/>
  <c r="G762" i="5"/>
  <c r="G908" i="5"/>
  <c r="I908" i="5"/>
  <c r="I551" i="5"/>
  <c r="G551" i="5"/>
  <c r="G984" i="5"/>
  <c r="I984" i="5"/>
  <c r="I563" i="5"/>
  <c r="G563" i="5"/>
  <c r="G911" i="5"/>
  <c r="I911" i="5"/>
  <c r="G693" i="5"/>
  <c r="I693" i="5"/>
  <c r="I535" i="5"/>
  <c r="G535" i="5"/>
  <c r="G676" i="5"/>
  <c r="I676" i="5"/>
  <c r="I336" i="5"/>
  <c r="G336" i="5"/>
  <c r="G388" i="5"/>
  <c r="I388" i="5"/>
  <c r="G80" i="5"/>
  <c r="I80" i="5"/>
  <c r="G176" i="5"/>
  <c r="I176" i="5"/>
  <c r="G239" i="5"/>
  <c r="I239" i="5"/>
  <c r="G89" i="5"/>
  <c r="I89" i="5"/>
  <c r="I107" i="5"/>
  <c r="G107" i="5"/>
  <c r="G882" i="5"/>
  <c r="I882" i="5"/>
  <c r="G974" i="5"/>
  <c r="I974" i="5"/>
  <c r="I866" i="5"/>
  <c r="G866" i="5"/>
  <c r="G895" i="5"/>
  <c r="I895" i="5"/>
  <c r="G452" i="5"/>
  <c r="I452" i="5"/>
  <c r="I896" i="5"/>
  <c r="G896" i="5"/>
  <c r="I690" i="5"/>
  <c r="G690" i="5"/>
  <c r="G494" i="5"/>
  <c r="I494" i="5"/>
  <c r="G672" i="5"/>
  <c r="I672" i="5"/>
  <c r="I505" i="5"/>
  <c r="G505" i="5"/>
  <c r="G192" i="5"/>
  <c r="I192" i="5"/>
  <c r="G243" i="5"/>
  <c r="I243" i="5"/>
  <c r="I383" i="5"/>
  <c r="G383" i="5"/>
  <c r="G53" i="5"/>
  <c r="I53" i="5"/>
  <c r="G970" i="5"/>
  <c r="I970" i="5"/>
  <c r="G883" i="5"/>
  <c r="I883" i="5"/>
  <c r="G444" i="5"/>
  <c r="I444" i="5"/>
  <c r="G838" i="5"/>
  <c r="I838" i="5"/>
  <c r="G769" i="5"/>
  <c r="I769" i="5"/>
  <c r="I905" i="5"/>
  <c r="G905" i="5"/>
  <c r="I675" i="5"/>
  <c r="G675" i="5"/>
  <c r="I796" i="5"/>
  <c r="G796" i="5"/>
  <c r="G509" i="5"/>
  <c r="I509" i="5"/>
  <c r="I300" i="5"/>
  <c r="G300" i="5"/>
  <c r="G149" i="5"/>
  <c r="I149" i="5"/>
  <c r="G241" i="5"/>
  <c r="I241" i="5"/>
  <c r="I377" i="5"/>
  <c r="G377" i="5"/>
  <c r="G102" i="5"/>
  <c r="I102" i="5"/>
  <c r="G66" i="5"/>
  <c r="I66" i="5"/>
  <c r="G823" i="5"/>
  <c r="I823" i="5"/>
  <c r="G887" i="5"/>
  <c r="I887" i="5"/>
  <c r="I831" i="5"/>
  <c r="G831" i="5"/>
  <c r="G589" i="5"/>
  <c r="I589" i="5"/>
  <c r="I901" i="5"/>
  <c r="G901" i="5"/>
  <c r="G669" i="5"/>
  <c r="I669" i="5"/>
  <c r="G792" i="5"/>
  <c r="I792" i="5"/>
  <c r="G380" i="5"/>
  <c r="I380" i="5"/>
  <c r="G487" i="5"/>
  <c r="I487" i="5"/>
  <c r="G427" i="5"/>
  <c r="I427" i="5"/>
  <c r="G463" i="5"/>
  <c r="I463" i="5"/>
  <c r="G113" i="5"/>
  <c r="I113" i="5"/>
  <c r="G76" i="5"/>
  <c r="I76" i="5"/>
  <c r="I850" i="5"/>
  <c r="G850" i="5"/>
  <c r="G508" i="5"/>
  <c r="I508" i="5"/>
  <c r="G967" i="5"/>
  <c r="I967" i="5"/>
  <c r="I805" i="5"/>
  <c r="G805" i="5"/>
  <c r="I985" i="5"/>
  <c r="G985" i="5"/>
  <c r="G833" i="5"/>
  <c r="I833" i="5"/>
  <c r="I595" i="5"/>
  <c r="G595" i="5"/>
  <c r="G724" i="5"/>
  <c r="I724" i="5"/>
  <c r="G341" i="5"/>
  <c r="I341" i="5"/>
  <c r="G287" i="5"/>
  <c r="I287" i="5"/>
  <c r="G357" i="5"/>
  <c r="I357" i="5"/>
  <c r="G128" i="5"/>
  <c r="I128" i="5"/>
  <c r="G320" i="5"/>
  <c r="I320" i="5"/>
  <c r="G91" i="5"/>
  <c r="I91" i="5"/>
  <c r="I507" i="5"/>
  <c r="G507" i="5"/>
  <c r="I467" i="5"/>
  <c r="G467" i="5"/>
  <c r="G927" i="5"/>
  <c r="I927" i="5"/>
  <c r="G811" i="5"/>
  <c r="I811" i="5"/>
  <c r="I988" i="5"/>
  <c r="G988" i="5"/>
  <c r="I829" i="5"/>
  <c r="G829" i="5"/>
  <c r="G564" i="5"/>
  <c r="I564" i="5"/>
  <c r="G720" i="5"/>
  <c r="I720" i="5"/>
  <c r="G325" i="5"/>
  <c r="I325" i="5"/>
  <c r="G273" i="5"/>
  <c r="I273" i="5"/>
  <c r="G354" i="5"/>
  <c r="I354" i="5"/>
  <c r="G97" i="5"/>
  <c r="I97" i="5"/>
  <c r="I280" i="5"/>
  <c r="G280" i="5"/>
  <c r="G251" i="5"/>
  <c r="I251" i="5"/>
  <c r="G87" i="5"/>
  <c r="I87" i="5"/>
  <c r="G739" i="5"/>
  <c r="I739" i="5"/>
  <c r="G723" i="5"/>
  <c r="I723" i="5"/>
  <c r="G971" i="5"/>
  <c r="I971" i="5"/>
  <c r="I814" i="5"/>
  <c r="G814" i="5"/>
  <c r="I606" i="5"/>
  <c r="G606" i="5"/>
  <c r="G839" i="5"/>
  <c r="I839" i="5"/>
  <c r="G605" i="5"/>
  <c r="I605" i="5"/>
  <c r="I607" i="5"/>
  <c r="G607" i="5"/>
  <c r="I437" i="5"/>
  <c r="G437" i="5"/>
  <c r="I428" i="5"/>
  <c r="G428" i="5"/>
  <c r="G335" i="5"/>
  <c r="I335" i="5"/>
  <c r="G152" i="5"/>
  <c r="I152" i="5"/>
  <c r="G69" i="5"/>
  <c r="I69" i="5"/>
  <c r="G57" i="5"/>
  <c r="I57" i="5"/>
  <c r="G946" i="5"/>
  <c r="I946" i="5"/>
  <c r="I803" i="5"/>
  <c r="G803" i="5"/>
  <c r="G661" i="5"/>
  <c r="I661" i="5"/>
  <c r="I702" i="5"/>
  <c r="G702" i="5"/>
  <c r="G968" i="5"/>
  <c r="I968" i="5"/>
  <c r="G885" i="5"/>
  <c r="I885" i="5"/>
  <c r="I426" i="5"/>
  <c r="G426" i="5"/>
  <c r="I776" i="5"/>
  <c r="G776" i="5"/>
  <c r="I402" i="5"/>
  <c r="G402" i="5"/>
  <c r="I470" i="5"/>
  <c r="G470" i="5"/>
  <c r="G389" i="5"/>
  <c r="I389" i="5"/>
  <c r="I399" i="5"/>
  <c r="G399" i="5"/>
  <c r="I52" i="5"/>
  <c r="G52" i="5"/>
  <c r="G240" i="5"/>
  <c r="I240" i="5"/>
  <c r="I891" i="5"/>
  <c r="G891" i="5"/>
  <c r="I936" i="5"/>
  <c r="G936" i="5"/>
  <c r="G713" i="5"/>
  <c r="I713" i="5"/>
  <c r="G966" i="5"/>
  <c r="I966" i="5"/>
  <c r="G581" i="5"/>
  <c r="I581" i="5"/>
  <c r="I964" i="5"/>
  <c r="G964" i="5"/>
  <c r="I881" i="5"/>
  <c r="G881" i="5"/>
  <c r="G376" i="5"/>
  <c r="I376" i="5"/>
  <c r="G562" i="5"/>
  <c r="I562" i="5"/>
  <c r="G318" i="5"/>
  <c r="I318" i="5"/>
  <c r="G422" i="5"/>
  <c r="I422" i="5"/>
  <c r="G253" i="5"/>
  <c r="I253" i="5"/>
  <c r="G322" i="5"/>
  <c r="I322" i="5"/>
  <c r="I134" i="5"/>
  <c r="G134" i="5"/>
  <c r="G225" i="5"/>
  <c r="I225" i="5"/>
  <c r="G766" i="5"/>
  <c r="I766" i="5"/>
  <c r="G991" i="5"/>
  <c r="I991" i="5"/>
  <c r="G995" i="5"/>
  <c r="I995" i="5"/>
  <c r="G797" i="5"/>
  <c r="I797" i="5"/>
  <c r="G552" i="5"/>
  <c r="I552" i="5"/>
  <c r="I941" i="5"/>
  <c r="G941" i="5"/>
  <c r="I495" i="5"/>
  <c r="G495" i="5"/>
  <c r="G553" i="5"/>
  <c r="I553" i="5"/>
  <c r="I583" i="5"/>
  <c r="G583" i="5"/>
  <c r="I460" i="5"/>
  <c r="G460" i="5"/>
  <c r="I371" i="5"/>
  <c r="G371" i="5"/>
  <c r="G384" i="5"/>
  <c r="I384" i="5"/>
  <c r="I265" i="5"/>
  <c r="G265" i="5"/>
  <c r="G204" i="5"/>
  <c r="I204" i="5"/>
  <c r="G71" i="5"/>
  <c r="I71" i="5"/>
  <c r="G950" i="5"/>
  <c r="I950" i="5"/>
  <c r="G983" i="5"/>
  <c r="I983" i="5"/>
  <c r="G175" i="5"/>
  <c r="I175" i="5"/>
  <c r="G558" i="5"/>
  <c r="I558" i="5"/>
  <c r="G609" i="5"/>
  <c r="I609" i="5"/>
  <c r="I937" i="5"/>
  <c r="G937" i="5"/>
  <c r="I442" i="5"/>
  <c r="G442" i="5"/>
  <c r="I571" i="5"/>
  <c r="G571" i="5"/>
  <c r="G530" i="5"/>
  <c r="I530" i="5"/>
  <c r="I643" i="5"/>
  <c r="G643" i="5"/>
  <c r="G518" i="5"/>
  <c r="I518" i="5"/>
  <c r="I578" i="5"/>
  <c r="G578" i="5"/>
  <c r="I674" i="5"/>
  <c r="G674" i="5"/>
  <c r="G843" i="5"/>
  <c r="I843" i="5"/>
  <c r="G924" i="5"/>
  <c r="I924" i="5"/>
  <c r="I429" i="5"/>
  <c r="G429" i="5"/>
  <c r="G892" i="5"/>
  <c r="I892" i="5"/>
  <c r="I401" i="5"/>
  <c r="G401" i="5"/>
  <c r="G944" i="5"/>
  <c r="I944" i="5"/>
  <c r="I949" i="5"/>
  <c r="G949" i="5"/>
  <c r="I730" i="5"/>
  <c r="G730" i="5"/>
  <c r="I861" i="5"/>
  <c r="G861" i="5"/>
  <c r="G731" i="5"/>
  <c r="I731" i="5"/>
  <c r="G806" i="5"/>
  <c r="I806" i="5"/>
  <c r="G795" i="5"/>
  <c r="I795" i="5"/>
  <c r="G735" i="5"/>
  <c r="I735" i="5"/>
  <c r="G580" i="5"/>
  <c r="I580" i="5"/>
  <c r="I547" i="5"/>
  <c r="G547" i="5"/>
  <c r="I816" i="5"/>
  <c r="G816" i="5"/>
  <c r="G752" i="5"/>
  <c r="I752" i="5"/>
  <c r="G688" i="5"/>
  <c r="I688" i="5"/>
  <c r="G624" i="5"/>
  <c r="I624" i="5"/>
  <c r="G520" i="5"/>
  <c r="I520" i="5"/>
  <c r="G115" i="5"/>
  <c r="I115" i="5"/>
  <c r="I456" i="5"/>
  <c r="G456" i="5"/>
  <c r="I405" i="5"/>
  <c r="G405" i="5"/>
  <c r="G344" i="5"/>
  <c r="I344" i="5"/>
  <c r="I328" i="5"/>
  <c r="G328" i="5"/>
  <c r="G438" i="5"/>
  <c r="I438" i="5"/>
  <c r="I301" i="5"/>
  <c r="G301" i="5"/>
  <c r="I489" i="5"/>
  <c r="G489" i="5"/>
  <c r="G100" i="5"/>
  <c r="I100" i="5"/>
  <c r="G247" i="5"/>
  <c r="I247" i="5"/>
  <c r="G366" i="5"/>
  <c r="I366" i="5"/>
  <c r="I304" i="5"/>
  <c r="G304" i="5"/>
  <c r="I231" i="5"/>
  <c r="G231" i="5"/>
  <c r="G49" i="5"/>
  <c r="I49" i="5"/>
  <c r="G177" i="5"/>
  <c r="I177" i="5"/>
  <c r="G165" i="5"/>
  <c r="I165" i="5"/>
  <c r="G267" i="5"/>
  <c r="I267" i="5"/>
  <c r="G119" i="5"/>
  <c r="I119" i="5"/>
  <c r="G166" i="5"/>
  <c r="I166" i="5"/>
  <c r="G158" i="5"/>
  <c r="I158" i="5"/>
  <c r="G117" i="5"/>
  <c r="I117" i="5"/>
  <c r="G266" i="5"/>
  <c r="I266" i="5"/>
  <c r="G101" i="5"/>
  <c r="I101" i="5"/>
  <c r="I55" i="5"/>
  <c r="G55" i="5"/>
  <c r="I714" i="5"/>
  <c r="G714" i="5"/>
  <c r="G998" i="5"/>
  <c r="I998" i="5"/>
  <c r="G721" i="5"/>
  <c r="I721" i="5"/>
  <c r="G959" i="5"/>
  <c r="I959" i="5"/>
  <c r="G867" i="5"/>
  <c r="I867" i="5"/>
  <c r="G922" i="5"/>
  <c r="I922" i="5"/>
  <c r="G853" i="5"/>
  <c r="I853" i="5"/>
  <c r="I706" i="5"/>
  <c r="G706" i="5"/>
  <c r="G744" i="5"/>
  <c r="I744" i="5"/>
  <c r="G499" i="5"/>
  <c r="I499" i="5"/>
  <c r="I248" i="5"/>
  <c r="G248" i="5"/>
  <c r="I144" i="5"/>
  <c r="G144" i="5"/>
  <c r="G205" i="5"/>
  <c r="I205" i="5"/>
  <c r="G261" i="5"/>
  <c r="I261" i="5"/>
  <c r="G135" i="5"/>
  <c r="I135" i="5"/>
  <c r="G639" i="5"/>
  <c r="I639" i="5"/>
  <c r="G813" i="5"/>
  <c r="I813" i="5"/>
  <c r="I935" i="5"/>
  <c r="G935" i="5"/>
  <c r="G585" i="5"/>
  <c r="I585" i="5"/>
  <c r="I980" i="5"/>
  <c r="G980" i="5"/>
  <c r="I670" i="5"/>
  <c r="G670" i="5"/>
  <c r="G742" i="5"/>
  <c r="I742" i="5"/>
  <c r="G506" i="5"/>
  <c r="I506" i="5"/>
  <c r="G550" i="5"/>
  <c r="I550" i="5"/>
  <c r="I333" i="5"/>
  <c r="G333" i="5"/>
  <c r="G202" i="5"/>
  <c r="I202" i="5"/>
  <c r="G299" i="5"/>
  <c r="I299" i="5"/>
  <c r="G386" i="5"/>
  <c r="I386" i="5"/>
  <c r="I56" i="5"/>
  <c r="G56" i="5"/>
  <c r="I641" i="5"/>
  <c r="G641" i="5"/>
  <c r="G894" i="5"/>
  <c r="I894" i="5"/>
  <c r="I694" i="5"/>
  <c r="G694" i="5"/>
  <c r="G994" i="5"/>
  <c r="I994" i="5"/>
  <c r="G842" i="5"/>
  <c r="I842" i="5"/>
  <c r="G997" i="5"/>
  <c r="I997" i="5"/>
  <c r="I845" i="5"/>
  <c r="G845" i="5"/>
  <c r="G657" i="5"/>
  <c r="I657" i="5"/>
  <c r="I736" i="5"/>
  <c r="G736" i="5"/>
  <c r="G479" i="5"/>
  <c r="I479" i="5"/>
  <c r="I391" i="5"/>
  <c r="G391" i="5"/>
  <c r="G408" i="5"/>
  <c r="I408" i="5"/>
  <c r="G164" i="5"/>
  <c r="I164" i="5"/>
  <c r="I174" i="5"/>
  <c r="G174" i="5"/>
  <c r="I250" i="5"/>
  <c r="G250" i="5"/>
  <c r="I594" i="5"/>
  <c r="G594" i="5"/>
  <c r="G586" i="5"/>
  <c r="I586" i="5"/>
  <c r="I599" i="5"/>
  <c r="G599" i="5"/>
  <c r="G928" i="5"/>
  <c r="I928" i="5"/>
  <c r="G835" i="5"/>
  <c r="I835" i="5"/>
  <c r="G993" i="5"/>
  <c r="I993" i="5"/>
  <c r="G841" i="5"/>
  <c r="I841" i="5"/>
  <c r="I654" i="5"/>
  <c r="G654" i="5"/>
  <c r="I732" i="5"/>
  <c r="G732" i="5"/>
  <c r="G451" i="5"/>
  <c r="I451" i="5"/>
  <c r="G370" i="5"/>
  <c r="I370" i="5"/>
  <c r="G398" i="5"/>
  <c r="I398" i="5"/>
  <c r="I60" i="5"/>
  <c r="G60" i="5"/>
  <c r="G160" i="5"/>
  <c r="I160" i="5"/>
  <c r="G118" i="5"/>
  <c r="I118" i="5"/>
  <c r="G847" i="5"/>
  <c r="I847" i="5"/>
  <c r="G349" i="5"/>
  <c r="I349" i="5"/>
  <c r="I533" i="5"/>
  <c r="G533" i="5"/>
  <c r="G999" i="5"/>
  <c r="I999" i="5"/>
  <c r="G828" i="5"/>
  <c r="I828" i="5"/>
  <c r="G989" i="5"/>
  <c r="I989" i="5"/>
  <c r="I837" i="5"/>
  <c r="G837" i="5"/>
  <c r="G621" i="5"/>
  <c r="I621" i="5"/>
  <c r="I728" i="5"/>
  <c r="G728" i="5"/>
  <c r="I423" i="5"/>
  <c r="G423" i="5"/>
  <c r="G350" i="5"/>
  <c r="I350" i="5"/>
  <c r="I363" i="5"/>
  <c r="G363" i="5"/>
  <c r="I198" i="5"/>
  <c r="G198" i="5"/>
  <c r="G140" i="5"/>
  <c r="I140" i="5"/>
  <c r="G111" i="5"/>
  <c r="I111" i="5"/>
  <c r="I651" i="5"/>
  <c r="G651" i="5"/>
  <c r="G830" i="5"/>
  <c r="I830" i="5"/>
  <c r="I529" i="5"/>
  <c r="G529" i="5"/>
  <c r="G136" i="5"/>
  <c r="I136" i="5"/>
  <c r="I642" i="5"/>
  <c r="G642" i="5"/>
  <c r="G864" i="5"/>
  <c r="I864" i="5"/>
  <c r="I626" i="5"/>
  <c r="G626" i="5"/>
  <c r="I474" i="5"/>
  <c r="G474" i="5"/>
  <c r="G660" i="5"/>
  <c r="I660" i="5"/>
  <c r="G179" i="5"/>
  <c r="I179" i="5"/>
  <c r="I356" i="5"/>
  <c r="G356" i="5"/>
  <c r="G185" i="5"/>
  <c r="I185" i="5"/>
  <c r="G237" i="5"/>
  <c r="I237" i="5"/>
  <c r="G137" i="5"/>
  <c r="I137" i="5"/>
  <c r="I70" i="5"/>
  <c r="G70" i="5"/>
  <c r="G215" i="5"/>
  <c r="I215" i="5"/>
  <c r="G755" i="5"/>
  <c r="I755" i="5"/>
  <c r="G50" i="5"/>
  <c r="I50" i="5"/>
  <c r="I914" i="5"/>
  <c r="G914" i="5"/>
  <c r="I619" i="5"/>
  <c r="G619" i="5"/>
  <c r="I846" i="5"/>
  <c r="G846" i="5"/>
  <c r="I623" i="5"/>
  <c r="G623" i="5"/>
  <c r="I421" i="5"/>
  <c r="G421" i="5"/>
  <c r="I656" i="5"/>
  <c r="G656" i="5"/>
  <c r="I443" i="5"/>
  <c r="G443" i="5"/>
  <c r="G394" i="5"/>
  <c r="I394" i="5"/>
  <c r="I281" i="5"/>
  <c r="G281" i="5"/>
  <c r="G208" i="5"/>
  <c r="I208" i="5"/>
  <c r="G311" i="5"/>
  <c r="I311" i="5"/>
  <c r="I84" i="5"/>
  <c r="G84" i="5"/>
  <c r="G683" i="5"/>
  <c r="I683" i="5"/>
  <c r="I820" i="5"/>
  <c r="G820" i="5"/>
  <c r="G637" i="5"/>
  <c r="I637" i="5"/>
  <c r="I662" i="5"/>
  <c r="G662" i="5"/>
  <c r="G907" i="5"/>
  <c r="I907" i="5"/>
  <c r="G537" i="5"/>
  <c r="I537" i="5"/>
  <c r="I566" i="5"/>
  <c r="G566" i="5"/>
  <c r="G338" i="5"/>
  <c r="I338" i="5"/>
  <c r="G652" i="5"/>
  <c r="I652" i="5"/>
  <c r="G372" i="5"/>
  <c r="I372" i="5"/>
  <c r="G358" i="5"/>
  <c r="I358" i="5"/>
  <c r="I245" i="5"/>
  <c r="G245" i="5"/>
  <c r="G172" i="5"/>
  <c r="I172" i="5"/>
  <c r="G305" i="5"/>
  <c r="I305" i="5"/>
  <c r="I83" i="5"/>
  <c r="G83" i="5"/>
  <c r="I729" i="5"/>
  <c r="G729" i="5"/>
  <c r="G576" i="5"/>
  <c r="I576" i="5"/>
  <c r="G572" i="5"/>
  <c r="I572" i="5"/>
  <c r="G872" i="5"/>
  <c r="I872" i="5"/>
  <c r="I775" i="5"/>
  <c r="G775" i="5"/>
  <c r="G973" i="5"/>
  <c r="I973" i="5"/>
  <c r="I821" i="5"/>
  <c r="G821" i="5"/>
  <c r="I545" i="5"/>
  <c r="G545" i="5"/>
  <c r="G648" i="5"/>
  <c r="I648" i="5"/>
  <c r="G317" i="5"/>
  <c r="I317" i="5"/>
  <c r="G353" i="5"/>
  <c r="I353" i="5"/>
  <c r="G220" i="5"/>
  <c r="I220" i="5"/>
  <c r="G150" i="5"/>
  <c r="I150" i="5"/>
  <c r="G302" i="5"/>
  <c r="I302" i="5"/>
  <c r="G290" i="5"/>
  <c r="I290" i="5"/>
  <c r="G733" i="5"/>
  <c r="I733" i="5"/>
  <c r="I646" i="5"/>
  <c r="G646" i="5"/>
  <c r="I682" i="5"/>
  <c r="G682" i="5"/>
  <c r="G737" i="5"/>
  <c r="I737" i="5"/>
  <c r="I591" i="5"/>
  <c r="G591" i="5"/>
  <c r="G778" i="5"/>
  <c r="I778" i="5"/>
  <c r="G554" i="5"/>
  <c r="I554" i="5"/>
  <c r="G600" i="5"/>
  <c r="I600" i="5"/>
  <c r="I644" i="5"/>
  <c r="G644" i="5"/>
  <c r="G298" i="5"/>
  <c r="I298" i="5"/>
  <c r="I313" i="5"/>
  <c r="G313" i="5"/>
  <c r="G183" i="5"/>
  <c r="I183" i="5"/>
  <c r="G141" i="5"/>
  <c r="I141" i="5"/>
  <c r="G277" i="5"/>
  <c r="I277" i="5"/>
  <c r="I286" i="5"/>
  <c r="G286" i="5"/>
  <c r="I884" i="5"/>
  <c r="G884" i="5"/>
  <c r="I584" i="5"/>
  <c r="G584" i="5"/>
  <c r="G659" i="5"/>
  <c r="I659" i="5"/>
  <c r="G727" i="5"/>
  <c r="I727" i="5"/>
  <c r="G705" i="5"/>
  <c r="I705" i="5"/>
  <c r="G965" i="5"/>
  <c r="I965" i="5"/>
  <c r="G802" i="5"/>
  <c r="I802" i="5"/>
  <c r="G397" i="5"/>
  <c r="I397" i="5"/>
  <c r="I704" i="5"/>
  <c r="G704" i="5"/>
  <c r="G540" i="5"/>
  <c r="I540" i="5"/>
  <c r="G106" i="5"/>
  <c r="I106" i="5"/>
  <c r="G276" i="5"/>
  <c r="I276" i="5"/>
  <c r="G201" i="5"/>
  <c r="I201" i="5"/>
  <c r="G169" i="5"/>
  <c r="I169" i="5"/>
  <c r="G188" i="5"/>
  <c r="I188" i="5"/>
  <c r="G525" i="5"/>
  <c r="I525" i="5"/>
  <c r="I890" i="5"/>
  <c r="G890" i="5"/>
  <c r="G963" i="5"/>
  <c r="I963" i="5"/>
  <c r="G747" i="5"/>
  <c r="I747" i="5"/>
  <c r="I665" i="5"/>
  <c r="G665" i="5"/>
  <c r="G961" i="5"/>
  <c r="I961" i="5"/>
  <c r="G873" i="5"/>
  <c r="I873" i="5"/>
  <c r="G799" i="5"/>
  <c r="I799" i="5"/>
  <c r="G544" i="5"/>
  <c r="I544" i="5"/>
  <c r="G346" i="5"/>
  <c r="I346" i="5"/>
  <c r="I420" i="5"/>
  <c r="G420" i="5"/>
  <c r="G822" i="5"/>
  <c r="I822" i="5"/>
  <c r="I541" i="5"/>
  <c r="G541" i="5"/>
  <c r="I404" i="5"/>
  <c r="G404" i="5"/>
  <c r="G810" i="5"/>
  <c r="I810" i="5"/>
  <c r="I920" i="5"/>
  <c r="G920" i="5"/>
  <c r="G588" i="5"/>
  <c r="I588" i="5"/>
  <c r="G645" i="5"/>
  <c r="I645" i="5"/>
  <c r="I996" i="5"/>
  <c r="G996" i="5"/>
  <c r="I598" i="5"/>
  <c r="G598" i="5"/>
  <c r="G306" i="5"/>
  <c r="I306" i="5"/>
  <c r="G925" i="5"/>
  <c r="I925" i="5"/>
  <c r="G749" i="5"/>
  <c r="I749" i="5"/>
  <c r="I417" i="5"/>
  <c r="G417" i="5"/>
  <c r="G955" i="5"/>
  <c r="I955" i="5"/>
  <c r="G406" i="5"/>
  <c r="I406" i="5"/>
  <c r="I78" i="5"/>
  <c r="G78" i="5"/>
  <c r="I555" i="5"/>
  <c r="G555" i="5"/>
  <c r="G781" i="5"/>
  <c r="I781" i="5"/>
  <c r="I347" i="5"/>
  <c r="G347" i="5"/>
  <c r="G774" i="5"/>
  <c r="I774" i="5"/>
  <c r="G627" i="5"/>
  <c r="I627" i="5"/>
  <c r="G979" i="5"/>
  <c r="I979" i="5"/>
  <c r="I852" i="5"/>
  <c r="G852" i="5"/>
  <c r="G701" i="5"/>
  <c r="I701" i="5"/>
  <c r="G548" i="5"/>
  <c r="I548" i="5"/>
  <c r="G633" i="5"/>
  <c r="I633" i="5"/>
  <c r="G972" i="5"/>
  <c r="I972" i="5"/>
  <c r="I874" i="5"/>
  <c r="G874" i="5"/>
  <c r="I579" i="5"/>
  <c r="G579" i="5"/>
  <c r="I351" i="5"/>
  <c r="G351" i="5"/>
  <c r="G151" i="5"/>
  <c r="I151" i="5"/>
  <c r="I734" i="5"/>
  <c r="G734" i="5"/>
  <c r="I945" i="5"/>
  <c r="G945" i="5"/>
  <c r="I698" i="5"/>
  <c r="G698" i="5"/>
  <c r="I921" i="5"/>
  <c r="G921" i="5"/>
  <c r="G857" i="5"/>
  <c r="I857" i="5"/>
  <c r="G715" i="5"/>
  <c r="I715" i="5"/>
  <c r="G791" i="5"/>
  <c r="I791" i="5"/>
  <c r="I761" i="5"/>
  <c r="G761" i="5"/>
  <c r="I722" i="5"/>
  <c r="G722" i="5"/>
  <c r="G577" i="5"/>
  <c r="I577" i="5"/>
  <c r="G532" i="5"/>
  <c r="I532" i="5"/>
  <c r="G812" i="5"/>
  <c r="I812" i="5"/>
  <c r="G748" i="5"/>
  <c r="I748" i="5"/>
  <c r="G684" i="5"/>
  <c r="I684" i="5"/>
  <c r="G614" i="5"/>
  <c r="I614" i="5"/>
  <c r="I517" i="5"/>
  <c r="G517" i="5"/>
  <c r="I502" i="5"/>
  <c r="G502" i="5"/>
  <c r="I441" i="5"/>
  <c r="G441" i="5"/>
  <c r="I387" i="5"/>
  <c r="G387" i="5"/>
  <c r="G330" i="5"/>
  <c r="I330" i="5"/>
  <c r="G263" i="5"/>
  <c r="I263" i="5"/>
  <c r="I432" i="5"/>
  <c r="G432" i="5"/>
  <c r="G228" i="5"/>
  <c r="I228" i="5"/>
  <c r="I461" i="5"/>
  <c r="G461" i="5"/>
  <c r="G195" i="5"/>
  <c r="I195" i="5"/>
  <c r="G187" i="5"/>
  <c r="I187" i="5"/>
  <c r="G348" i="5"/>
  <c r="I348" i="5"/>
  <c r="I279" i="5"/>
  <c r="G279" i="5"/>
  <c r="G209" i="5"/>
  <c r="I209" i="5"/>
  <c r="G260" i="5"/>
  <c r="I260" i="5"/>
  <c r="G153" i="5"/>
  <c r="I153" i="5"/>
  <c r="G148" i="5"/>
  <c r="I148" i="5"/>
  <c r="G264" i="5"/>
  <c r="I264" i="5"/>
  <c r="G98" i="5"/>
  <c r="I98" i="5"/>
  <c r="G163" i="5"/>
  <c r="I163" i="5"/>
  <c r="G155" i="5"/>
  <c r="I155" i="5"/>
  <c r="G108" i="5"/>
  <c r="I108" i="5"/>
  <c r="I262" i="5"/>
  <c r="G262" i="5"/>
  <c r="G74" i="5"/>
  <c r="I74" i="5"/>
  <c r="G51" i="5"/>
  <c r="I51" i="5"/>
  <c r="I41" i="5"/>
  <c r="I32" i="5"/>
  <c r="I45" i="5"/>
  <c r="I44" i="5"/>
  <c r="I37" i="5"/>
  <c r="I29" i="5"/>
  <c r="I34" i="5"/>
  <c r="I40" i="5"/>
  <c r="I48" i="5"/>
  <c r="I39" i="5"/>
  <c r="I28" i="5"/>
  <c r="I43" i="5"/>
  <c r="I27" i="5"/>
  <c r="I46" i="5"/>
  <c r="I47" i="5"/>
  <c r="I42" i="5"/>
  <c r="I33" i="5"/>
  <c r="I30" i="5"/>
  <c r="I38" i="5"/>
  <c r="I35" i="5"/>
  <c r="E48" i="3" a="1"/>
  <c r="E48" i="3" s="1"/>
  <c r="I48" i="3" s="1"/>
  <c r="E29" i="3" a="1"/>
  <c r="E29" i="3" s="1"/>
  <c r="I29" i="3" s="1"/>
  <c r="E49" i="3" a="1"/>
  <c r="E49" i="3" s="1"/>
  <c r="I49" i="3" s="1"/>
  <c r="E46" i="3" a="1"/>
  <c r="E46" i="3" s="1"/>
  <c r="I46" i="3" s="1"/>
  <c r="E30" i="3" a="1"/>
  <c r="E30" i="3" s="1"/>
  <c r="I30" i="3" s="1"/>
  <c r="E61" i="3" a="1"/>
  <c r="E61" i="3" s="1"/>
  <c r="I61" i="3" s="1"/>
  <c r="E58" i="3" a="1"/>
  <c r="E58" i="3" s="1"/>
  <c r="I58" i="3" s="1"/>
  <c r="E41" i="3" a="1"/>
  <c r="E41" i="3" s="1"/>
  <c r="I41" i="3" s="1"/>
  <c r="E42" i="3" a="1"/>
  <c r="E42" i="3" s="1"/>
  <c r="I42" i="3" s="1"/>
  <c r="E56" i="3" a="1"/>
  <c r="E56" i="3" s="1"/>
  <c r="I56" i="3" s="1"/>
  <c r="E40" i="3" a="1"/>
  <c r="E40" i="3" s="1"/>
  <c r="I40" i="3" s="1"/>
  <c r="E55" i="3" a="1"/>
  <c r="E55" i="3" s="1"/>
  <c r="I55" i="3" s="1"/>
  <c r="E45" i="3" a="1"/>
  <c r="E45" i="3" s="1"/>
  <c r="I45" i="3" s="1"/>
  <c r="E39" i="3" a="1"/>
  <c r="E39" i="3" s="1"/>
  <c r="I39" i="3" s="1"/>
  <c r="E54" i="3" a="1"/>
  <c r="E54" i="3" s="1"/>
  <c r="I54" i="3" s="1"/>
  <c r="E33" i="3" a="1"/>
  <c r="E33" i="3" s="1"/>
  <c r="I33" i="3" s="1"/>
  <c r="E44" i="3" a="1"/>
  <c r="E44" i="3" s="1"/>
  <c r="I44" i="3" s="1"/>
  <c r="E28" i="3" a="1"/>
  <c r="E28" i="3" s="1"/>
  <c r="I28" i="3" s="1"/>
  <c r="E31" i="3" a="1"/>
  <c r="E31" i="3" s="1"/>
  <c r="I31" i="3" s="1"/>
  <c r="E43" i="3" a="1"/>
  <c r="E43" i="3" s="1"/>
  <c r="I43" i="3" s="1"/>
  <c r="E37" i="3" a="1"/>
  <c r="E37" i="3" s="1"/>
  <c r="I37" i="3" s="1"/>
  <c r="E38" i="3" a="1"/>
  <c r="E38" i="3" s="1"/>
  <c r="I38" i="3" s="1"/>
  <c r="E34" i="3" a="1"/>
  <c r="E34" i="3" s="1"/>
  <c r="I34" i="3" s="1"/>
  <c r="E59" i="3" a="1"/>
  <c r="E59" i="3" s="1"/>
  <c r="I59" i="3" s="1"/>
  <c r="E62" i="3" a="1"/>
  <c r="E62" i="3" s="1"/>
  <c r="I62" i="3" s="1"/>
  <c r="E52" i="3" a="1"/>
  <c r="E52" i="3" s="1"/>
  <c r="I52" i="3" s="1"/>
  <c r="E53" i="3" a="1"/>
  <c r="E53" i="3" s="1"/>
  <c r="I53" i="3" s="1"/>
  <c r="E35" i="3" a="1"/>
  <c r="E35" i="3" s="1"/>
  <c r="I35" i="3" s="1"/>
  <c r="E60" i="3" a="1"/>
  <c r="E60" i="3" s="1"/>
  <c r="I60" i="3" s="1"/>
  <c r="E50" i="3" a="1"/>
  <c r="E50" i="3" s="1"/>
  <c r="I50" i="3" s="1"/>
  <c r="E32" i="3" a="1"/>
  <c r="E32" i="3" s="1"/>
  <c r="I32" i="3" s="1"/>
  <c r="E36" i="3" a="1"/>
  <c r="E36" i="3" s="1"/>
  <c r="I36" i="3" s="1"/>
  <c r="E51" i="3" a="1"/>
  <c r="E51" i="3" s="1"/>
  <c r="I51" i="3" s="1"/>
  <c r="I31" i="5"/>
  <c r="I26" i="5"/>
  <c r="E47" i="3" a="1"/>
  <c r="E47" i="3" s="1"/>
  <c r="I47" i="3" s="1"/>
  <c r="E57" i="3" a="1"/>
  <c r="E57" i="3" s="1"/>
  <c r="I57" i="3" s="1"/>
  <c r="E21" i="3"/>
  <c r="G21" i="3" s="1"/>
  <c r="I25" i="5"/>
  <c r="I36" i="5"/>
  <c r="E25" i="3" a="1"/>
  <c r="E27" i="3" a="1"/>
  <c r="E26" i="3" a="1"/>
  <c r="E24" i="3" a="1"/>
  <c r="E23" i="3" a="1"/>
  <c r="E22" i="3" a="1"/>
  <c r="E27" i="3" l="1"/>
  <c r="E26" i="3"/>
  <c r="E25" i="3"/>
  <c r="E24" i="3"/>
  <c r="E23" i="3"/>
  <c r="E22" i="3"/>
  <c r="I21" i="3"/>
  <c r="I24" i="5"/>
  <c r="I27" i="3" l="1"/>
  <c r="G27" i="3"/>
  <c r="I26" i="3"/>
  <c r="G26" i="3"/>
  <c r="I25" i="3"/>
  <c r="G25" i="3"/>
  <c r="I24" i="3"/>
  <c r="G24" i="3"/>
  <c r="I22" i="3"/>
  <c r="G22" i="3"/>
  <c r="I23" i="3"/>
  <c r="G23" i="3"/>
  <c r="I16" i="5"/>
  <c r="I18" i="5" l="1"/>
  <c r="I17" i="5" l="1"/>
  <c r="I10" i="5" l="1"/>
  <c r="I13" i="5" l="1"/>
  <c r="I11" i="5" l="1"/>
  <c r="I19" i="5" l="1"/>
  <c r="I22" i="5" l="1"/>
  <c r="I20" i="5" l="1"/>
  <c r="I12" i="5" l="1"/>
  <c r="I21" i="5" l="1"/>
  <c r="I15" i="5" l="1"/>
  <c r="I8" i="5" l="1"/>
  <c r="I23" i="5" l="1"/>
  <c r="I14" i="5" l="1"/>
  <c r="I9" i="5" l="1"/>
  <c r="I7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<sst xmlns="http://schemas.openxmlformats.org/spreadsheetml/2006/main" count="1482" uniqueCount="978">
  <si>
    <t>Resource</t>
  </si>
  <si>
    <t>Resource provider namespace</t>
  </si>
  <si>
    <t>AI Search</t>
  </si>
  <si>
    <t>Microsoft.Search/searchServices</t>
  </si>
  <si>
    <t>srch</t>
  </si>
  <si>
    <t>Azure AI services</t>
  </si>
  <si>
    <t>ais</t>
  </si>
  <si>
    <t>Azure AI Foundry hub</t>
  </si>
  <si>
    <t>hub</t>
  </si>
  <si>
    <t>Azure AI Foundry project</t>
  </si>
  <si>
    <t>proj</t>
  </si>
  <si>
    <t>Azure AI Video Indexer</t>
  </si>
  <si>
    <t>Microsoft.VideoIndexer/accounts</t>
  </si>
  <si>
    <t>avi</t>
  </si>
  <si>
    <t>Azure Machine Learning workspace</t>
  </si>
  <si>
    <t>Microsoft.MachineLearningServices/workspaces</t>
  </si>
  <si>
    <t>mlw</t>
  </si>
  <si>
    <t>Azure OpenAI Service</t>
  </si>
  <si>
    <t>oai</t>
  </si>
  <si>
    <t>Bot service</t>
  </si>
  <si>
    <t>bot</t>
  </si>
  <si>
    <t>Computer vision</t>
  </si>
  <si>
    <t>cv</t>
  </si>
  <si>
    <t>Content moderator</t>
  </si>
  <si>
    <t>cm</t>
  </si>
  <si>
    <t>Content safety</t>
  </si>
  <si>
    <t>cs</t>
  </si>
  <si>
    <t>Custom vision (prediction)</t>
  </si>
  <si>
    <t>cstv</t>
  </si>
  <si>
    <t>Custom vision (training)</t>
  </si>
  <si>
    <t>cstvt</t>
  </si>
  <si>
    <t>Document intelligence</t>
  </si>
  <si>
    <t>di</t>
  </si>
  <si>
    <t>Face API</t>
  </si>
  <si>
    <t>face</t>
  </si>
  <si>
    <t>Health Insights</t>
  </si>
  <si>
    <t>hi</t>
  </si>
  <si>
    <t>Immersive reader</t>
  </si>
  <si>
    <t>ir</t>
  </si>
  <si>
    <t>Language service</t>
  </si>
  <si>
    <t>lang</t>
  </si>
  <si>
    <t>Speech service</t>
  </si>
  <si>
    <t>spch</t>
  </si>
  <si>
    <t>Translator</t>
  </si>
  <si>
    <t>trsl</t>
  </si>
  <si>
    <t>Analytics and IoT</t>
  </si>
  <si>
    <t>Azure Analysis Services server</t>
  </si>
  <si>
    <t>Microsoft.AnalysisServices/servers</t>
  </si>
  <si>
    <t>as</t>
  </si>
  <si>
    <t>Azure Databricks workspace</t>
  </si>
  <si>
    <t>Microsoft.Databricks/workspaces</t>
  </si>
  <si>
    <t>dbw</t>
  </si>
  <si>
    <t>Azure Data Explorer cluster</t>
  </si>
  <si>
    <t>Microsoft.Kusto/clusters</t>
  </si>
  <si>
    <t>dec</t>
  </si>
  <si>
    <t>Azure Data Explorer cluster database</t>
  </si>
  <si>
    <t>Microsoft.Kusto/clusters/databases</t>
  </si>
  <si>
    <t>dedb</t>
  </si>
  <si>
    <t>Azure Data Factory</t>
  </si>
  <si>
    <t>Microsoft.DataFactory/factories</t>
  </si>
  <si>
    <t>adf</t>
  </si>
  <si>
    <t>Azure Digital Twin instance</t>
  </si>
  <si>
    <t>Microsoft.DigitalTwins/digitalTwinsInstances</t>
  </si>
  <si>
    <t>dt</t>
  </si>
  <si>
    <t>Azure Stream Analytics</t>
  </si>
  <si>
    <t>Microsoft.StreamAnalytics/cluster</t>
  </si>
  <si>
    <t>asa</t>
  </si>
  <si>
    <t>Azure Synapse Analytics private link hub</t>
  </si>
  <si>
    <t>Microsoft.Synapse/privateLinkHubs</t>
  </si>
  <si>
    <t>synplh</t>
  </si>
  <si>
    <t>Azure Synapse Analytics SQL Dedicated Pool</t>
  </si>
  <si>
    <t>Microsoft.Synapse/workspaces/sqlPools</t>
  </si>
  <si>
    <t>syndp</t>
  </si>
  <si>
    <t>Azure Synapse Analytics Spark Pool</t>
  </si>
  <si>
    <t>Microsoft.Synapse/workspaces/bigDataPools</t>
  </si>
  <si>
    <t>synsp</t>
  </si>
  <si>
    <t>Azure Synapse Analytics workspaces</t>
  </si>
  <si>
    <t>Microsoft.Synapse/workspaces</t>
  </si>
  <si>
    <t>synw</t>
  </si>
  <si>
    <t>Data Lake Store account</t>
  </si>
  <si>
    <t>Microsoft.DataLakeStore/accounts</t>
  </si>
  <si>
    <t>dls</t>
  </si>
  <si>
    <t>Data Lake Analytics account</t>
  </si>
  <si>
    <t>Microsoft.DataLakeAnalytics/accounts</t>
  </si>
  <si>
    <t>dla</t>
  </si>
  <si>
    <t>Event Hubs namespace</t>
  </si>
  <si>
    <t>Microsoft.EventHub/namespaces</t>
  </si>
  <si>
    <t>evhns</t>
  </si>
  <si>
    <t>Event hub</t>
  </si>
  <si>
    <t>Microsoft.EventHub/namespaces/eventHubs</t>
  </si>
  <si>
    <t>evh</t>
  </si>
  <si>
    <t>Event Grid domain</t>
  </si>
  <si>
    <t>Microsoft.EventGrid/domains</t>
  </si>
  <si>
    <t>evgd</t>
  </si>
  <si>
    <t>Event Grid subscriptions</t>
  </si>
  <si>
    <t>Microsoft.EventGrid/eventSubscriptions</t>
  </si>
  <si>
    <t>evgs</t>
  </si>
  <si>
    <t>Event Grid topic</t>
  </si>
  <si>
    <t>Microsoft.EventGrid/domains/topics</t>
  </si>
  <si>
    <t>evgt</t>
  </si>
  <si>
    <t>Event Grid system topic</t>
  </si>
  <si>
    <t>Microsoft.EventGrid/systemTopics</t>
  </si>
  <si>
    <t>egst</t>
  </si>
  <si>
    <t>HDInsight - Hadoop cluster</t>
  </si>
  <si>
    <t>Microsoft.HDInsight/clusters</t>
  </si>
  <si>
    <t>hadoop</t>
  </si>
  <si>
    <t>HDInsight - HBase cluster</t>
  </si>
  <si>
    <t>hbase</t>
  </si>
  <si>
    <t>HDInsight - Kafka cluster</t>
  </si>
  <si>
    <t>kafka</t>
  </si>
  <si>
    <t>HDInsight - Spark cluster</t>
  </si>
  <si>
    <t>spark</t>
  </si>
  <si>
    <t>HDInsight - Storm cluster</t>
  </si>
  <si>
    <t>storm</t>
  </si>
  <si>
    <t>HDInsight - ML Services cluster</t>
  </si>
  <si>
    <t>mls</t>
  </si>
  <si>
    <t>IoT hub</t>
  </si>
  <si>
    <t>Microsoft.Devices/IotHubs</t>
  </si>
  <si>
    <t>iot</t>
  </si>
  <si>
    <t>Provisioning services</t>
  </si>
  <si>
    <t>Microsoft.Devices/provisioningServices</t>
  </si>
  <si>
    <t>provs</t>
  </si>
  <si>
    <t>Provisioning services certificate</t>
  </si>
  <si>
    <t>Microsoft.Devices/provisioningServices/certificates</t>
  </si>
  <si>
    <t>pcert</t>
  </si>
  <si>
    <t>Power BI Embedded</t>
  </si>
  <si>
    <t>Microsoft.PowerBIDedicated/capacities</t>
  </si>
  <si>
    <t>pbi</t>
  </si>
  <si>
    <t>Time Series Insights environment</t>
  </si>
  <si>
    <t>Microsoft.TimeSeriesInsights/environments</t>
  </si>
  <si>
    <t>tsi</t>
  </si>
  <si>
    <t>Compute and web</t>
  </si>
  <si>
    <t>App Service environment</t>
  </si>
  <si>
    <t>Microsoft.Web/hostingEnvironments</t>
  </si>
  <si>
    <t>ase</t>
  </si>
  <si>
    <t>App Service plan</t>
  </si>
  <si>
    <t>Microsoft.Web/serverFarms</t>
  </si>
  <si>
    <t>asp</t>
  </si>
  <si>
    <t>Azure Load Testing instance</t>
  </si>
  <si>
    <t>Microsoft.LoadTestService/loadTests</t>
  </si>
  <si>
    <t>lt</t>
  </si>
  <si>
    <t>Availability set</t>
  </si>
  <si>
    <t>Microsoft.Compute/availabilitySets</t>
  </si>
  <si>
    <t>avail</t>
  </si>
  <si>
    <t>Azure Arc enabled server</t>
  </si>
  <si>
    <t>Microsoft.HybridCompute/machines</t>
  </si>
  <si>
    <t>arcs</t>
  </si>
  <si>
    <t>Azure Arc enabled Kubernetes cluster</t>
  </si>
  <si>
    <t>Microsoft.Kubernetes/connectedClusters</t>
  </si>
  <si>
    <t>arck</t>
  </si>
  <si>
    <t>Azure Arc private link scope</t>
  </si>
  <si>
    <t>Microsoft.HybridCompute/privateLinkScopes</t>
  </si>
  <si>
    <t>pls</t>
  </si>
  <si>
    <t>Azure Arc gateway</t>
  </si>
  <si>
    <t>Microsoft.HybridCompute/gateways</t>
  </si>
  <si>
    <t>arcgw</t>
  </si>
  <si>
    <t>Batch accounts</t>
  </si>
  <si>
    <t>Microsoft.Batch/batchAccounts</t>
  </si>
  <si>
    <t>ba</t>
  </si>
  <si>
    <t>Cloud service</t>
  </si>
  <si>
    <t>Microsoft.Compute/cloudServices</t>
  </si>
  <si>
    <t>cld</t>
  </si>
  <si>
    <t>Communication Services</t>
  </si>
  <si>
    <t>Microsoft.Communication/communicationServices</t>
  </si>
  <si>
    <t>acs</t>
  </si>
  <si>
    <t>Disk encryption set</t>
  </si>
  <si>
    <t>Microsoft.Compute/diskEncryptionSets</t>
  </si>
  <si>
    <t>des</t>
  </si>
  <si>
    <t>Function app</t>
  </si>
  <si>
    <t>Microsoft.Web/sites</t>
  </si>
  <si>
    <t>func</t>
  </si>
  <si>
    <t>Gallery</t>
  </si>
  <si>
    <t>Microsoft.Compute/galleries</t>
  </si>
  <si>
    <t>gal</t>
  </si>
  <si>
    <t>Hosting environment</t>
  </si>
  <si>
    <t>host</t>
  </si>
  <si>
    <t>Image template</t>
  </si>
  <si>
    <t>Microsoft.VirtualMachineImages/imageTemplates</t>
  </si>
  <si>
    <t>it</t>
  </si>
  <si>
    <t>Managed disk (OS)</t>
  </si>
  <si>
    <t>Microsoft.Compute/disks</t>
  </si>
  <si>
    <t>osdisk</t>
  </si>
  <si>
    <t>Managed disk (data)</t>
  </si>
  <si>
    <t>disk</t>
  </si>
  <si>
    <t>Notification Hubs</t>
  </si>
  <si>
    <t>Microsoft.NotificationHubs/namespaces/notificationHubs</t>
  </si>
  <si>
    <t>ntf</t>
  </si>
  <si>
    <t>Notification Hubs namespace</t>
  </si>
  <si>
    <t>Microsoft.NotificationHubs/namespaces</t>
  </si>
  <si>
    <t>ntfns</t>
  </si>
  <si>
    <t>Proximity placement group</t>
  </si>
  <si>
    <t>Microsoft.Compute/proximityPlacementGroups</t>
  </si>
  <si>
    <t>ppg</t>
  </si>
  <si>
    <t>Restore point collection</t>
  </si>
  <si>
    <t>Microsoft.Compute/restorePointCollections</t>
  </si>
  <si>
    <t>rpc</t>
  </si>
  <si>
    <t>Snapshot</t>
  </si>
  <si>
    <t>Microsoft.Compute/snapshots</t>
  </si>
  <si>
    <t>snap</t>
  </si>
  <si>
    <t>Static web app</t>
  </si>
  <si>
    <t>Microsoft.Web/staticSites</t>
  </si>
  <si>
    <t>stapp</t>
  </si>
  <si>
    <t>Virtual machine</t>
  </si>
  <si>
    <t>Microsoft.Compute/virtualMachines</t>
  </si>
  <si>
    <t>vm</t>
  </si>
  <si>
    <t>Virtual machine scale set</t>
  </si>
  <si>
    <t>Microsoft.Compute/virtualMachineScaleSets</t>
  </si>
  <si>
    <t>vmss</t>
  </si>
  <si>
    <t>Virtual machine maintenance configuration</t>
  </si>
  <si>
    <t>Microsoft.Maintenance/maintenanceConfigurations</t>
  </si>
  <si>
    <t>mc</t>
  </si>
  <si>
    <t>VM storage account</t>
  </si>
  <si>
    <t>Microsoft.Storage/storageAccounts</t>
  </si>
  <si>
    <t>stvm</t>
  </si>
  <si>
    <t>Web app</t>
  </si>
  <si>
    <t>app</t>
  </si>
  <si>
    <t>Containers</t>
  </si>
  <si>
    <t>AKS cluster</t>
  </si>
  <si>
    <t>Microsoft.ContainerService/managedClusters</t>
  </si>
  <si>
    <t>aks</t>
  </si>
  <si>
    <t>AKS system node pool</t>
  </si>
  <si>
    <t>npsystem</t>
  </si>
  <si>
    <t>AKS user node pool</t>
  </si>
  <si>
    <t>np</t>
  </si>
  <si>
    <t>Container apps</t>
  </si>
  <si>
    <t>Microsoft.App/containerApps</t>
  </si>
  <si>
    <t>ca</t>
  </si>
  <si>
    <t>Container apps environment</t>
  </si>
  <si>
    <t>Microsoft.App/managedEnvironments</t>
  </si>
  <si>
    <t>cae</t>
  </si>
  <si>
    <t>Container registry</t>
  </si>
  <si>
    <t>Microsoft.ContainerRegistry/registries</t>
  </si>
  <si>
    <t>cr</t>
  </si>
  <si>
    <t>Container instance</t>
  </si>
  <si>
    <t>Microsoft.ContainerInstance/containerGroups</t>
  </si>
  <si>
    <t>ci</t>
  </si>
  <si>
    <t>Service Fabric cluster</t>
  </si>
  <si>
    <t>Microsoft.ServiceFabric/clusters</t>
  </si>
  <si>
    <t>sf</t>
  </si>
  <si>
    <t>Service Fabric managed cluster</t>
  </si>
  <si>
    <t>Microsoft.ServiceFabric/managedClusters</t>
  </si>
  <si>
    <t>sfmc</t>
  </si>
  <si>
    <t>Databases</t>
  </si>
  <si>
    <t>Azure Cosmos DB database</t>
  </si>
  <si>
    <t>Microsoft.DocumentDB/databaseAccounts/sqlDatabases</t>
  </si>
  <si>
    <t>cosmos</t>
  </si>
  <si>
    <t>Azure Cosmos DB for Apache Cassandra account</t>
  </si>
  <si>
    <t>Microsoft.DocumentDB/databaseAccounts</t>
  </si>
  <si>
    <t>coscas</t>
  </si>
  <si>
    <t>Azure Cosmos DB for MongoDB account</t>
  </si>
  <si>
    <t>cosmon</t>
  </si>
  <si>
    <t>Azure Cosmos DB for NoSQL account</t>
  </si>
  <si>
    <t>Microsoft.DocumentDb/databaseAccounts</t>
  </si>
  <si>
    <t>cosno</t>
  </si>
  <si>
    <t>Azure Cosmos DB for Table account</t>
  </si>
  <si>
    <t>costab</t>
  </si>
  <si>
    <t>Azure Cosmos DB for Apache Gremlin account</t>
  </si>
  <si>
    <t>cosgrm</t>
  </si>
  <si>
    <t>Azure Cosmos DB PostgreSQL cluster</t>
  </si>
  <si>
    <t>Microsoft.DBforPostgreSQL/serverGroupsv2</t>
  </si>
  <si>
    <t>cospos</t>
  </si>
  <si>
    <t>Azure Cache for Redis instance</t>
  </si>
  <si>
    <t>Microsoft.Cache/Redis</t>
  </si>
  <si>
    <t>redis</t>
  </si>
  <si>
    <t>Azure SQL Database server</t>
  </si>
  <si>
    <t>Microsoft.Sql/servers</t>
  </si>
  <si>
    <t>sql</t>
  </si>
  <si>
    <t>Azure SQL database</t>
  </si>
  <si>
    <t>Microsoft.Sql/servers/databases</t>
  </si>
  <si>
    <t>sqldb</t>
  </si>
  <si>
    <t>Azure SQL Elastic Job agent</t>
  </si>
  <si>
    <t>Microsoft.Sql/servers/jobAgents</t>
  </si>
  <si>
    <t>sqlja</t>
  </si>
  <si>
    <t>Azure SQL Elastic Pool</t>
  </si>
  <si>
    <t>Microsoft.Sql/servers/elasticpool</t>
  </si>
  <si>
    <t>sqlep</t>
  </si>
  <si>
    <t>MariaDB server</t>
  </si>
  <si>
    <t>Microsoft.DBforMariaDB/servers</t>
  </si>
  <si>
    <t>maria</t>
  </si>
  <si>
    <t>MariaDB database</t>
  </si>
  <si>
    <t>Microsoft.DBforMariaDB/servers/databases</t>
  </si>
  <si>
    <t>mariadb</t>
  </si>
  <si>
    <t>MySQL database</t>
  </si>
  <si>
    <t>Microsoft.DBforMySQL/servers</t>
  </si>
  <si>
    <t>mysql</t>
  </si>
  <si>
    <t>PostgreSQL database</t>
  </si>
  <si>
    <t>Microsoft.DBforPostgreSQL/servers</t>
  </si>
  <si>
    <t>psql</t>
  </si>
  <si>
    <t>SQL Server Stretch Database</t>
  </si>
  <si>
    <t>sqlstrdb</t>
  </si>
  <si>
    <t>SQL Managed Instance</t>
  </si>
  <si>
    <t>Microsoft.Sql/managedInstances</t>
  </si>
  <si>
    <t>sqlmi</t>
  </si>
  <si>
    <t>Developer tools</t>
  </si>
  <si>
    <t>App Configuration store</t>
  </si>
  <si>
    <t>Microsoft.AppConfiguration/configurationStores</t>
  </si>
  <si>
    <t>appcs</t>
  </si>
  <si>
    <t>Maps account</t>
  </si>
  <si>
    <t>Microsoft.Maps/accounts</t>
  </si>
  <si>
    <t>map</t>
  </si>
  <si>
    <t>SignalR</t>
  </si>
  <si>
    <t>Microsoft.SignalRService/SignalR</t>
  </si>
  <si>
    <t>sigr</t>
  </si>
  <si>
    <t>WebPubSub</t>
  </si>
  <si>
    <t>Microsoft.SignalRService/webPubSub</t>
  </si>
  <si>
    <t>wps</t>
  </si>
  <si>
    <t>DevOps</t>
  </si>
  <si>
    <t>Azure Managed Grafana</t>
  </si>
  <si>
    <t>Microsoft.Dashboard/grafana</t>
  </si>
  <si>
    <t>amg</t>
  </si>
  <si>
    <t>Integration</t>
  </si>
  <si>
    <t>API management service instance</t>
  </si>
  <si>
    <t>Microsoft.ApiManagement/service</t>
  </si>
  <si>
    <t>apim</t>
  </si>
  <si>
    <t>Integration account</t>
  </si>
  <si>
    <t>Microsoft.Logic/integrationAccounts</t>
  </si>
  <si>
    <t>ia</t>
  </si>
  <si>
    <t>Logic app</t>
  </si>
  <si>
    <t>Microsoft.Logic/workflows</t>
  </si>
  <si>
    <t>logic</t>
  </si>
  <si>
    <t>Service Bus namespace</t>
  </si>
  <si>
    <t>Microsoft.ServiceBus/namespaces</t>
  </si>
  <si>
    <t>sbns</t>
  </si>
  <si>
    <t>Service Bus queue</t>
  </si>
  <si>
    <t>Microsoft.ServiceBus/namespaces/queues</t>
  </si>
  <si>
    <t>sbq</t>
  </si>
  <si>
    <t>Service Bus topic</t>
  </si>
  <si>
    <t>Microsoft.ServiceBus/namespaces/topics</t>
  </si>
  <si>
    <t>sbt</t>
  </si>
  <si>
    <t>Service Bus topic subscription</t>
  </si>
  <si>
    <t>Microsoft.ServiceBus/namespaces/topics/subscriptions</t>
  </si>
  <si>
    <t>sbts</t>
  </si>
  <si>
    <t>Management and governance</t>
  </si>
  <si>
    <t>Automation account</t>
  </si>
  <si>
    <t>Microsoft.Automation/automationAccounts</t>
  </si>
  <si>
    <t>aa</t>
  </si>
  <si>
    <t>Azure Policy definition</t>
  </si>
  <si>
    <t>Microsoft.Authorization/policyDefinitions</t>
  </si>
  <si>
    <t>Application Insights</t>
  </si>
  <si>
    <t>Microsoft.Insights/components</t>
  </si>
  <si>
    <t>appi</t>
  </si>
  <si>
    <t>Azure Monitor action group</t>
  </si>
  <si>
    <t>Microsoft.Insights/actionGroups</t>
  </si>
  <si>
    <t>ag</t>
  </si>
  <si>
    <t>Azure Monitor data collection rule</t>
  </si>
  <si>
    <t>Microsoft.Insights/dataCollectionRules</t>
  </si>
  <si>
    <t>dcr</t>
  </si>
  <si>
    <t>Azure Monitor alert processing rule</t>
  </si>
  <si>
    <t>Microsoft.AlertsManagement/actionRules</t>
  </si>
  <si>
    <t>apr</t>
  </si>
  <si>
    <t>Blueprint (planned for deprecation)</t>
  </si>
  <si>
    <t>Microsoft.Blueprint/blueprints</t>
  </si>
  <si>
    <t>bp</t>
  </si>
  <si>
    <t>Blueprint assignment (planned for deprecation)</t>
  </si>
  <si>
    <t>Microsoft.Blueprint/blueprints/artifacts</t>
  </si>
  <si>
    <t>bpa</t>
  </si>
  <si>
    <t>Data collection endpoint</t>
  </si>
  <si>
    <t>Microsoft.Insights/dataCollectionEndpoints</t>
  </si>
  <si>
    <t>dce</t>
  </si>
  <si>
    <t>Log Analytics workspace</t>
  </si>
  <si>
    <t>Microsoft.OperationalInsights/workspaces</t>
  </si>
  <si>
    <t>log</t>
  </si>
  <si>
    <t>Log Analytics query packs</t>
  </si>
  <si>
    <t>Microsoft.OperationalInsights/querypacks</t>
  </si>
  <si>
    <t>pack</t>
  </si>
  <si>
    <t>Management group</t>
  </si>
  <si>
    <t>Microsoft.Management/managementGroups</t>
  </si>
  <si>
    <t>mg</t>
  </si>
  <si>
    <t>Microsoft Purview instance</t>
  </si>
  <si>
    <t>Microsoft.Purview/accounts</t>
  </si>
  <si>
    <t>pview</t>
  </si>
  <si>
    <t>Template specs name</t>
  </si>
  <si>
    <t>Microsoft.Resources/templateSpecs</t>
  </si>
  <si>
    <t>ts</t>
  </si>
  <si>
    <t>Migration</t>
  </si>
  <si>
    <t>Azure Migrate project</t>
  </si>
  <si>
    <t>Microsoft.Migrate/assessmentProjects</t>
  </si>
  <si>
    <t>migr</t>
  </si>
  <si>
    <t>Database Migration Service instance</t>
  </si>
  <si>
    <t>Microsoft.DataMigration/services</t>
  </si>
  <si>
    <t>dms</t>
  </si>
  <si>
    <t>Recovery Services vault</t>
  </si>
  <si>
    <t>Microsoft.RecoveryServices/vaults</t>
  </si>
  <si>
    <t>rsv</t>
  </si>
  <si>
    <t>Networking</t>
  </si>
  <si>
    <t>Application gateway</t>
  </si>
  <si>
    <t>Microsoft.Network/applicationGateways</t>
  </si>
  <si>
    <t>agw</t>
  </si>
  <si>
    <t>Application security group (ASG)</t>
  </si>
  <si>
    <t>Microsoft.Network/applicationSecurityGroups</t>
  </si>
  <si>
    <t>asg</t>
  </si>
  <si>
    <t>CDN profile</t>
  </si>
  <si>
    <t>Microsoft.Cdn/profiles</t>
  </si>
  <si>
    <t>cdnp</t>
  </si>
  <si>
    <t>CDN endpoint</t>
  </si>
  <si>
    <t>Microsoft.Cdn/profiles/endpoints</t>
  </si>
  <si>
    <t>cdne</t>
  </si>
  <si>
    <t>Connections</t>
  </si>
  <si>
    <t>Microsoft.Network/connections</t>
  </si>
  <si>
    <t>con</t>
  </si>
  <si>
    <t>DNS</t>
  </si>
  <si>
    <t>Microsoft.Network/dnsZones</t>
  </si>
  <si>
    <t>DNS forwarding ruleset</t>
  </si>
  <si>
    <t>Microsoft.Network/dnsForwardingRulesets</t>
  </si>
  <si>
    <t>dnsfrs</t>
  </si>
  <si>
    <t>DNS private resolver</t>
  </si>
  <si>
    <t>Microsoft.Network/dnsResolvers</t>
  </si>
  <si>
    <t>dnspr</t>
  </si>
  <si>
    <t>DNS private resolver inbound endpoint</t>
  </si>
  <si>
    <t>Microsoft.Network/dnsResolvers/inboundEndpoints</t>
  </si>
  <si>
    <t>in</t>
  </si>
  <si>
    <t>DNS private resolver outbound endpoint</t>
  </si>
  <si>
    <t>Microsoft.Network/dnsResolvers/outboundEndpoints</t>
  </si>
  <si>
    <t>out</t>
  </si>
  <si>
    <t>DNS zone</t>
  </si>
  <si>
    <t>Microsoft.Network/privateDnsZones</t>
  </si>
  <si>
    <t>Firewall</t>
  </si>
  <si>
    <t>Microsoft.Network/azureFirewalls</t>
  </si>
  <si>
    <t>afw</t>
  </si>
  <si>
    <t>Firewall policy</t>
  </si>
  <si>
    <t>Microsoft.Network/firewallPolicies</t>
  </si>
  <si>
    <t>afwp</t>
  </si>
  <si>
    <t>ExpressRoute circuit</t>
  </si>
  <si>
    <t>Microsoft.Network/expressRouteCircuits</t>
  </si>
  <si>
    <t>erc</t>
  </si>
  <si>
    <t>ExpressRoute direct</t>
  </si>
  <si>
    <t>Microsoft.Network/expressRoutePorts</t>
  </si>
  <si>
    <t>erd</t>
  </si>
  <si>
    <t>ExpressRoute gateway</t>
  </si>
  <si>
    <t>Microsoft.Network/virtualNetworkGateways</t>
  </si>
  <si>
    <t>ergw</t>
  </si>
  <si>
    <t>Front Door (Standard/Premium) profile</t>
  </si>
  <si>
    <t>afd</t>
  </si>
  <si>
    <t>Front Door (Standard/Premium) endpoint</t>
  </si>
  <si>
    <t>Microsoft.Cdn/profiles/afdEndpoints</t>
  </si>
  <si>
    <t>fde</t>
  </si>
  <si>
    <t>Front Door firewall policy</t>
  </si>
  <si>
    <t>Microsoft.Network/frontdoorWebApplicationFirewallPolicies</t>
  </si>
  <si>
    <t>fdfp</t>
  </si>
  <si>
    <t>Front Door (classic)</t>
  </si>
  <si>
    <t>Microsoft.Network/frontDoors</t>
  </si>
  <si>
    <t>IP group</t>
  </si>
  <si>
    <t>Microsoft.Network/ipGroups</t>
  </si>
  <si>
    <t>ipg</t>
  </si>
  <si>
    <t>Load balancer (internal)</t>
  </si>
  <si>
    <t>Microsoft.Network/loadBalancers</t>
  </si>
  <si>
    <t>lbi</t>
  </si>
  <si>
    <t>Load balancer (external)</t>
  </si>
  <si>
    <t>lbe</t>
  </si>
  <si>
    <t>Load balancer rule</t>
  </si>
  <si>
    <t>Microsoft.Network/loadBalancers/inboundNatRules</t>
  </si>
  <si>
    <t>rule</t>
  </si>
  <si>
    <t>Local network gateway</t>
  </si>
  <si>
    <t>Microsoft.Network/localNetworkGateways</t>
  </si>
  <si>
    <t>lgw</t>
  </si>
  <si>
    <t>NAT gateway</t>
  </si>
  <si>
    <t>Microsoft.Network/natGateways</t>
  </si>
  <si>
    <t>ng</t>
  </si>
  <si>
    <t>Network interface (NIC)</t>
  </si>
  <si>
    <t>Microsoft.Network/networkInterfaces</t>
  </si>
  <si>
    <t>nic</t>
  </si>
  <si>
    <t>Network security group (NSG)</t>
  </si>
  <si>
    <t>Microsoft.Network/networkSecurityGroups</t>
  </si>
  <si>
    <t>nsg</t>
  </si>
  <si>
    <t>Network security group (NSG) security rules</t>
  </si>
  <si>
    <t>Microsoft.Network/networkSecurityGroups/securityRules</t>
  </si>
  <si>
    <t>nsgsr</t>
  </si>
  <si>
    <t>Network Watcher</t>
  </si>
  <si>
    <t>Microsoft.Network/networkWatchers</t>
  </si>
  <si>
    <t>nw</t>
  </si>
  <si>
    <t>Private Link</t>
  </si>
  <si>
    <t>Microsoft.Network/privateLinkServices</t>
  </si>
  <si>
    <t>pl</t>
  </si>
  <si>
    <t>Private endpoint</t>
  </si>
  <si>
    <t>Microsoft.Network/privateEndpoints</t>
  </si>
  <si>
    <t>pep</t>
  </si>
  <si>
    <t>Public IP address</t>
  </si>
  <si>
    <t>Microsoft.Network/publicIPAddresses</t>
  </si>
  <si>
    <t>pip</t>
  </si>
  <si>
    <t>Public IP address prefix</t>
  </si>
  <si>
    <t>Microsoft.Network/publicIPPrefixes</t>
  </si>
  <si>
    <t>ippre</t>
  </si>
  <si>
    <t>Route filter</t>
  </si>
  <si>
    <t>Microsoft.Network/routeFilters</t>
  </si>
  <si>
    <t>rf</t>
  </si>
  <si>
    <t>Route server</t>
  </si>
  <si>
    <t>Microsoft.Network/virtualHubs</t>
  </si>
  <si>
    <t>rtserv</t>
  </si>
  <si>
    <t>Route table</t>
  </si>
  <si>
    <t>Microsoft.Network/routeTables</t>
  </si>
  <si>
    <t>rt</t>
  </si>
  <si>
    <t>Service endpoint policy</t>
  </si>
  <si>
    <t>Microsoft.serviceEndPointPolicies</t>
  </si>
  <si>
    <t>se</t>
  </si>
  <si>
    <t>Traffic Manager profile</t>
  </si>
  <si>
    <t>Microsoft.Network/trafficManagerProfiles</t>
  </si>
  <si>
    <t>traf</t>
  </si>
  <si>
    <t>User defined route (UDR)</t>
  </si>
  <si>
    <t>Microsoft.Network/routeTables/routes</t>
  </si>
  <si>
    <t>udr</t>
  </si>
  <si>
    <t>Virtual network</t>
  </si>
  <si>
    <t>Microsoft.Network/virtualNetworks</t>
  </si>
  <si>
    <t>vnet</t>
  </si>
  <si>
    <t>Virtual network gateway</t>
  </si>
  <si>
    <t>vgw</t>
  </si>
  <si>
    <t>Virtual network manager</t>
  </si>
  <si>
    <t>Microsoft.Network/networkManagers</t>
  </si>
  <si>
    <t>vnm</t>
  </si>
  <si>
    <t>Virtual network peering</t>
  </si>
  <si>
    <t>Microsoft.Network/virtualNetworks/virtualNetworkPeerings</t>
  </si>
  <si>
    <t>peer</t>
  </si>
  <si>
    <t>Virtual network subnet</t>
  </si>
  <si>
    <t>Microsoft.Network/virtualNetworks/subnets</t>
  </si>
  <si>
    <t>snet</t>
  </si>
  <si>
    <t>Virtual WAN</t>
  </si>
  <si>
    <t>Microsoft.Network/virtualWans</t>
  </si>
  <si>
    <t>vwan</t>
  </si>
  <si>
    <t>Virtual WAN Hub</t>
  </si>
  <si>
    <t>vhub</t>
  </si>
  <si>
    <t>Security</t>
  </si>
  <si>
    <t>Azure Bastion</t>
  </si>
  <si>
    <t>Microsoft.Network/bastionHosts</t>
  </si>
  <si>
    <t>bas</t>
  </si>
  <si>
    <t>Key vault</t>
  </si>
  <si>
    <t>Microsoft.KeyVault/vaults</t>
  </si>
  <si>
    <t>kv</t>
  </si>
  <si>
    <t>Key Vault Managed HSM</t>
  </si>
  <si>
    <t>Microsoft.KeyVault/managedHSMs</t>
  </si>
  <si>
    <t>kvmhsm</t>
  </si>
  <si>
    <t>Managed identity</t>
  </si>
  <si>
    <t>Microsoft.ManagedIdentity/userAssignedIdentities</t>
  </si>
  <si>
    <t>id</t>
  </si>
  <si>
    <t>SSH key</t>
  </si>
  <si>
    <t>Microsoft.Compute/sshPublicKeys</t>
  </si>
  <si>
    <t>sshkey</t>
  </si>
  <si>
    <t>VPN Gateway</t>
  </si>
  <si>
    <t>Microsoft.Network/vpnGateways</t>
  </si>
  <si>
    <t>vpng</t>
  </si>
  <si>
    <t>VPN connection</t>
  </si>
  <si>
    <t>Microsoft.Network/vpnGateways/vpnConnections</t>
  </si>
  <si>
    <t>vcn</t>
  </si>
  <si>
    <t>VPN site</t>
  </si>
  <si>
    <t>Microsoft.Network/vpnGateways/vpnSites</t>
  </si>
  <si>
    <t>vst</t>
  </si>
  <si>
    <t>Web Application Firewall (WAF) policy</t>
  </si>
  <si>
    <t>waf</t>
  </si>
  <si>
    <t>Web Application Firewall (WAF) policy rule group</t>
  </si>
  <si>
    <t>Microsoft.Network/firewallPolicies/ruleGroups</t>
  </si>
  <si>
    <t>wafrg</t>
  </si>
  <si>
    <t>Storage</t>
  </si>
  <si>
    <t>Azure StorSimple</t>
  </si>
  <si>
    <t>Microsoft.StorSimple/managers</t>
  </si>
  <si>
    <t>ssimp</t>
  </si>
  <si>
    <t>Backup Vault name</t>
  </si>
  <si>
    <t>Microsoft.DataProtection/backupVaults</t>
  </si>
  <si>
    <t>bvault</t>
  </si>
  <si>
    <t>Backup Vault policy</t>
  </si>
  <si>
    <t>Microsoft.DataProtection/backupVaults/backupPolicies</t>
  </si>
  <si>
    <t>bkpol</t>
  </si>
  <si>
    <t>File share</t>
  </si>
  <si>
    <t>Microsoft.Storage/storageAccounts/fileServices/shares</t>
  </si>
  <si>
    <t>share</t>
  </si>
  <si>
    <t>Storage account</t>
  </si>
  <si>
    <t>st</t>
  </si>
  <si>
    <t>Storage Sync Service name</t>
  </si>
  <si>
    <t>Microsoft.StorageSync/storageSyncServices</t>
  </si>
  <si>
    <t>sss</t>
  </si>
  <si>
    <t>Virtual desktop infrastructure</t>
  </si>
  <si>
    <t>Virtual desktop host pool</t>
  </si>
  <si>
    <t>Microsoft.DesktopVirtualization/hostPools</t>
  </si>
  <si>
    <t>vdpool</t>
  </si>
  <si>
    <t>Virtual desktop application group</t>
  </si>
  <si>
    <t>Microsoft.DesktopVirtualization/applicationGroups</t>
  </si>
  <si>
    <t>vdag</t>
  </si>
  <si>
    <t>Virtual desktop workspace</t>
  </si>
  <si>
    <t>Microsoft.DesktopVirtualization/workspaces</t>
  </si>
  <si>
    <t>vdws</t>
  </si>
  <si>
    <t>Virtual desktop scaling plan</t>
  </si>
  <si>
    <t>Microsoft.DesktopVirtualization/scalingPlans</t>
  </si>
  <si>
    <t>vdscaling</t>
  </si>
  <si>
    <t>AI + machine learning</t>
  </si>
  <si>
    <t>Microsoft.CognitiveServices/accounts (kind: AIServices)</t>
  </si>
  <si>
    <t>Microsoft.MachineLearningServices/workspaces (kind: Hub)</t>
  </si>
  <si>
    <t>Microsoft.MachineLearningServices/workspaces (kind: Project)</t>
  </si>
  <si>
    <t>Microsoft.CognitiveServices/accounts (kind: OpenAI)</t>
  </si>
  <si>
    <t>Microsoft.BotService/botServices (kind: azurebot)</t>
  </si>
  <si>
    <t>Microsoft.CognitiveServices/accounts (kind: ComputerVision)</t>
  </si>
  <si>
    <t>Microsoft.CognitiveServices/accounts (kind: ContentModerator)</t>
  </si>
  <si>
    <t>Microsoft.CognitiveServices/accounts (kind: ContentSafety)</t>
  </si>
  <si>
    <t>Microsoft.CognitiveServices/accounts (kind: CustomVision.Prediction)</t>
  </si>
  <si>
    <t>Microsoft.CognitiveServices/accounts (kind: CustomVision.Training)</t>
  </si>
  <si>
    <t>Microsoft.CognitiveServices/accounts (kind: FormRecognizer)</t>
  </si>
  <si>
    <t>Microsoft.CognitiveServices/accounts (kind: Face)</t>
  </si>
  <si>
    <t>Microsoft.CognitiveServices/accounts (kind: HealthInsights)</t>
  </si>
  <si>
    <t>Microsoft.CognitiveServices/accounts (kind: ImmersiveReader)</t>
  </si>
  <si>
    <t>Microsoft.CognitiveServices/accounts (kind: TextAnalytics)</t>
  </si>
  <si>
    <t>Microsoft.CognitiveServices/accounts (kind: SpeechServices)</t>
  </si>
  <si>
    <t>Microsoft.CognitiveServices/accounts (kind: TextTranslation)</t>
  </si>
  <si>
    <t>Microsoft.ContainerService/managedClusters/agentPools (mode: System)</t>
  </si>
  <si>
    <t>Microsoft.ContainerService/managedClusters/agentPools (mode: User)</t>
  </si>
  <si>
    <t>&lt;descriptive&gt;</t>
  </si>
  <si>
    <t>&lt;DNS domain name&gt;</t>
  </si>
  <si>
    <t>Resource Group</t>
  </si>
  <si>
    <t>Resource Name</t>
  </si>
  <si>
    <t>env</t>
  </si>
  <si>
    <t>instance</t>
  </si>
  <si>
    <t>azregion</t>
  </si>
  <si>
    <t>element2 (RSI)</t>
  </si>
  <si>
    <t>hyphenated</t>
  </si>
  <si>
    <t>Gateway Role</t>
  </si>
  <si>
    <t>Domain Name</t>
  </si>
  <si>
    <t>Private domain name</t>
  </si>
  <si>
    <t>dnsname</t>
  </si>
  <si>
    <t>alphanumeric</t>
  </si>
  <si>
    <t>structure</t>
  </si>
  <si>
    <t>typeStructure</t>
  </si>
  <si>
    <t>resourceName</t>
  </si>
  <si>
    <t>validData</t>
  </si>
  <si>
    <t>maxLength</t>
  </si>
  <si>
    <t>Errors/Warnings</t>
  </si>
  <si>
    <t>Abbr. (element1)</t>
  </si>
  <si>
    <t>App Name</t>
  </si>
  <si>
    <t>MaxLength</t>
  </si>
  <si>
    <t>uks</t>
  </si>
  <si>
    <t>Resource Group Description</t>
  </si>
  <si>
    <t>Resource Group Name</t>
  </si>
  <si>
    <t>Azure Group</t>
  </si>
  <si>
    <t>Azure Resource</t>
  </si>
  <si>
    <t>org</t>
  </si>
  <si>
    <t>dept</t>
  </si>
  <si>
    <t>Organisation</t>
  </si>
  <si>
    <t>Department</t>
  </si>
  <si>
    <t>Workload</t>
  </si>
  <si>
    <t>Environment</t>
  </si>
  <si>
    <t>Azure Region</t>
  </si>
  <si>
    <t>Client Details:</t>
  </si>
  <si>
    <t>Azure Bot Name</t>
  </si>
  <si>
    <t>AI Account Name</t>
  </si>
  <si>
    <t>Vision Name</t>
  </si>
  <si>
    <t>Insights Name</t>
  </si>
  <si>
    <t>Reader Name</t>
  </si>
  <si>
    <t>CM Name</t>
  </si>
  <si>
    <t>CS Name</t>
  </si>
  <si>
    <t>Prediction Name</t>
  </si>
  <si>
    <t>Vision Training Name</t>
  </si>
  <si>
    <t>Face Name</t>
  </si>
  <si>
    <t>Form Rec. Name</t>
  </si>
  <si>
    <t>Speech Service Name</t>
  </si>
  <si>
    <t>Text Service Name</t>
  </si>
  <si>
    <t>Translator Name</t>
  </si>
  <si>
    <t>Workspace Name</t>
  </si>
  <si>
    <t>WS Hub Name</t>
  </si>
  <si>
    <t>WS Project Name</t>
  </si>
  <si>
    <t>UK South</t>
  </si>
  <si>
    <t>North Europe</t>
  </si>
  <si>
    <t>West Europe</t>
  </si>
  <si>
    <t>France Central</t>
  </si>
  <si>
    <t>UK West</t>
  </si>
  <si>
    <t>ukw</t>
  </si>
  <si>
    <t>eun</t>
  </si>
  <si>
    <t>euw</t>
  </si>
  <si>
    <t>frc</t>
  </si>
  <si>
    <t>Description:</t>
  </si>
  <si>
    <t>e3 abbr</t>
  </si>
  <si>
    <t>e4 abbr</t>
  </si>
  <si>
    <t>e5 abbr</t>
  </si>
  <si>
    <t>HDInsight Cluster Name</t>
  </si>
  <si>
    <t>Kusto Cluster Name</t>
  </si>
  <si>
    <t>Kusto Cluster Db Name</t>
  </si>
  <si>
    <t>PBI Capacity Name</t>
  </si>
  <si>
    <t>SA Cluster Name</t>
  </si>
  <si>
    <t>Batch Account Name</t>
  </si>
  <si>
    <t>ACS Name</t>
  </si>
  <si>
    <t>Availability Set Name</t>
  </si>
  <si>
    <t>Disk Name/Purpose</t>
  </si>
  <si>
    <t>PPG Name</t>
  </si>
  <si>
    <t>Restore Point Collection Name</t>
  </si>
  <si>
    <t>Snapshot Name</t>
  </si>
  <si>
    <t>VSS Role/App Name</t>
  </si>
  <si>
    <t>VM Role/App Name</t>
  </si>
  <si>
    <t>Test Instance Name</t>
  </si>
  <si>
    <t>VM Storage Name</t>
  </si>
  <si>
    <t>AKS Cluster Name</t>
  </si>
  <si>
    <t>Agent Pool Name</t>
  </si>
  <si>
    <t>Fabric Cluster Name</t>
  </si>
  <si>
    <t>Server Name</t>
  </si>
  <si>
    <t>Database Name</t>
  </si>
  <si>
    <t>Cache Name/Purpose</t>
  </si>
  <si>
    <t>Sql MI Name</t>
  </si>
  <si>
    <t>Account Name</t>
  </si>
  <si>
    <t>Elastic Pool Name</t>
  </si>
  <si>
    <t>SQL Job Name</t>
  </si>
  <si>
    <t>APIM Name</t>
  </si>
  <si>
    <t>Workflow Name</t>
  </si>
  <si>
    <t>ServiceBus Name</t>
  </si>
  <si>
    <t>SB Queue Name</t>
  </si>
  <si>
    <t>SB Topic Name</t>
  </si>
  <si>
    <t>Route Name</t>
  </si>
  <si>
    <t>Share Name</t>
  </si>
  <si>
    <t>Action Rule Name</t>
  </si>
  <si>
    <t>SB Subscription Name</t>
  </si>
  <si>
    <t>Policy Definition</t>
  </si>
  <si>
    <t>Mgmt Group Name</t>
  </si>
  <si>
    <t>ASG Name</t>
  </si>
  <si>
    <t>Firewall Name/Role</t>
  </si>
  <si>
    <t>Bastion Hostname</t>
  </si>
  <si>
    <t>Connection Name</t>
  </si>
  <si>
    <t>Ruleset Name</t>
  </si>
  <si>
    <t>Resolver Name</t>
  </si>
  <si>
    <t>Endpoint Name</t>
  </si>
  <si>
    <t>ER Circuit Name</t>
  </si>
  <si>
    <t>ER Port Name</t>
  </si>
  <si>
    <t>Firewall Policy Name</t>
  </si>
  <si>
    <t>Front Door App/Name</t>
  </si>
  <si>
    <t>WAF Policy Name</t>
  </si>
  <si>
    <t>IP Group Name</t>
  </si>
  <si>
    <t>Load Balancer Name/Role</t>
  </si>
  <si>
    <t>NAT Rule Name</t>
  </si>
  <si>
    <t>Gateway Name</t>
  </si>
  <si>
    <t>NIC Name</t>
  </si>
  <si>
    <t>NM Name</t>
  </si>
  <si>
    <t>NSG Name</t>
  </si>
  <si>
    <t>NSG Rule Name</t>
  </si>
  <si>
    <t>WatcherName</t>
  </si>
  <si>
    <t>PIP Name</t>
  </si>
  <si>
    <t>PIPP Name</t>
  </si>
  <si>
    <t>Route Filter Name</t>
  </si>
  <si>
    <t>Route Table Name</t>
  </si>
  <si>
    <t>TM Profile Name</t>
  </si>
  <si>
    <t>Hub Name</t>
  </si>
  <si>
    <t>vNet Name/Role</t>
  </si>
  <si>
    <t>Sub-Network Name/Role</t>
  </si>
  <si>
    <t>Peer Name</t>
  </si>
  <si>
    <t>vWAN Name</t>
  </si>
  <si>
    <t>Policy Name</t>
  </si>
  <si>
    <t>Key Name</t>
  </si>
  <si>
    <t>Vault Name/Role</t>
  </si>
  <si>
    <t>MSI Name</t>
  </si>
  <si>
    <t>Rule Group Name</t>
  </si>
  <si>
    <t>VPN Connection Name</t>
  </si>
  <si>
    <t>Site Name</t>
  </si>
  <si>
    <t>Account Name/Purpose</t>
  </si>
  <si>
    <t>Storage Sync Name</t>
  </si>
  <si>
    <t>Manager Name</t>
  </si>
  <si>
    <t>AG Name/Role</t>
  </si>
  <si>
    <t>Host Pool Name/Role</t>
  </si>
  <si>
    <t>Plan Name</t>
  </si>
  <si>
    <t>Workspace Name/Role</t>
  </si>
  <si>
    <t>Resource Count</t>
  </si>
  <si>
    <t>Container Name</t>
  </si>
  <si>
    <t>Registry Name</t>
  </si>
  <si>
    <t>Group Name</t>
  </si>
  <si>
    <t>Server Group Name</t>
  </si>
  <si>
    <t>Db Account Name</t>
  </si>
  <si>
    <t>Name</t>
  </si>
  <si>
    <t>Store Name</t>
  </si>
  <si>
    <t>Blueprint Name</t>
  </si>
  <si>
    <t>Template Name</t>
  </si>
  <si>
    <t>Artifact Name</t>
  </si>
  <si>
    <t>Component Name</t>
  </si>
  <si>
    <t>Action Group Name</t>
  </si>
  <si>
    <t>Instance Name</t>
  </si>
  <si>
    <t>Rule Name</t>
  </si>
  <si>
    <t>Query Pack Name</t>
  </si>
  <si>
    <t>Service Name</t>
  </si>
  <si>
    <t>Project Name</t>
  </si>
  <si>
    <t>Profile Name</t>
  </si>
  <si>
    <t>Factory Name</t>
  </si>
  <si>
    <t>Certificate Name</t>
  </si>
  <si>
    <t>Topic Name</t>
  </si>
  <si>
    <t>Hub Name/Role</t>
  </si>
  <si>
    <t>Subscription Name</t>
  </si>
  <si>
    <t>Namespace</t>
  </si>
  <si>
    <t>Pool Name</t>
  </si>
  <si>
    <t>Environment Name</t>
  </si>
  <si>
    <t>Set Name/Purpose</t>
  </si>
  <si>
    <t>Gallery Name</t>
  </si>
  <si>
    <t>Machine Name/Role</t>
  </si>
  <si>
    <t>Link Name/Role</t>
  </si>
  <si>
    <t>Cluster Name/App</t>
  </si>
  <si>
    <t>Config Name</t>
  </si>
  <si>
    <t>Farm Name/App</t>
  </si>
  <si>
    <t>Abbreviation (3-5 chars. max.)</t>
  </si>
  <si>
    <t>Resource Abbr</t>
  </si>
  <si>
    <t>Resource Mnemonic at Start</t>
  </si>
  <si>
    <t>Resource Mnemonic at End</t>
  </si>
  <si>
    <t>Subscription</t>
  </si>
  <si>
    <t>Tenant Name</t>
  </si>
  <si>
    <t>Example: Application or Project</t>
  </si>
  <si>
    <t>Example: 'uit', 'preprod' or 'prod'</t>
  </si>
  <si>
    <t xml:space="preserve">Azure Subscription </t>
  </si>
  <si>
    <t>Azure Tenant Name or Purpose</t>
  </si>
  <si>
    <t>sub</t>
  </si>
  <si>
    <t>Element Value Exists?</t>
  </si>
  <si>
    <t>Element Abbr</t>
  </si>
  <si>
    <t xml:space="preserve">options:    </t>
  </si>
  <si>
    <t>Australia Central</t>
  </si>
  <si>
    <t>australiacentral</t>
  </si>
  <si>
    <t>Australia Central 2</t>
  </si>
  <si>
    <t>australiacentral2</t>
  </si>
  <si>
    <t>Australia East</t>
  </si>
  <si>
    <t>australiaeast</t>
  </si>
  <si>
    <t>Australia Southeast</t>
  </si>
  <si>
    <t>australiasoutheast</t>
  </si>
  <si>
    <t>Brazil South</t>
  </si>
  <si>
    <t>brazilsouth</t>
  </si>
  <si>
    <t>brs</t>
  </si>
  <si>
    <t>Brazil Southeast</t>
  </si>
  <si>
    <t>brazilsoutheast</t>
  </si>
  <si>
    <t>bse</t>
  </si>
  <si>
    <t>Brazil US</t>
  </si>
  <si>
    <t>brazilus</t>
  </si>
  <si>
    <t>bru</t>
  </si>
  <si>
    <t>Canada Central</t>
  </si>
  <si>
    <t>canadacentral</t>
  </si>
  <si>
    <t>cnc</t>
  </si>
  <si>
    <t>Canada East</t>
  </si>
  <si>
    <t>canadaeast</t>
  </si>
  <si>
    <t>cne</t>
  </si>
  <si>
    <t>Central India</t>
  </si>
  <si>
    <t>centralindia</t>
  </si>
  <si>
    <t>inc</t>
  </si>
  <si>
    <t>Central US</t>
  </si>
  <si>
    <t>centralus</t>
  </si>
  <si>
    <t>cus</t>
  </si>
  <si>
    <t>East Asia</t>
  </si>
  <si>
    <t>eastasia</t>
  </si>
  <si>
    <t>ea</t>
  </si>
  <si>
    <t>East US</t>
  </si>
  <si>
    <t>eastus</t>
  </si>
  <si>
    <t>eus</t>
  </si>
  <si>
    <t>East US 2</t>
  </si>
  <si>
    <t>eastus2</t>
  </si>
  <si>
    <t>eus2</t>
  </si>
  <si>
    <t>francecentral</t>
  </si>
  <si>
    <t>France South</t>
  </si>
  <si>
    <t>francesouth</t>
  </si>
  <si>
    <t>frs</t>
  </si>
  <si>
    <t>Germany North</t>
  </si>
  <si>
    <t>germanynorth</t>
  </si>
  <si>
    <t>Germany West Central</t>
  </si>
  <si>
    <t>germanywestcentral</t>
  </si>
  <si>
    <t>Israel Central</t>
  </si>
  <si>
    <t>israelcentral</t>
  </si>
  <si>
    <t>ilc</t>
  </si>
  <si>
    <t>Italy North</t>
  </si>
  <si>
    <t>italynorth</t>
  </si>
  <si>
    <t>itn</t>
  </si>
  <si>
    <t>Japan East</t>
  </si>
  <si>
    <t>japaneast</t>
  </si>
  <si>
    <t>jpe</t>
  </si>
  <si>
    <t>Japan West</t>
  </si>
  <si>
    <t>japanwest</t>
  </si>
  <si>
    <t>jpw</t>
  </si>
  <si>
    <t>Jio India Central</t>
  </si>
  <si>
    <t>jioindiacentral</t>
  </si>
  <si>
    <t>jic</t>
  </si>
  <si>
    <t>Jio India West</t>
  </si>
  <si>
    <t>jioindiawest</t>
  </si>
  <si>
    <t>jiw</t>
  </si>
  <si>
    <t>Korea Central</t>
  </si>
  <si>
    <t>koreacentral</t>
  </si>
  <si>
    <t>krc</t>
  </si>
  <si>
    <t>Korea South</t>
  </si>
  <si>
    <t>koreasouth</t>
  </si>
  <si>
    <t>krs</t>
  </si>
  <si>
    <t>Mexico Central</t>
  </si>
  <si>
    <t>mexicocentral</t>
  </si>
  <si>
    <t>mxc</t>
  </si>
  <si>
    <t>New Zealand North</t>
  </si>
  <si>
    <t>newzealandnorth</t>
  </si>
  <si>
    <t>nzn</t>
  </si>
  <si>
    <t>North Central US</t>
  </si>
  <si>
    <t>northcentralus</t>
  </si>
  <si>
    <t>ncus</t>
  </si>
  <si>
    <t>northeurope</t>
  </si>
  <si>
    <t>Norway East</t>
  </si>
  <si>
    <t>norwayeast</t>
  </si>
  <si>
    <t>nwe</t>
  </si>
  <si>
    <t>Norway West</t>
  </si>
  <si>
    <t>norwaywest</t>
  </si>
  <si>
    <t>nww</t>
  </si>
  <si>
    <t>Poland Central</t>
  </si>
  <si>
    <t>polandcentral</t>
  </si>
  <si>
    <t>plc</t>
  </si>
  <si>
    <t>Qatar Central</t>
  </si>
  <si>
    <t>qatarcentral</t>
  </si>
  <si>
    <t>qac</t>
  </si>
  <si>
    <t>South Africa North</t>
  </si>
  <si>
    <t>southafricanorth</t>
  </si>
  <si>
    <t>san</t>
  </si>
  <si>
    <t>South Africa West</t>
  </si>
  <si>
    <t>southafricawest</t>
  </si>
  <si>
    <t>saw</t>
  </si>
  <si>
    <t>South Central US</t>
  </si>
  <si>
    <t>southcentralus</t>
  </si>
  <si>
    <t>scus</t>
  </si>
  <si>
    <t>South India</t>
  </si>
  <si>
    <t>southindia</t>
  </si>
  <si>
    <t>ins</t>
  </si>
  <si>
    <t>Southeast Asia</t>
  </si>
  <si>
    <t>southeastasia</t>
  </si>
  <si>
    <t>sea</t>
  </si>
  <si>
    <t>Spain Central</t>
  </si>
  <si>
    <t>spaincentral</t>
  </si>
  <si>
    <t>esc</t>
  </si>
  <si>
    <t>Sweden Central</t>
  </si>
  <si>
    <t>swedencentral</t>
  </si>
  <si>
    <t>sdc</t>
  </si>
  <si>
    <t>Sweden South</t>
  </si>
  <si>
    <t>swedensouth</t>
  </si>
  <si>
    <t>sds</t>
  </si>
  <si>
    <t>Switzerland North</t>
  </si>
  <si>
    <t>switzerlandnorth</t>
  </si>
  <si>
    <t>szn</t>
  </si>
  <si>
    <t>Switzerland West</t>
  </si>
  <si>
    <t>switzerlandwest</t>
  </si>
  <si>
    <t>szw</t>
  </si>
  <si>
    <t>UAE Central</t>
  </si>
  <si>
    <t>uaecentral</t>
  </si>
  <si>
    <t>uac</t>
  </si>
  <si>
    <t>UAE North</t>
  </si>
  <si>
    <t>uaenorth</t>
  </si>
  <si>
    <t>uan</t>
  </si>
  <si>
    <t>uksouth</t>
  </si>
  <si>
    <t>ukwest</t>
  </si>
  <si>
    <t>West Central US</t>
  </si>
  <si>
    <t>westcentralus</t>
  </si>
  <si>
    <t>wcus</t>
  </si>
  <si>
    <t>westeurope</t>
  </si>
  <si>
    <t>West India</t>
  </si>
  <si>
    <t>westindia</t>
  </si>
  <si>
    <t>inw</t>
  </si>
  <si>
    <t>West US</t>
  </si>
  <si>
    <t>westus</t>
  </si>
  <si>
    <t>wus</t>
  </si>
  <si>
    <t>West US 2</t>
  </si>
  <si>
    <t>westus2</t>
  </si>
  <si>
    <t>wus2</t>
  </si>
  <si>
    <t>West US 3</t>
  </si>
  <si>
    <t>westus3</t>
  </si>
  <si>
    <t>wus3</t>
  </si>
  <si>
    <t>den</t>
  </si>
  <si>
    <t>dew</t>
  </si>
  <si>
    <t>auc</t>
  </si>
  <si>
    <t>auc2</t>
  </si>
  <si>
    <t>aue</t>
  </si>
  <si>
    <t>aus</t>
  </si>
  <si>
    <t>Naming Convention:</t>
  </si>
  <si>
    <t>e6 abbr</t>
  </si>
  <si>
    <t xml:space="preserve">Resource names are created using the same structure as the resource group, consisting of a unique name for the resource, followed by the standard naming convention. </t>
  </si>
  <si>
    <t>For each resource, you can override the default name structure in the hidden worksheet '_resources'.</t>
  </si>
  <si>
    <t>wkld</t>
  </si>
  <si>
    <t>tnt</t>
  </si>
  <si>
    <t>Resource Naming</t>
  </si>
  <si>
    <t>Value (around 3-6 chars)</t>
  </si>
  <si>
    <t>Resource Unique Name Required</t>
  </si>
  <si>
    <t>Communications Services</t>
  </si>
  <si>
    <t>Communications Service</t>
  </si>
  <si>
    <t>Email Communications Service</t>
  </si>
  <si>
    <t>email</t>
  </si>
  <si>
    <t>Email Server Name</t>
  </si>
  <si>
    <t>Microsoft.Communication/communicationservices</t>
  </si>
  <si>
    <t>Microsoft.Communication/emailservices</t>
  </si>
  <si>
    <r>
      <t xml:space="preserve">Resource Group Name Structure </t>
    </r>
    <r>
      <rPr>
        <b/>
        <sz val="12"/>
        <color rgb="FFFF0000"/>
        <rFont val="Aptos Narrow"/>
        <family val="2"/>
        <scheme val="minor"/>
      </rPr>
      <t>(define at least 3 elements)</t>
    </r>
    <r>
      <rPr>
        <b/>
        <sz val="12"/>
        <color theme="1"/>
        <rFont val="Aptos Narrow"/>
        <family val="2"/>
        <scheme val="minor"/>
      </rPr>
      <t>:</t>
    </r>
  </si>
  <si>
    <t>Region Abbr:</t>
  </si>
  <si>
    <t>Department or Business Unit</t>
  </si>
  <si>
    <t>Standard Azure Region Name (3 letter)</t>
  </si>
  <si>
    <t>count</t>
  </si>
  <si>
    <t>sameName</t>
  </si>
  <si>
    <t>sameRes</t>
  </si>
  <si>
    <t>Instance Count Same Resource</t>
  </si>
  <si>
    <t>Instance Count Same Name</t>
  </si>
  <si>
    <t>count option:</t>
  </si>
  <si>
    <t>Specific Prefix</t>
  </si>
  <si>
    <t>sameRGRes</t>
  </si>
  <si>
    <t>RGResComb</t>
  </si>
  <si>
    <t>Instance Count Same Name in 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</si>
</sst>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0"/>
      <color rgb="FF7030A0"/>
      <name val="Consolas"/>
      <family val="3"/>
    </font>
    <font>
      <b/>
      <sz val="18"/>
      <color rgb="FF7030A0"/>
      <name val="Consolas"/>
      <family val="3"/>
    </font>
    <font>
      <sz val="11"/>
      <color theme="1"/>
      <name val="Consolas"/>
      <family val="3"/>
    </font>
    <font>
      <b/>
      <sz val="16"/>
      <color rgb="FF7030A0"/>
      <name val="Consolas"/>
      <family val="3"/>
    </font>
    <font>
      <sz val="10"/>
      <color rgb="FF7030A0"/>
      <name val="Consolas"/>
      <family val="3"/>
    </font>
    <font>
      <b/>
      <sz val="12"/>
      <name val="Aptos Narrow"/>
      <family val="2"/>
      <scheme val="minor"/>
    </font>
    <font>
      <sz val="18"/>
      <color rgb="FF7030A0"/>
      <name val="Consolas"/>
      <family val="3"/>
    </font>
    <font>
      <b/>
      <sz val="16"/>
      <color theme="1"/>
      <name val="Aptos Narrow"/>
      <family val="2"/>
      <scheme val="minor"/>
    </font>
    <font>
      <b/>
      <sz val="12"/>
      <color rgb="FFFF000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2" fillId="0" borderId="0" xfId="0" applyFont="1"/>
    <xf numFmtId="0" fontId="3" fillId="2" borderId="0" xfId="0" applyFont="1" applyFill="1"/>
    <xf numFmtId="0" fontId="0" fillId="3" borderId="0" xfId="0" applyFill="1"/>
    <xf numFmtId="0" fontId="0" fillId="5" borderId="0" xfId="0" applyFill="1"/>
    <xf numFmtId="0" fontId="1" fillId="2" borderId="0" xfId="0" applyFont="1" applyFill="1"/>
    <xf numFmtId="0" fontId="3" fillId="6" borderId="1" xfId="0" applyFont="1" applyFill="1" applyBorder="1"/>
    <xf numFmtId="0" fontId="2" fillId="5" borderId="0" xfId="0" applyFont="1" applyFill="1"/>
    <xf numFmtId="0" fontId="5" fillId="5" borderId="0" xfId="0" applyFont="1" applyFill="1"/>
    <xf numFmtId="0" fontId="2" fillId="3" borderId="0" xfId="0" applyFont="1" applyFill="1"/>
    <xf numFmtId="0" fontId="0" fillId="4" borderId="1" xfId="0" applyFill="1" applyBorder="1"/>
    <xf numFmtId="0" fontId="0" fillId="2" borderId="0" xfId="0" applyFill="1"/>
    <xf numFmtId="0" fontId="3" fillId="2" borderId="0" xfId="0" applyFont="1" applyFill="1" applyAlignment="1">
      <alignment horizontal="right"/>
    </xf>
    <xf numFmtId="0" fontId="6" fillId="3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5" borderId="0" xfId="0" applyFill="1" applyProtection="1">
      <protection locked="0"/>
    </xf>
    <xf numFmtId="0" fontId="7" fillId="0" borderId="0" xfId="0" applyFont="1"/>
    <xf numFmtId="0" fontId="0" fillId="3" borderId="0" xfId="0" applyFill="1" applyAlignment="1">
      <alignment horizontal="center"/>
    </xf>
    <xf numFmtId="0" fontId="3" fillId="7" borderId="1" xfId="0" applyFont="1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8" fillId="3" borderId="0" xfId="0" applyFont="1" applyFill="1"/>
    <xf numFmtId="0" fontId="7" fillId="4" borderId="1" xfId="0" applyFont="1" applyFill="1" applyBorder="1"/>
    <xf numFmtId="0" fontId="0" fillId="3" borderId="0" xfId="0" applyFill="1" applyProtection="1">
      <protection locked="0"/>
    </xf>
    <xf numFmtId="0" fontId="0" fillId="3" borderId="0" xfId="0" quotePrefix="1" applyFill="1" applyProtection="1">
      <protection locked="0"/>
    </xf>
    <xf numFmtId="0" fontId="1" fillId="3" borderId="0" xfId="0" applyFont="1" applyFill="1"/>
    <xf numFmtId="0" fontId="1" fillId="2" borderId="1" xfId="0" applyFont="1" applyFill="1" applyBorder="1"/>
    <xf numFmtId="0" fontId="9" fillId="3" borderId="0" xfId="0" applyFont="1" applyFill="1"/>
    <xf numFmtId="0" fontId="10" fillId="4" borderId="0" xfId="0" applyFont="1" applyFill="1" applyAlignment="1">
      <alignment vertical="top"/>
    </xf>
    <xf numFmtId="0" fontId="11" fillId="4" borderId="0" xfId="0" quotePrefix="1" applyFont="1" applyFill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3" fillId="4" borderId="0" xfId="0" applyFont="1" applyFill="1" applyAlignment="1">
      <alignment vertical="top"/>
    </xf>
    <xf numFmtId="0" fontId="15" fillId="4" borderId="0" xfId="0" applyFont="1" applyFill="1" applyAlignment="1">
      <alignment vertical="top"/>
    </xf>
    <xf numFmtId="0" fontId="13" fillId="4" borderId="0" xfId="0" applyFont="1" applyFill="1"/>
    <xf numFmtId="0" fontId="16" fillId="3" borderId="0" xfId="0" applyFont="1" applyFill="1"/>
    <xf numFmtId="0" fontId="0" fillId="8" borderId="0" xfId="0" applyFill="1"/>
    <xf numFmtId="0" fontId="0" fillId="8" borderId="1" xfId="0" applyFill="1" applyBorder="1" applyProtection="1">
      <protection locked="0"/>
    </xf>
    <xf numFmtId="0" fontId="0" fillId="8" borderId="1" xfId="0" quotePrefix="1" applyFill="1" applyBorder="1" applyProtection="1">
      <protection locked="0"/>
    </xf>
    <xf numFmtId="0" fontId="8" fillId="3" borderId="0" xfId="0" applyFont="1" applyFill="1" applyAlignment="1">
      <alignment vertical="center"/>
    </xf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0" xfId="0" applyFill="1" applyAlignment="1">
      <alignment horizontal="center"/>
    </xf>
    <xf numFmtId="0" fontId="2" fillId="5" borderId="0" xfId="0" applyFont="1" applyFill="1" applyAlignment="1">
      <alignment horizontal="right"/>
    </xf>
    <xf numFmtId="0" fontId="0" fillId="8" borderId="1" xfId="0" applyFill="1" applyBorder="1"/>
    <xf numFmtId="0" fontId="7" fillId="3" borderId="0" xfId="0" applyFont="1" applyFill="1"/>
    <xf numFmtId="0" fontId="0" fillId="5" borderId="0" xfId="0" applyFill="1" applyAlignment="1">
      <alignment horizontal="left"/>
    </xf>
    <xf numFmtId="0" fontId="14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E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DC7F-3BDE-4E9C-8460-1334A7CE56B4}">
  <dimension ref="B1:L63"/>
  <sheetViews>
    <sheetView tabSelected="1" workbookViewId="0">
      <selection activeCell="C3" sqref="C3"/>
    </sheetView>
  </sheetViews>
  <sheetFormatPr defaultRowHeight="14.4" x14ac:dyDescent="0.3"/>
  <cols>
    <col min="1" max="1" width="3.44140625" style="3" customWidth="1"/>
    <col min="2" max="2" width="29.109375" style="3" bestFit="1" customWidth="1"/>
    <col min="3" max="3" width="31.44140625" style="3" customWidth="1"/>
    <col min="4" max="4" width="2.6640625" style="3" customWidth="1"/>
    <col min="5" max="5" width="35.6640625" style="3" bestFit="1" customWidth="1"/>
    <col min="6" max="6" width="2.33203125" style="3" customWidth="1"/>
    <col min="7" max="7" width="34.77734375" style="3" customWidth="1"/>
    <col min="8" max="8" width="3.77734375" style="3" customWidth="1"/>
    <col min="9" max="9" width="16.44140625" style="27" bestFit="1" customWidth="1"/>
    <col min="10" max="10" width="4.88671875" style="27" customWidth="1"/>
    <col min="11" max="11" width="14.5546875" style="4" hidden="1" customWidth="1"/>
    <col min="12" max="12" width="23.77734375" style="4" hidden="1" customWidth="1"/>
    <col min="13" max="16384" width="8.88671875" style="3"/>
  </cols>
  <sheetData>
    <row r="1" spans="2:12" x14ac:dyDescent="0.3">
      <c r="K1" s="4">
        <f>IF(C18=L1,0,1)</f>
        <v>0</v>
      </c>
      <c r="L1" s="4" t="s">
        <v>784</v>
      </c>
    </row>
    <row r="2" spans="2:12" ht="15.6" x14ac:dyDescent="0.3">
      <c r="B2" s="13" t="s">
        <v>635</v>
      </c>
      <c r="C2" s="9" t="s">
        <v>662</v>
      </c>
      <c r="D2" s="9"/>
      <c r="E2" s="9" t="s">
        <v>782</v>
      </c>
      <c r="L2" s="4" t="s">
        <v>785</v>
      </c>
    </row>
    <row r="3" spans="2:12" x14ac:dyDescent="0.3">
      <c r="B3" s="2" t="s">
        <v>630</v>
      </c>
      <c r="C3" s="48"/>
      <c r="D3" s="32"/>
      <c r="E3" s="48"/>
      <c r="K3" s="54" t="str" cm="1">
        <f t="array" ref="K3">_xlfn._xlws.FILTER(element_selection, element_selection&lt;&gt;"")</f>
        <v>Azure Region</v>
      </c>
      <c r="L3" s="51" t="str">
        <f>IF(ISBLANK(org),"",B3)</f>
        <v/>
      </c>
    </row>
    <row r="4" spans="2:12" x14ac:dyDescent="0.3">
      <c r="B4" s="2" t="s">
        <v>631</v>
      </c>
      <c r="C4" s="48"/>
      <c r="D4" s="32"/>
      <c r="E4" s="48"/>
      <c r="G4" s="30" t="s">
        <v>966</v>
      </c>
      <c r="L4" s="52" t="str">
        <f>IF(ISBLANK(dept),"",B4)</f>
        <v/>
      </c>
    </row>
    <row r="5" spans="2:12" x14ac:dyDescent="0.3">
      <c r="B5" s="2" t="s">
        <v>787</v>
      </c>
      <c r="C5" s="48"/>
      <c r="D5" s="32"/>
      <c r="E5" s="48"/>
      <c r="G5" s="30" t="s">
        <v>791</v>
      </c>
      <c r="L5" s="52" t="str">
        <f>IF(ISBLANK(tnt),"",B5)</f>
        <v/>
      </c>
    </row>
    <row r="6" spans="2:12" x14ac:dyDescent="0.3">
      <c r="B6" s="2" t="s">
        <v>786</v>
      </c>
      <c r="C6" s="48"/>
      <c r="D6" s="32"/>
      <c r="E6" s="48"/>
      <c r="G6" s="30" t="s">
        <v>790</v>
      </c>
      <c r="L6" s="52" t="str">
        <f>IF(ISBLANK(sub),"",B6)</f>
        <v/>
      </c>
    </row>
    <row r="7" spans="2:12" x14ac:dyDescent="0.3">
      <c r="B7" s="2" t="s">
        <v>632</v>
      </c>
      <c r="C7" s="48"/>
      <c r="D7" s="32"/>
      <c r="E7" s="48"/>
      <c r="G7" s="30" t="s">
        <v>788</v>
      </c>
      <c r="L7" s="52" t="str">
        <f>IF(ISBLANK(wkld),"",B7)</f>
        <v/>
      </c>
    </row>
    <row r="8" spans="2:12" x14ac:dyDescent="0.3">
      <c r="B8" s="2" t="s">
        <v>633</v>
      </c>
      <c r="C8" s="48"/>
      <c r="D8" s="32"/>
      <c r="E8" s="48"/>
      <c r="G8" s="30" t="s">
        <v>789</v>
      </c>
      <c r="L8" s="52" t="str">
        <f>IF(ISBLANK(env),"",B8)</f>
        <v/>
      </c>
    </row>
    <row r="9" spans="2:12" ht="6" customHeight="1" x14ac:dyDescent="0.3">
      <c r="L9" s="53" t="str">
        <f>IF(ISBLANK(E10),"",B10)</f>
        <v>Azure Region</v>
      </c>
    </row>
    <row r="10" spans="2:12" x14ac:dyDescent="0.3">
      <c r="B10" s="2" t="s">
        <v>634</v>
      </c>
      <c r="C10" s="48"/>
      <c r="D10" s="32"/>
      <c r="E10" s="10" t="str">
        <f>IF(ISBLANK(C10),"",azregion)</f>
        <v/>
      </c>
      <c r="G10" s="30" t="s">
        <v>967</v>
      </c>
      <c r="K10" s="55" t="s">
        <v>965</v>
      </c>
      <c r="L10" s="25" t="str">
        <f>IF(ISBLANK(C10),"unk",VLOOKUP(C10,azregion_lookup,2,0))</f>
        <v>unk</v>
      </c>
    </row>
    <row r="12" spans="2:12" ht="15.6" x14ac:dyDescent="0.3">
      <c r="B12" s="13" t="s">
        <v>964</v>
      </c>
      <c r="E12" s="59" t="s">
        <v>948</v>
      </c>
      <c r="F12" s="59"/>
      <c r="G12" s="59"/>
      <c r="H12" s="59"/>
      <c r="I12" s="59"/>
      <c r="K12" s="7" t="s">
        <v>794</v>
      </c>
      <c r="L12" s="7" t="s">
        <v>793</v>
      </c>
    </row>
    <row r="13" spans="2:12" ht="23.4" customHeight="1" x14ac:dyDescent="0.3">
      <c r="B13" s="50" t="str">
        <f>"note: elements 1 and "&amp;IF(abbrAtEnd,L18+2,2)&amp;" are defined on the 'Resources' tab, per resource"</f>
        <v>note: elements 1 and 2 are defined on the 'Resources' tab, per resource</v>
      </c>
      <c r="D13" s="33"/>
      <c r="E13" s="60" t="e">
        <f>IF(abbrAtEnd,"","type+")&amp;"name+"&amp;K14&amp;"+"&amp;K15&amp;"+"&amp;K16&amp;IF(ISBLANK(C17),"","+"&amp;K17)&amp;IF(abbrAtEnd,"+type","")&amp;"+nnn"</f>
        <v>#N/A</v>
      </c>
      <c r="F13" s="60"/>
      <c r="G13" s="60"/>
      <c r="H13" s="60"/>
      <c r="I13" s="60"/>
    </row>
    <row r="14" spans="2:12" ht="14.4" customHeight="1" x14ac:dyDescent="0.3">
      <c r="B14" s="12" t="str">
        <f>"element "&amp;3-abbrAtEnd&amp;":    "</f>
        <v xml:space="preserve">element 3:    </v>
      </c>
      <c r="C14" s="49"/>
      <c r="D14" s="33"/>
      <c r="E14" s="60"/>
      <c r="F14" s="60"/>
      <c r="G14" s="60"/>
      <c r="H14" s="60"/>
      <c r="I14" s="60"/>
      <c r="K14" s="4" t="e">
        <f>VLOOKUP(C14,elements_lookup,2,0)</f>
        <v>#N/A</v>
      </c>
      <c r="L14" s="4" cm="1">
        <f t="array" aca="1" ref="L14" ca="1">IF(ISNA(K14),0,IF(ISBLANK(INDIRECT(K14)),0,1))</f>
        <v>0</v>
      </c>
    </row>
    <row r="15" spans="2:12" ht="14.4" customHeight="1" x14ac:dyDescent="0.3">
      <c r="B15" s="12" t="str">
        <f>"element "&amp;4-abbrAtEnd&amp;":    "</f>
        <v xml:space="preserve">element 4:    </v>
      </c>
      <c r="C15" s="49"/>
      <c r="D15" s="33"/>
      <c r="E15" s="43" t="str">
        <f ca="1">IF(L18&lt;4,"","Where:     name = unique name")</f>
        <v/>
      </c>
      <c r="F15" s="44"/>
      <c r="G15" s="43" t="str">
        <f ca="1">IF(L16,K16&amp;" = "&amp;structure_e5,"")</f>
        <v/>
      </c>
      <c r="H15" s="37"/>
      <c r="I15" s="37"/>
      <c r="K15" s="4" t="e">
        <f>VLOOKUP(C15,elements_lookup,2,0)</f>
        <v>#N/A</v>
      </c>
      <c r="L15" s="4" cm="1">
        <f t="array" aca="1" ref="L15" ca="1">IF(ISNA(K15),0,IF(ISBLANK(INDIRECT(K15)),0,1))</f>
        <v>0</v>
      </c>
    </row>
    <row r="16" spans="2:12" ht="14.4" customHeight="1" x14ac:dyDescent="0.3">
      <c r="B16" s="12" t="str">
        <f>"element "&amp;5-abbrAtEnd&amp;":    "</f>
        <v xml:space="preserve">element 5:    </v>
      </c>
      <c r="C16" s="49"/>
      <c r="D16" s="33"/>
      <c r="E16" s="43" t="str">
        <f ca="1">IF(L14,"           "&amp;K14&amp;" = "&amp;structure_e3,"")</f>
        <v/>
      </c>
      <c r="F16" s="44"/>
      <c r="G16" s="43" t="str">
        <f ca="1">IF(AND(L17,NOT(ISBLANK(structure_e6))),K17&amp;" = "&amp;structure_e6,"")</f>
        <v/>
      </c>
      <c r="H16" s="37"/>
      <c r="I16" s="37"/>
      <c r="K16" s="4" t="e">
        <f>VLOOKUP(C16,elements_lookup,2,0)</f>
        <v>#N/A</v>
      </c>
      <c r="L16" s="4" cm="1">
        <f t="array" aca="1" ref="L16" ca="1">IF(ISNA(K16),0,IF(ISBLANK(INDIRECT(K16)),0,1))</f>
        <v>0</v>
      </c>
    </row>
    <row r="17" spans="2:12" x14ac:dyDescent="0.3">
      <c r="B17" s="12" t="str">
        <f>"element "&amp;6-abbrAtEnd&amp;" (can be blank):    "</f>
        <v xml:space="preserve">element 6 (can be blank):    </v>
      </c>
      <c r="C17" s="49"/>
      <c r="D17" s="32"/>
      <c r="E17" s="43" t="str">
        <f ca="1">IF(L15,"           "&amp;K15&amp;" = "&amp;structure_e4,"")</f>
        <v/>
      </c>
      <c r="F17" s="38"/>
      <c r="G17" s="43" t="str">
        <f ca="1">IF(L18&lt;4,"","type = resource type/mnemonic")</f>
        <v/>
      </c>
      <c r="H17" s="39"/>
      <c r="I17" s="40"/>
      <c r="K17" s="4" t="str">
        <f>IF(ISBLANK(C17),"",VLOOKUP(C17,elements_lookup,2,0))</f>
        <v/>
      </c>
      <c r="L17" s="4" cm="1">
        <f t="array" aca="1" ref="L17" ca="1">IF(K17="",1,IF(ISBLANK(INDIRECT(K17)),0,1))</f>
        <v>1</v>
      </c>
    </row>
    <row r="18" spans="2:12" x14ac:dyDescent="0.3">
      <c r="B18" s="12" t="s">
        <v>795</v>
      </c>
      <c r="C18" s="48" t="s">
        <v>784</v>
      </c>
      <c r="E18" s="41"/>
      <c r="F18" s="41"/>
      <c r="G18" s="45" t="str">
        <f ca="1">IF(L18&lt;4,"","nnn = numeric count of same resource type")</f>
        <v/>
      </c>
      <c r="H18" s="41"/>
      <c r="I18" s="42"/>
      <c r="L18" s="4">
        <f ca="1">SUM(L14:L17)</f>
        <v>1</v>
      </c>
    </row>
    <row r="19" spans="2:12" x14ac:dyDescent="0.3">
      <c r="G19" s="36"/>
    </row>
    <row r="20" spans="2:12" x14ac:dyDescent="0.3">
      <c r="B20" s="35" t="s">
        <v>624</v>
      </c>
      <c r="C20" s="35" t="s">
        <v>974</v>
      </c>
      <c r="D20" s="34"/>
      <c r="E20" s="35" t="s">
        <v>625</v>
      </c>
      <c r="G20" s="6" t="s">
        <v>619</v>
      </c>
      <c r="I20" s="28" t="s">
        <v>748</v>
      </c>
      <c r="K20" s="7" t="s">
        <v>617</v>
      </c>
      <c r="L20" s="7" t="s">
        <v>605</v>
      </c>
    </row>
    <row r="21" spans="2:12" x14ac:dyDescent="0.3">
      <c r="B21" s="48"/>
      <c r="C21" s="48"/>
      <c r="D21" s="32"/>
      <c r="E21" s="10" t="str" cm="1">
        <f t="array" aca="1" ref="E21" ca="1">IF(K21,IF(abbrAtEnd,"","rg-")&amp;C21&amp;"-"&amp;INDIRECT($K$14)&amp;"-"&amp;INDIRECT($K$15)&amp;"-"&amp;INDIRECT($K$16)&amp;IF($K$17="","","-"&amp;INDIRECT($K$17))&amp;IF(abbrAtEnd,"-rg","")&amp;"-"&amp;TEXT(L21,"000"),"")</f>
        <v/>
      </c>
      <c r="G21" s="31" t="str">
        <f t="shared" ref="G21:G62" ca="1" si="0">IF(K21,IF($L$18&lt;4,"Abbreviations missing in selected name structure",IF(K21,IF(LEN(E21)&gt;90,"Name too Long (length: "&amp;LEN(E21)&amp;", max. 90)","None"),"")),"")</f>
        <v/>
      </c>
      <c r="I21" s="29" t="str">
        <f ca="1">IF(E21="","",COUNTIF(rg_selection,Entities!E21))</f>
        <v/>
      </c>
      <c r="K21" s="4">
        <f t="shared" ref="K21:K26" ca="1" si="1">IF(COUNTIF(B21:C21,"*")+COUNTIF($C$10,"*")+$L$18=7,1,0)</f>
        <v>0</v>
      </c>
      <c r="L21" s="4">
        <f>COUNTIF($C$20:C21,C21)</f>
        <v>0</v>
      </c>
    </row>
    <row r="22" spans="2:12" x14ac:dyDescent="0.3">
      <c r="B22" s="48"/>
      <c r="C22" s="48"/>
      <c r="D22" s="32"/>
      <c r="E22" s="10" t="str" cm="1">
        <f t="array" aca="1" ref="E22" ca="1">IF(K22,IF(abbrAtEnd,"","rg-")&amp;C22&amp;"-"&amp;INDIRECT($K$14)&amp;"-"&amp;INDIRECT($K$15)&amp;"-"&amp;INDIRECT($K$16)&amp;IF($K$17="","","-"&amp;INDIRECT($K$17))&amp;IF(abbrAtEnd,"-rg","")&amp;"-"&amp;TEXT(L22,"000"),"")</f>
        <v/>
      </c>
      <c r="G22" s="31" t="str">
        <f t="shared" ca="1" si="0"/>
        <v/>
      </c>
      <c r="I22" s="29" t="str">
        <f ca="1">IF(E22="","",COUNTIF(rg_selection,Entities!E22))</f>
        <v/>
      </c>
      <c r="K22" s="4">
        <f t="shared" ca="1" si="1"/>
        <v>0</v>
      </c>
      <c r="L22" s="4">
        <f>COUNTIF($C$20:C22,C22)</f>
        <v>0</v>
      </c>
    </row>
    <row r="23" spans="2:12" x14ac:dyDescent="0.3">
      <c r="B23" s="48"/>
      <c r="C23" s="48"/>
      <c r="D23" s="32"/>
      <c r="E23" s="10" t="str" cm="1">
        <f t="array" aca="1" ref="E23" ca="1">IF(K23,IF(abbrAtEnd,"","rg-")&amp;C23&amp;"-"&amp;INDIRECT($K$14)&amp;"-"&amp;INDIRECT($K$15)&amp;"-"&amp;INDIRECT($K$16)&amp;IF($K$17="","","-"&amp;INDIRECT($K$17))&amp;IF(abbrAtEnd,"-rg","")&amp;"-"&amp;TEXT(L23,"000"),"")</f>
        <v/>
      </c>
      <c r="G23" s="31" t="str">
        <f t="shared" ca="1" si="0"/>
        <v/>
      </c>
      <c r="I23" s="29" t="str">
        <f ca="1">IF(E23="","",COUNTIF(rg_selection,Entities!E23))</f>
        <v/>
      </c>
      <c r="K23" s="4">
        <f t="shared" ca="1" si="1"/>
        <v>0</v>
      </c>
      <c r="L23" s="4">
        <f>COUNTIF($C$20:C23,C23)</f>
        <v>0</v>
      </c>
    </row>
    <row r="24" spans="2:12" x14ac:dyDescent="0.3">
      <c r="B24" s="48"/>
      <c r="C24" s="48"/>
      <c r="D24" s="32"/>
      <c r="E24" s="10" t="str" cm="1">
        <f t="array" aca="1" ref="E24" ca="1">IF(K24,IF(abbrAtEnd,"","rg-")&amp;C24&amp;"-"&amp;INDIRECT($K$14)&amp;"-"&amp;INDIRECT($K$15)&amp;"-"&amp;INDIRECT($K$16)&amp;IF($K$17="","","-"&amp;INDIRECT($K$17))&amp;IF(abbrAtEnd,"-rg","")&amp;"-"&amp;TEXT(L24,"000"),"")</f>
        <v/>
      </c>
      <c r="G24" s="31" t="str">
        <f t="shared" ca="1" si="0"/>
        <v/>
      </c>
      <c r="I24" s="29" t="str">
        <f ca="1">IF(E24="","",COUNTIF(rg_selection,Entities!E24))</f>
        <v/>
      </c>
      <c r="K24" s="4">
        <f t="shared" ca="1" si="1"/>
        <v>0</v>
      </c>
      <c r="L24" s="4">
        <f>COUNTIF($C$20:C24,C24)</f>
        <v>0</v>
      </c>
    </row>
    <row r="25" spans="2:12" x14ac:dyDescent="0.3">
      <c r="B25" s="48"/>
      <c r="C25" s="48"/>
      <c r="D25" s="32"/>
      <c r="E25" s="10" t="str" cm="1">
        <f t="array" aca="1" ref="E25" ca="1">IF(K25,IF(abbrAtEnd,"","rg-")&amp;C25&amp;"-"&amp;INDIRECT($K$14)&amp;"-"&amp;INDIRECT($K$15)&amp;"-"&amp;INDIRECT($K$16)&amp;IF($K$17="","","-"&amp;INDIRECT($K$17))&amp;IF(abbrAtEnd,"-rg","")&amp;"-"&amp;TEXT(L25,"000"),"")</f>
        <v/>
      </c>
      <c r="G25" s="31" t="str">
        <f t="shared" ca="1" si="0"/>
        <v/>
      </c>
      <c r="I25" s="29" t="str">
        <f ca="1">IF(E25="","",COUNTIF(rg_selection,Entities!E25))</f>
        <v/>
      </c>
      <c r="K25" s="4">
        <f t="shared" ca="1" si="1"/>
        <v>0</v>
      </c>
      <c r="L25" s="4">
        <f>COUNTIF($C$20:C25,C25)</f>
        <v>0</v>
      </c>
    </row>
    <row r="26" spans="2:12" x14ac:dyDescent="0.3">
      <c r="B26" s="48"/>
      <c r="C26" s="48"/>
      <c r="D26" s="32"/>
      <c r="E26" s="10" t="str" cm="1">
        <f t="array" aca="1" ref="E26" ca="1">IF(K26,IF(abbrAtEnd,"","rg-")&amp;C26&amp;"-"&amp;INDIRECT($K$14)&amp;"-"&amp;INDIRECT($K$15)&amp;"-"&amp;INDIRECT($K$16)&amp;IF($K$17="","","-"&amp;INDIRECT($K$17))&amp;IF(abbrAtEnd,"-rg","")&amp;"-"&amp;TEXT(L26,"000"),"")</f>
        <v/>
      </c>
      <c r="G26" s="31" t="str">
        <f t="shared" ca="1" si="0"/>
        <v/>
      </c>
      <c r="I26" s="29" t="str">
        <f ca="1">IF(E26="","",COUNTIF(rg_selection,Entities!E26))</f>
        <v/>
      </c>
      <c r="K26" s="4">
        <f t="shared" ca="1" si="1"/>
        <v>0</v>
      </c>
      <c r="L26" s="4">
        <f>COUNTIF($C$20:C26,C26)</f>
        <v>0</v>
      </c>
    </row>
    <row r="27" spans="2:12" x14ac:dyDescent="0.3">
      <c r="B27" s="48"/>
      <c r="C27" s="48"/>
      <c r="D27" s="32"/>
      <c r="E27" s="10" t="str" cm="1">
        <f t="array" aca="1" ref="E27" ca="1">IF(K27,IF(abbrAtEnd,"","rg-")&amp;C27&amp;"-"&amp;INDIRECT($K$14)&amp;"-"&amp;INDIRECT($K$15)&amp;"-"&amp;INDIRECT($K$16)&amp;IF($K$17="","","-"&amp;INDIRECT($K$17))&amp;IF(abbrAtEnd,"-rg","")&amp;"-"&amp;TEXT(L27,"000"),"")</f>
        <v/>
      </c>
      <c r="G27" s="31" t="str">
        <f t="shared" ca="1" si="0"/>
        <v/>
      </c>
      <c r="I27" s="29" t="str">
        <f ca="1">IF(E27="","",COUNTIF(rg_selection,Entities!E27))</f>
        <v/>
      </c>
      <c r="K27" s="4">
        <f t="shared" ref="K27:K62" ca="1" si="2">IF(COUNTIF(B27:C27,"*")+COUNTIF($C$10,"*")+$L$18=7,1,0)</f>
        <v>0</v>
      </c>
      <c r="L27" s="4">
        <f>COUNTIF($C$20:C27,C27)</f>
        <v>0</v>
      </c>
    </row>
    <row r="28" spans="2:12" x14ac:dyDescent="0.3">
      <c r="B28" s="48"/>
      <c r="C28" s="48"/>
      <c r="D28" s="32"/>
      <c r="E28" s="10" t="str" cm="1">
        <f t="array" aca="1" ref="E28" ca="1">IF(K28,IF(abbrAtEnd,"","rg-")&amp;C28&amp;"-"&amp;INDIRECT($K$14)&amp;"-"&amp;INDIRECT($K$15)&amp;"-"&amp;INDIRECT($K$16)&amp;IF($K$17="","","-"&amp;INDIRECT($K$17))&amp;IF(abbrAtEnd,"-rg","")&amp;"-"&amp;TEXT(L28,"000"),"")</f>
        <v/>
      </c>
      <c r="G28" s="31" t="str">
        <f t="shared" ca="1" si="0"/>
        <v/>
      </c>
      <c r="I28" s="29" t="str">
        <f ca="1">IF(E28="","",COUNTIF(rg_selection,Entities!E28))</f>
        <v/>
      </c>
      <c r="K28" s="4">
        <f t="shared" ca="1" si="2"/>
        <v>0</v>
      </c>
      <c r="L28" s="4">
        <f>COUNTIF($C$20:C28,C28)</f>
        <v>0</v>
      </c>
    </row>
    <row r="29" spans="2:12" x14ac:dyDescent="0.3">
      <c r="B29" s="48"/>
      <c r="C29" s="48"/>
      <c r="D29" s="32"/>
      <c r="E29" s="10" t="str" cm="1">
        <f t="array" aca="1" ref="E29" ca="1">IF(K29,IF(abbrAtEnd,"","rg-")&amp;C29&amp;"-"&amp;INDIRECT($K$14)&amp;"-"&amp;INDIRECT($K$15)&amp;"-"&amp;INDIRECT($K$16)&amp;IF($K$17="","","-"&amp;INDIRECT($K$17))&amp;IF(abbrAtEnd,"-rg","")&amp;"-"&amp;TEXT(L29,"000"),"")</f>
        <v/>
      </c>
      <c r="G29" s="31" t="str">
        <f t="shared" ca="1" si="0"/>
        <v/>
      </c>
      <c r="I29" s="29" t="str">
        <f ca="1">IF(E29="","",COUNTIF(rg_selection,Entities!E29))</f>
        <v/>
      </c>
      <c r="K29" s="4">
        <f t="shared" ca="1" si="2"/>
        <v>0</v>
      </c>
      <c r="L29" s="4">
        <f>COUNTIF($C$20:C29,C29)</f>
        <v>0</v>
      </c>
    </row>
    <row r="30" spans="2:12" x14ac:dyDescent="0.3">
      <c r="B30" s="48"/>
      <c r="C30" s="48"/>
      <c r="D30" s="32"/>
      <c r="E30" s="10" t="str" cm="1">
        <f t="array" aca="1" ref="E30" ca="1">IF(K30,IF(abbrAtEnd,"","rg-")&amp;C30&amp;"-"&amp;INDIRECT($K$14)&amp;"-"&amp;INDIRECT($K$15)&amp;"-"&amp;INDIRECT($K$16)&amp;IF($K$17="","","-"&amp;INDIRECT($K$17))&amp;IF(abbrAtEnd,"-rg","")&amp;"-"&amp;TEXT(L30,"000"),"")</f>
        <v/>
      </c>
      <c r="G30" s="31" t="str">
        <f t="shared" ca="1" si="0"/>
        <v/>
      </c>
      <c r="I30" s="29" t="str">
        <f ca="1">IF(E30="","",COUNTIF(rg_selection,Entities!E30))</f>
        <v/>
      </c>
      <c r="K30" s="4">
        <f t="shared" ca="1" si="2"/>
        <v>0</v>
      </c>
      <c r="L30" s="4">
        <f>COUNTIF($C$20:C30,C30)</f>
        <v>0</v>
      </c>
    </row>
    <row r="31" spans="2:12" x14ac:dyDescent="0.3">
      <c r="B31" s="48"/>
      <c r="C31" s="48"/>
      <c r="D31" s="32"/>
      <c r="E31" s="10" t="str" cm="1">
        <f t="array" aca="1" ref="E31" ca="1">IF(K31,IF(abbrAtEnd,"","rg-")&amp;C31&amp;"-"&amp;INDIRECT($K$14)&amp;"-"&amp;INDIRECT($K$15)&amp;"-"&amp;INDIRECT($K$16)&amp;IF($K$17="","","-"&amp;INDIRECT($K$17))&amp;IF(abbrAtEnd,"-rg","")&amp;"-"&amp;TEXT(L31,"000"),"")</f>
        <v/>
      </c>
      <c r="G31" s="31" t="str">
        <f t="shared" ca="1" si="0"/>
        <v/>
      </c>
      <c r="I31" s="29" t="str">
        <f ca="1">IF(E31="","",COUNTIF(rg_selection,Entities!E31))</f>
        <v/>
      </c>
      <c r="K31" s="4">
        <f t="shared" ca="1" si="2"/>
        <v>0</v>
      </c>
      <c r="L31" s="4">
        <f>COUNTIF($C$20:C31,C31)</f>
        <v>0</v>
      </c>
    </row>
    <row r="32" spans="2:12" x14ac:dyDescent="0.3">
      <c r="B32" s="48"/>
      <c r="C32" s="48"/>
      <c r="D32" s="32"/>
      <c r="E32" s="10" t="str" cm="1">
        <f t="array" aca="1" ref="E32" ca="1">IF(K32,IF(abbrAtEnd,"","rg-")&amp;C32&amp;"-"&amp;INDIRECT($K$14)&amp;"-"&amp;INDIRECT($K$15)&amp;"-"&amp;INDIRECT($K$16)&amp;IF($K$17="","","-"&amp;INDIRECT($K$17))&amp;IF(abbrAtEnd,"-rg","")&amp;"-"&amp;TEXT(L32,"000"),"")</f>
        <v/>
      </c>
      <c r="G32" s="31" t="str">
        <f t="shared" ca="1" si="0"/>
        <v/>
      </c>
      <c r="I32" s="29" t="str">
        <f ca="1">IF(E32="","",COUNTIF(rg_selection,Entities!E32))</f>
        <v/>
      </c>
      <c r="K32" s="4">
        <f t="shared" ca="1" si="2"/>
        <v>0</v>
      </c>
      <c r="L32" s="4">
        <f>COUNTIF($C$20:C32,C32)</f>
        <v>0</v>
      </c>
    </row>
    <row r="33" spans="2:12" x14ac:dyDescent="0.3">
      <c r="B33" s="48"/>
      <c r="C33" s="48"/>
      <c r="D33" s="32"/>
      <c r="E33" s="10" t="str" cm="1">
        <f t="array" aca="1" ref="E33" ca="1">IF(K33,IF(abbrAtEnd,"","rg-")&amp;C33&amp;"-"&amp;INDIRECT($K$14)&amp;"-"&amp;INDIRECT($K$15)&amp;"-"&amp;INDIRECT($K$16)&amp;IF($K$17="","","-"&amp;INDIRECT($K$17))&amp;IF(abbrAtEnd,"-rg","")&amp;"-"&amp;TEXT(L33,"000"),"")</f>
        <v/>
      </c>
      <c r="G33" s="31" t="str">
        <f t="shared" ca="1" si="0"/>
        <v/>
      </c>
      <c r="I33" s="29" t="str">
        <f ca="1">IF(E33="","",COUNTIF(rg_selection,Entities!E33))</f>
        <v/>
      </c>
      <c r="K33" s="4">
        <f t="shared" ca="1" si="2"/>
        <v>0</v>
      </c>
      <c r="L33" s="4">
        <f>COUNTIF($C$20:C33,C33)</f>
        <v>0</v>
      </c>
    </row>
    <row r="34" spans="2:12" x14ac:dyDescent="0.3">
      <c r="B34" s="48"/>
      <c r="C34" s="48"/>
      <c r="D34" s="32"/>
      <c r="E34" s="10" t="str" cm="1">
        <f t="array" aca="1" ref="E34" ca="1">IF(K34,IF(abbrAtEnd,"","rg-")&amp;C34&amp;"-"&amp;INDIRECT($K$14)&amp;"-"&amp;INDIRECT($K$15)&amp;"-"&amp;INDIRECT($K$16)&amp;IF($K$17="","","-"&amp;INDIRECT($K$17))&amp;IF(abbrAtEnd,"-rg","")&amp;"-"&amp;TEXT(L34,"000"),"")</f>
        <v/>
      </c>
      <c r="G34" s="31" t="str">
        <f t="shared" ca="1" si="0"/>
        <v/>
      </c>
      <c r="I34" s="29" t="str">
        <f ca="1">IF(E34="","",COUNTIF(rg_selection,Entities!E34))</f>
        <v/>
      </c>
      <c r="K34" s="4">
        <f t="shared" ca="1" si="2"/>
        <v>0</v>
      </c>
      <c r="L34" s="4">
        <f>COUNTIF($C$20:C34,C34)</f>
        <v>0</v>
      </c>
    </row>
    <row r="35" spans="2:12" x14ac:dyDescent="0.3">
      <c r="B35" s="48"/>
      <c r="C35" s="48"/>
      <c r="D35" s="32"/>
      <c r="E35" s="10" t="str" cm="1">
        <f t="array" aca="1" ref="E35" ca="1">IF(K35,IF(abbrAtEnd,"","rg-")&amp;C35&amp;"-"&amp;INDIRECT($K$14)&amp;"-"&amp;INDIRECT($K$15)&amp;"-"&amp;INDIRECT($K$16)&amp;IF($K$17="","","-"&amp;INDIRECT($K$17))&amp;IF(abbrAtEnd,"-rg","")&amp;"-"&amp;TEXT(L35,"000"),"")</f>
        <v/>
      </c>
      <c r="G35" s="31" t="str">
        <f t="shared" ca="1" si="0"/>
        <v/>
      </c>
      <c r="I35" s="29" t="str">
        <f ca="1">IF(E35="","",COUNTIF(rg_selection,Entities!E35))</f>
        <v/>
      </c>
      <c r="K35" s="4">
        <f t="shared" ca="1" si="2"/>
        <v>0</v>
      </c>
      <c r="L35" s="4">
        <f>COUNTIF($C$20:C35,C35)</f>
        <v>0</v>
      </c>
    </row>
    <row r="36" spans="2:12" x14ac:dyDescent="0.3">
      <c r="B36" s="48"/>
      <c r="C36" s="48"/>
      <c r="D36" s="32"/>
      <c r="E36" s="10" t="str" cm="1">
        <f t="array" aca="1" ref="E36" ca="1">IF(K36,IF(abbrAtEnd,"","rg-")&amp;C36&amp;"-"&amp;INDIRECT($K$14)&amp;"-"&amp;INDIRECT($K$15)&amp;"-"&amp;INDIRECT($K$16)&amp;IF($K$17="","","-"&amp;INDIRECT($K$17))&amp;IF(abbrAtEnd,"-rg","")&amp;"-"&amp;TEXT(L36,"000"),"")</f>
        <v/>
      </c>
      <c r="G36" s="31" t="str">
        <f t="shared" ca="1" si="0"/>
        <v/>
      </c>
      <c r="I36" s="29" t="str">
        <f ca="1">IF(E36="","",COUNTIF(rg_selection,Entities!E36))</f>
        <v/>
      </c>
      <c r="K36" s="4">
        <f t="shared" ca="1" si="2"/>
        <v>0</v>
      </c>
      <c r="L36" s="4">
        <f>COUNTIF($C$20:C36,C36)</f>
        <v>0</v>
      </c>
    </row>
    <row r="37" spans="2:12" x14ac:dyDescent="0.3">
      <c r="B37" s="48"/>
      <c r="C37" s="48"/>
      <c r="D37" s="32"/>
      <c r="E37" s="10" t="str" cm="1">
        <f t="array" aca="1" ref="E37" ca="1">IF(K37,IF(abbrAtEnd,"","rg-")&amp;C37&amp;"-"&amp;INDIRECT($K$14)&amp;"-"&amp;INDIRECT($K$15)&amp;"-"&amp;INDIRECT($K$16)&amp;IF($K$17="","","-"&amp;INDIRECT($K$17))&amp;IF(abbrAtEnd,"-rg","")&amp;"-"&amp;TEXT(L37,"000"),"")</f>
        <v/>
      </c>
      <c r="G37" s="31" t="str">
        <f t="shared" ca="1" si="0"/>
        <v/>
      </c>
      <c r="I37" s="29" t="str">
        <f ca="1">IF(E37="","",COUNTIF(rg_selection,Entities!E37))</f>
        <v/>
      </c>
      <c r="K37" s="4">
        <f t="shared" ca="1" si="2"/>
        <v>0</v>
      </c>
      <c r="L37" s="4">
        <f>COUNTIF($C$20:C37,C37)</f>
        <v>0</v>
      </c>
    </row>
    <row r="38" spans="2:12" x14ac:dyDescent="0.3">
      <c r="B38" s="48"/>
      <c r="C38" s="48"/>
      <c r="D38" s="32"/>
      <c r="E38" s="10" t="str" cm="1">
        <f t="array" aca="1" ref="E38" ca="1">IF(K38,IF(abbrAtEnd,"","rg-")&amp;C38&amp;"-"&amp;INDIRECT($K$14)&amp;"-"&amp;INDIRECT($K$15)&amp;"-"&amp;INDIRECT($K$16)&amp;IF($K$17="","","-"&amp;INDIRECT($K$17))&amp;IF(abbrAtEnd,"-rg","")&amp;"-"&amp;TEXT(L38,"000"),"")</f>
        <v/>
      </c>
      <c r="G38" s="31" t="str">
        <f t="shared" ca="1" si="0"/>
        <v/>
      </c>
      <c r="I38" s="29" t="str">
        <f ca="1">IF(E38="","",COUNTIF(rg_selection,Entities!E38))</f>
        <v/>
      </c>
      <c r="K38" s="4">
        <f t="shared" ca="1" si="2"/>
        <v>0</v>
      </c>
      <c r="L38" s="4">
        <f>COUNTIF($C$20:C38,C38)</f>
        <v>0</v>
      </c>
    </row>
    <row r="39" spans="2:12" x14ac:dyDescent="0.3">
      <c r="B39" s="48"/>
      <c r="C39" s="48"/>
      <c r="D39" s="32"/>
      <c r="E39" s="10" t="str" cm="1">
        <f t="array" aca="1" ref="E39" ca="1">IF(K39,IF(abbrAtEnd,"","rg-")&amp;C39&amp;"-"&amp;INDIRECT($K$14)&amp;"-"&amp;INDIRECT($K$15)&amp;"-"&amp;INDIRECT($K$16)&amp;IF($K$17="","","-"&amp;INDIRECT($K$17))&amp;IF(abbrAtEnd,"-rg","")&amp;"-"&amp;TEXT(L39,"000"),"")</f>
        <v/>
      </c>
      <c r="G39" s="31" t="str">
        <f t="shared" ca="1" si="0"/>
        <v/>
      </c>
      <c r="I39" s="29" t="str">
        <f ca="1">IF(E39="","",COUNTIF(rg_selection,Entities!E39))</f>
        <v/>
      </c>
      <c r="K39" s="4">
        <f t="shared" ca="1" si="2"/>
        <v>0</v>
      </c>
      <c r="L39" s="4">
        <f>COUNTIF($C$20:C39,C39)</f>
        <v>0</v>
      </c>
    </row>
    <row r="40" spans="2:12" x14ac:dyDescent="0.3">
      <c r="B40" s="48"/>
      <c r="C40" s="48"/>
      <c r="D40" s="32"/>
      <c r="E40" s="10" t="str" cm="1">
        <f t="array" aca="1" ref="E40" ca="1">IF(K40,IF(abbrAtEnd,"","rg-")&amp;C40&amp;"-"&amp;INDIRECT($K$14)&amp;"-"&amp;INDIRECT($K$15)&amp;"-"&amp;INDIRECT($K$16)&amp;IF($K$17="","","-"&amp;INDIRECT($K$17))&amp;IF(abbrAtEnd,"-rg","")&amp;"-"&amp;TEXT(L40,"000"),"")</f>
        <v/>
      </c>
      <c r="G40" s="31" t="str">
        <f t="shared" ca="1" si="0"/>
        <v/>
      </c>
      <c r="I40" s="29" t="str">
        <f ca="1">IF(E40="","",COUNTIF(rg_selection,Entities!E40))</f>
        <v/>
      </c>
      <c r="K40" s="4">
        <f t="shared" ca="1" si="2"/>
        <v>0</v>
      </c>
      <c r="L40" s="4">
        <f>COUNTIF($C$20:C40,C40)</f>
        <v>0</v>
      </c>
    </row>
    <row r="41" spans="2:12" x14ac:dyDescent="0.3">
      <c r="B41" s="48"/>
      <c r="C41" s="48"/>
      <c r="D41" s="32"/>
      <c r="E41" s="10" t="str" cm="1">
        <f t="array" aca="1" ref="E41" ca="1">IF(K41,IF(abbrAtEnd,"","rg-")&amp;C41&amp;"-"&amp;INDIRECT($K$14)&amp;"-"&amp;INDIRECT($K$15)&amp;"-"&amp;INDIRECT($K$16)&amp;IF($K$17="","","-"&amp;INDIRECT($K$17))&amp;IF(abbrAtEnd,"-rg","")&amp;"-"&amp;TEXT(L41,"000"),"")</f>
        <v/>
      </c>
      <c r="G41" s="31" t="str">
        <f t="shared" ca="1" si="0"/>
        <v/>
      </c>
      <c r="I41" s="29" t="str">
        <f ca="1">IF(E41="","",COUNTIF(rg_selection,Entities!E41))</f>
        <v/>
      </c>
      <c r="K41" s="4">
        <f t="shared" ca="1" si="2"/>
        <v>0</v>
      </c>
      <c r="L41" s="4">
        <f>COUNTIF($C$20:C41,C41)</f>
        <v>0</v>
      </c>
    </row>
    <row r="42" spans="2:12" x14ac:dyDescent="0.3">
      <c r="B42" s="48"/>
      <c r="C42" s="48"/>
      <c r="D42" s="32"/>
      <c r="E42" s="10" t="str" cm="1">
        <f t="array" aca="1" ref="E42" ca="1">IF(K42,IF(abbrAtEnd,"","rg-")&amp;C42&amp;"-"&amp;INDIRECT($K$14)&amp;"-"&amp;INDIRECT($K$15)&amp;"-"&amp;INDIRECT($K$16)&amp;IF($K$17="","","-"&amp;INDIRECT($K$17))&amp;IF(abbrAtEnd,"-rg","")&amp;"-"&amp;TEXT(L42,"000"),"")</f>
        <v/>
      </c>
      <c r="G42" s="31" t="str">
        <f t="shared" ca="1" si="0"/>
        <v/>
      </c>
      <c r="I42" s="29" t="str">
        <f ca="1">IF(E42="","",COUNTIF(rg_selection,Entities!E42))</f>
        <v/>
      </c>
      <c r="K42" s="4">
        <f t="shared" ca="1" si="2"/>
        <v>0</v>
      </c>
      <c r="L42" s="4">
        <f>COUNTIF($C$20:C42,C42)</f>
        <v>0</v>
      </c>
    </row>
    <row r="43" spans="2:12" x14ac:dyDescent="0.3">
      <c r="B43" s="48"/>
      <c r="C43" s="48"/>
      <c r="D43" s="32"/>
      <c r="E43" s="10" t="str" cm="1">
        <f t="array" aca="1" ref="E43" ca="1">IF(K43,IF(abbrAtEnd,"","rg-")&amp;C43&amp;"-"&amp;INDIRECT($K$14)&amp;"-"&amp;INDIRECT($K$15)&amp;"-"&amp;INDIRECT($K$16)&amp;IF($K$17="","","-"&amp;INDIRECT($K$17))&amp;IF(abbrAtEnd,"-rg","")&amp;"-"&amp;TEXT(L43,"000"),"")</f>
        <v/>
      </c>
      <c r="G43" s="31" t="str">
        <f t="shared" ca="1" si="0"/>
        <v/>
      </c>
      <c r="I43" s="29" t="str">
        <f ca="1">IF(E43="","",COUNTIF(rg_selection,Entities!E43))</f>
        <v/>
      </c>
      <c r="K43" s="4">
        <f t="shared" ca="1" si="2"/>
        <v>0</v>
      </c>
      <c r="L43" s="4">
        <f>COUNTIF($C$20:C43,C43)</f>
        <v>0</v>
      </c>
    </row>
    <row r="44" spans="2:12" x14ac:dyDescent="0.3">
      <c r="B44" s="48"/>
      <c r="C44" s="48"/>
      <c r="D44" s="32"/>
      <c r="E44" s="10" t="str" cm="1">
        <f t="array" aca="1" ref="E44" ca="1">IF(K44,IF(abbrAtEnd,"","rg-")&amp;C44&amp;"-"&amp;INDIRECT($K$14)&amp;"-"&amp;INDIRECT($K$15)&amp;"-"&amp;INDIRECT($K$16)&amp;IF($K$17="","","-"&amp;INDIRECT($K$17))&amp;IF(abbrAtEnd,"-rg","")&amp;"-"&amp;TEXT(L44,"000"),"")</f>
        <v/>
      </c>
      <c r="G44" s="31" t="str">
        <f t="shared" ca="1" si="0"/>
        <v/>
      </c>
      <c r="I44" s="29" t="str">
        <f ca="1">IF(E44="","",COUNTIF(rg_selection,Entities!E44))</f>
        <v/>
      </c>
      <c r="K44" s="4">
        <f t="shared" ca="1" si="2"/>
        <v>0</v>
      </c>
      <c r="L44" s="4">
        <f>COUNTIF($C$20:C44,C44)</f>
        <v>0</v>
      </c>
    </row>
    <row r="45" spans="2:12" x14ac:dyDescent="0.3">
      <c r="B45" s="48"/>
      <c r="C45" s="48"/>
      <c r="D45" s="32"/>
      <c r="E45" s="10" t="str" cm="1">
        <f t="array" aca="1" ref="E45" ca="1">IF(K45,IF(abbrAtEnd,"","rg-")&amp;C45&amp;"-"&amp;INDIRECT($K$14)&amp;"-"&amp;INDIRECT($K$15)&amp;"-"&amp;INDIRECT($K$16)&amp;IF($K$17="","","-"&amp;INDIRECT($K$17))&amp;IF(abbrAtEnd,"-rg","")&amp;"-"&amp;TEXT(L45,"000"),"")</f>
        <v/>
      </c>
      <c r="G45" s="31" t="str">
        <f t="shared" ca="1" si="0"/>
        <v/>
      </c>
      <c r="I45" s="29" t="str">
        <f ca="1">IF(E45="","",COUNTIF(rg_selection,Entities!E45))</f>
        <v/>
      </c>
      <c r="K45" s="4">
        <f t="shared" ca="1" si="2"/>
        <v>0</v>
      </c>
      <c r="L45" s="4">
        <f>COUNTIF($C$20:C45,C45)</f>
        <v>0</v>
      </c>
    </row>
    <row r="46" spans="2:12" x14ac:dyDescent="0.3">
      <c r="B46" s="48"/>
      <c r="C46" s="48"/>
      <c r="D46" s="32"/>
      <c r="E46" s="10" t="str" cm="1">
        <f t="array" aca="1" ref="E46" ca="1">IF(K46,IF(abbrAtEnd,"","rg-")&amp;C46&amp;"-"&amp;INDIRECT($K$14)&amp;"-"&amp;INDIRECT($K$15)&amp;"-"&amp;INDIRECT($K$16)&amp;IF($K$17="","","-"&amp;INDIRECT($K$17))&amp;IF(abbrAtEnd,"-rg","")&amp;"-"&amp;TEXT(L46,"000"),"")</f>
        <v/>
      </c>
      <c r="G46" s="31" t="str">
        <f t="shared" ca="1" si="0"/>
        <v/>
      </c>
      <c r="I46" s="29" t="str">
        <f ca="1">IF(E46="","",COUNTIF(rg_selection,Entities!E46))</f>
        <v/>
      </c>
      <c r="K46" s="4">
        <f t="shared" ca="1" si="2"/>
        <v>0</v>
      </c>
      <c r="L46" s="4">
        <f>COUNTIF($C$20:C46,C46)</f>
        <v>0</v>
      </c>
    </row>
    <row r="47" spans="2:12" x14ac:dyDescent="0.3">
      <c r="B47" s="48"/>
      <c r="C47" s="48"/>
      <c r="D47" s="32"/>
      <c r="E47" s="10" t="str" cm="1">
        <f t="array" aca="1" ref="E47" ca="1">IF(K47,IF(abbrAtEnd,"","rg-")&amp;C47&amp;"-"&amp;INDIRECT($K$14)&amp;"-"&amp;INDIRECT($K$15)&amp;"-"&amp;INDIRECT($K$16)&amp;IF($K$17="","","-"&amp;INDIRECT($K$17))&amp;IF(abbrAtEnd,"-rg","")&amp;"-"&amp;TEXT(L47,"000"),"")</f>
        <v/>
      </c>
      <c r="G47" s="31" t="str">
        <f t="shared" ca="1" si="0"/>
        <v/>
      </c>
      <c r="I47" s="29" t="str">
        <f ca="1">IF(E47="","",COUNTIF(rg_selection,Entities!E47))</f>
        <v/>
      </c>
      <c r="K47" s="4">
        <f t="shared" ca="1" si="2"/>
        <v>0</v>
      </c>
      <c r="L47" s="4">
        <f>COUNTIF($C$20:C47,C47)</f>
        <v>0</v>
      </c>
    </row>
    <row r="48" spans="2:12" x14ac:dyDescent="0.3">
      <c r="B48" s="48"/>
      <c r="C48" s="48"/>
      <c r="D48" s="32"/>
      <c r="E48" s="10" t="str" cm="1">
        <f t="array" aca="1" ref="E48" ca="1">IF(K48,IF(abbrAtEnd,"","rg-")&amp;C48&amp;"-"&amp;INDIRECT($K$14)&amp;"-"&amp;INDIRECT($K$15)&amp;"-"&amp;INDIRECT($K$16)&amp;IF($K$17="","","-"&amp;INDIRECT($K$17))&amp;IF(abbrAtEnd,"-rg","")&amp;"-"&amp;TEXT(L48,"000"),"")</f>
        <v/>
      </c>
      <c r="G48" s="31" t="str">
        <f t="shared" ca="1" si="0"/>
        <v/>
      </c>
      <c r="I48" s="29" t="str">
        <f ca="1">IF(E48="","",COUNTIF(rg_selection,Entities!E48))</f>
        <v/>
      </c>
      <c r="K48" s="4">
        <f t="shared" ca="1" si="2"/>
        <v>0</v>
      </c>
      <c r="L48" s="4">
        <f>COUNTIF($C$20:C48,C48)</f>
        <v>0</v>
      </c>
    </row>
    <row r="49" spans="2:12" x14ac:dyDescent="0.3">
      <c r="B49" s="48"/>
      <c r="C49" s="48"/>
      <c r="D49" s="32"/>
      <c r="E49" s="10" t="str" cm="1">
        <f t="array" aca="1" ref="E49" ca="1">IF(K49,IF(abbrAtEnd,"","rg-")&amp;C49&amp;"-"&amp;INDIRECT($K$14)&amp;"-"&amp;INDIRECT($K$15)&amp;"-"&amp;INDIRECT($K$16)&amp;IF($K$17="","","-"&amp;INDIRECT($K$17))&amp;IF(abbrAtEnd,"-rg","")&amp;"-"&amp;TEXT(L49,"000"),"")</f>
        <v/>
      </c>
      <c r="G49" s="31" t="str">
        <f t="shared" ca="1" si="0"/>
        <v/>
      </c>
      <c r="I49" s="29" t="str">
        <f ca="1">IF(E49="","",COUNTIF(rg_selection,Entities!E49))</f>
        <v/>
      </c>
      <c r="K49" s="4">
        <f t="shared" ca="1" si="2"/>
        <v>0</v>
      </c>
      <c r="L49" s="4">
        <f>COUNTIF($C$20:C49,C49)</f>
        <v>0</v>
      </c>
    </row>
    <row r="50" spans="2:12" x14ac:dyDescent="0.3">
      <c r="B50" s="48"/>
      <c r="C50" s="48"/>
      <c r="D50" s="32"/>
      <c r="E50" s="10" t="str" cm="1">
        <f t="array" aca="1" ref="E50" ca="1">IF(K50,IF(abbrAtEnd,"","rg-")&amp;C50&amp;"-"&amp;INDIRECT($K$14)&amp;"-"&amp;INDIRECT($K$15)&amp;"-"&amp;INDIRECT($K$16)&amp;IF($K$17="","","-"&amp;INDIRECT($K$17))&amp;IF(abbrAtEnd,"-rg","")&amp;"-"&amp;TEXT(L50,"000"),"")</f>
        <v/>
      </c>
      <c r="G50" s="31" t="str">
        <f t="shared" ca="1" si="0"/>
        <v/>
      </c>
      <c r="I50" s="29" t="str">
        <f ca="1">IF(E50="","",COUNTIF(rg_selection,Entities!E50))</f>
        <v/>
      </c>
      <c r="K50" s="4">
        <f t="shared" ca="1" si="2"/>
        <v>0</v>
      </c>
      <c r="L50" s="4">
        <f>COUNTIF($C$20:C50,C50)</f>
        <v>0</v>
      </c>
    </row>
    <row r="51" spans="2:12" x14ac:dyDescent="0.3">
      <c r="B51" s="48"/>
      <c r="C51" s="48"/>
      <c r="D51" s="32"/>
      <c r="E51" s="10" t="str" cm="1">
        <f t="array" aca="1" ref="E51" ca="1">IF(K51,IF(abbrAtEnd,"","rg-")&amp;C51&amp;"-"&amp;INDIRECT($K$14)&amp;"-"&amp;INDIRECT($K$15)&amp;"-"&amp;INDIRECT($K$16)&amp;IF($K$17="","","-"&amp;INDIRECT($K$17))&amp;IF(abbrAtEnd,"-rg","")&amp;"-"&amp;TEXT(L51,"000"),"")</f>
        <v/>
      </c>
      <c r="G51" s="31" t="str">
        <f t="shared" ca="1" si="0"/>
        <v/>
      </c>
      <c r="I51" s="29" t="str">
        <f ca="1">IF(E51="","",COUNTIF(rg_selection,Entities!E51))</f>
        <v/>
      </c>
      <c r="K51" s="4">
        <f t="shared" ca="1" si="2"/>
        <v>0</v>
      </c>
      <c r="L51" s="4">
        <f>COUNTIF($C$20:C51,C51)</f>
        <v>0</v>
      </c>
    </row>
    <row r="52" spans="2:12" x14ac:dyDescent="0.3">
      <c r="B52" s="48"/>
      <c r="C52" s="48"/>
      <c r="D52" s="32"/>
      <c r="E52" s="10" t="str" cm="1">
        <f t="array" aca="1" ref="E52" ca="1">IF(K52,IF(abbrAtEnd,"","rg-")&amp;C52&amp;"-"&amp;INDIRECT($K$14)&amp;"-"&amp;INDIRECT($K$15)&amp;"-"&amp;INDIRECT($K$16)&amp;IF($K$17="","","-"&amp;INDIRECT($K$17))&amp;IF(abbrAtEnd,"-rg","")&amp;"-"&amp;TEXT(L52,"000"),"")</f>
        <v/>
      </c>
      <c r="G52" s="31" t="str">
        <f t="shared" ca="1" si="0"/>
        <v/>
      </c>
      <c r="I52" s="29" t="str">
        <f ca="1">IF(E52="","",COUNTIF(rg_selection,Entities!E52))</f>
        <v/>
      </c>
      <c r="K52" s="4">
        <f t="shared" ca="1" si="2"/>
        <v>0</v>
      </c>
      <c r="L52" s="4">
        <f>COUNTIF($C$20:C52,C52)</f>
        <v>0</v>
      </c>
    </row>
    <row r="53" spans="2:12" x14ac:dyDescent="0.3">
      <c r="B53" s="48"/>
      <c r="C53" s="48"/>
      <c r="D53" s="32"/>
      <c r="E53" s="10" t="str" cm="1">
        <f t="array" aca="1" ref="E53" ca="1">IF(K53,IF(abbrAtEnd,"","rg-")&amp;C53&amp;"-"&amp;INDIRECT($K$14)&amp;"-"&amp;INDIRECT($K$15)&amp;"-"&amp;INDIRECT($K$16)&amp;IF($K$17="","","-"&amp;INDIRECT($K$17))&amp;IF(abbrAtEnd,"-rg","")&amp;"-"&amp;TEXT(L53,"000"),"")</f>
        <v/>
      </c>
      <c r="G53" s="31" t="str">
        <f t="shared" ca="1" si="0"/>
        <v/>
      </c>
      <c r="I53" s="29" t="str">
        <f ca="1">IF(E53="","",COUNTIF(rg_selection,Entities!E53))</f>
        <v/>
      </c>
      <c r="K53" s="4">
        <f t="shared" ca="1" si="2"/>
        <v>0</v>
      </c>
      <c r="L53" s="4">
        <f>COUNTIF($C$20:C53,C53)</f>
        <v>0</v>
      </c>
    </row>
    <row r="54" spans="2:12" x14ac:dyDescent="0.3">
      <c r="B54" s="48"/>
      <c r="C54" s="48"/>
      <c r="D54" s="32"/>
      <c r="E54" s="10" t="str" cm="1">
        <f t="array" aca="1" ref="E54" ca="1">IF(K54,IF(abbrAtEnd,"","rg-")&amp;C54&amp;"-"&amp;INDIRECT($K$14)&amp;"-"&amp;INDIRECT($K$15)&amp;"-"&amp;INDIRECT($K$16)&amp;IF($K$17="","","-"&amp;INDIRECT($K$17))&amp;IF(abbrAtEnd,"-rg","")&amp;"-"&amp;TEXT(L54,"000"),"")</f>
        <v/>
      </c>
      <c r="G54" s="31" t="str">
        <f t="shared" ca="1" si="0"/>
        <v/>
      </c>
      <c r="I54" s="29" t="str">
        <f ca="1">IF(E54="","",COUNTIF(rg_selection,Entities!E54))</f>
        <v/>
      </c>
      <c r="K54" s="4">
        <f t="shared" ca="1" si="2"/>
        <v>0</v>
      </c>
      <c r="L54" s="4">
        <f>COUNTIF($C$20:C54,C54)</f>
        <v>0</v>
      </c>
    </row>
    <row r="55" spans="2:12" x14ac:dyDescent="0.3">
      <c r="B55" s="48"/>
      <c r="C55" s="48"/>
      <c r="D55" s="32"/>
      <c r="E55" s="10" t="str" cm="1">
        <f t="array" aca="1" ref="E55" ca="1">IF(K55,IF(abbrAtEnd,"","rg-")&amp;C55&amp;"-"&amp;INDIRECT($K$14)&amp;"-"&amp;INDIRECT($K$15)&amp;"-"&amp;INDIRECT($K$16)&amp;IF($K$17="","","-"&amp;INDIRECT($K$17))&amp;IF(abbrAtEnd,"-rg","")&amp;"-"&amp;TEXT(L55,"000"),"")</f>
        <v/>
      </c>
      <c r="G55" s="31" t="str">
        <f t="shared" ca="1" si="0"/>
        <v/>
      </c>
      <c r="I55" s="29" t="str">
        <f ca="1">IF(E55="","",COUNTIF(rg_selection,Entities!E55))</f>
        <v/>
      </c>
      <c r="K55" s="4">
        <f t="shared" ca="1" si="2"/>
        <v>0</v>
      </c>
      <c r="L55" s="4">
        <f>COUNTIF($C$20:C55,C55)</f>
        <v>0</v>
      </c>
    </row>
    <row r="56" spans="2:12" x14ac:dyDescent="0.3">
      <c r="B56" s="48"/>
      <c r="C56" s="48"/>
      <c r="D56" s="32"/>
      <c r="E56" s="10" t="str" cm="1">
        <f t="array" aca="1" ref="E56" ca="1">IF(K56,IF(abbrAtEnd,"","rg-")&amp;C56&amp;"-"&amp;INDIRECT($K$14)&amp;"-"&amp;INDIRECT($K$15)&amp;"-"&amp;INDIRECT($K$16)&amp;IF($K$17="","","-"&amp;INDIRECT($K$17))&amp;IF(abbrAtEnd,"-rg","")&amp;"-"&amp;TEXT(L56,"000"),"")</f>
        <v/>
      </c>
      <c r="G56" s="31" t="str">
        <f t="shared" ca="1" si="0"/>
        <v/>
      </c>
      <c r="I56" s="29" t="str">
        <f ca="1">IF(E56="","",COUNTIF(rg_selection,Entities!E56))</f>
        <v/>
      </c>
      <c r="K56" s="4">
        <f t="shared" ca="1" si="2"/>
        <v>0</v>
      </c>
      <c r="L56" s="4">
        <f>COUNTIF($C$20:C56,C56)</f>
        <v>0</v>
      </c>
    </row>
    <row r="57" spans="2:12" x14ac:dyDescent="0.3">
      <c r="B57" s="48"/>
      <c r="C57" s="48"/>
      <c r="D57" s="32"/>
      <c r="E57" s="10" t="str" cm="1">
        <f t="array" aca="1" ref="E57" ca="1">IF(K57,IF(abbrAtEnd,"","rg-")&amp;C57&amp;"-"&amp;INDIRECT($K$14)&amp;"-"&amp;INDIRECT($K$15)&amp;"-"&amp;INDIRECT($K$16)&amp;IF($K$17="","","-"&amp;INDIRECT($K$17))&amp;IF(abbrAtEnd,"-rg","")&amp;"-"&amp;TEXT(L57,"000"),"")</f>
        <v/>
      </c>
      <c r="G57" s="31" t="str">
        <f t="shared" ca="1" si="0"/>
        <v/>
      </c>
      <c r="I57" s="29" t="str">
        <f ca="1">IF(E57="","",COUNTIF(rg_selection,Entities!E57))</f>
        <v/>
      </c>
      <c r="K57" s="4">
        <f t="shared" ca="1" si="2"/>
        <v>0</v>
      </c>
      <c r="L57" s="4">
        <f>COUNTIF($C$20:C57,C57)</f>
        <v>0</v>
      </c>
    </row>
    <row r="58" spans="2:12" x14ac:dyDescent="0.3">
      <c r="B58" s="48"/>
      <c r="C58" s="48"/>
      <c r="D58" s="32"/>
      <c r="E58" s="10" t="str" cm="1">
        <f t="array" aca="1" ref="E58" ca="1">IF(K58,IF(abbrAtEnd,"","rg-")&amp;C58&amp;"-"&amp;INDIRECT($K$14)&amp;"-"&amp;INDIRECT($K$15)&amp;"-"&amp;INDIRECT($K$16)&amp;IF($K$17="","","-"&amp;INDIRECT($K$17))&amp;IF(abbrAtEnd,"-rg","")&amp;"-"&amp;TEXT(L58,"000"),"")</f>
        <v/>
      </c>
      <c r="G58" s="31" t="str">
        <f t="shared" ca="1" si="0"/>
        <v/>
      </c>
      <c r="I58" s="29" t="str">
        <f ca="1">IF(E58="","",COUNTIF(rg_selection,Entities!E58))</f>
        <v/>
      </c>
      <c r="K58" s="4">
        <f t="shared" ca="1" si="2"/>
        <v>0</v>
      </c>
      <c r="L58" s="4">
        <f>COUNTIF($C$20:C58,C58)</f>
        <v>0</v>
      </c>
    </row>
    <row r="59" spans="2:12" x14ac:dyDescent="0.3">
      <c r="B59" s="48"/>
      <c r="C59" s="48"/>
      <c r="D59" s="32"/>
      <c r="E59" s="10" t="str" cm="1">
        <f t="array" aca="1" ref="E59" ca="1">IF(K59,IF(abbrAtEnd,"","rg-")&amp;C59&amp;"-"&amp;INDIRECT($K$14)&amp;"-"&amp;INDIRECT($K$15)&amp;"-"&amp;INDIRECT($K$16)&amp;IF($K$17="","","-"&amp;INDIRECT($K$17))&amp;IF(abbrAtEnd,"-rg","")&amp;"-"&amp;TEXT(L59,"000"),"")</f>
        <v/>
      </c>
      <c r="G59" s="31" t="str">
        <f t="shared" ca="1" si="0"/>
        <v/>
      </c>
      <c r="I59" s="29" t="str">
        <f ca="1">IF(E59="","",COUNTIF(rg_selection,Entities!E59))</f>
        <v/>
      </c>
      <c r="K59" s="4">
        <f t="shared" ca="1" si="2"/>
        <v>0</v>
      </c>
      <c r="L59" s="4">
        <f>COUNTIF($C$20:C59,C59)</f>
        <v>0</v>
      </c>
    </row>
    <row r="60" spans="2:12" x14ac:dyDescent="0.3">
      <c r="B60" s="48"/>
      <c r="C60" s="48"/>
      <c r="D60" s="32"/>
      <c r="E60" s="10" t="str" cm="1">
        <f t="array" aca="1" ref="E60" ca="1">IF(K60,IF(abbrAtEnd,"","rg-")&amp;C60&amp;"-"&amp;INDIRECT($K$14)&amp;"-"&amp;INDIRECT($K$15)&amp;"-"&amp;INDIRECT($K$16)&amp;IF($K$17="","","-"&amp;INDIRECT($K$17))&amp;IF(abbrAtEnd,"-rg","")&amp;"-"&amp;TEXT(L60,"000"),"")</f>
        <v/>
      </c>
      <c r="G60" s="31" t="str">
        <f t="shared" ca="1" si="0"/>
        <v/>
      </c>
      <c r="I60" s="29" t="str">
        <f ca="1">IF(E60="","",COUNTIF(rg_selection,Entities!E60))</f>
        <v/>
      </c>
      <c r="K60" s="4">
        <f t="shared" ca="1" si="2"/>
        <v>0</v>
      </c>
      <c r="L60" s="4">
        <f>COUNTIF($C$20:C60,C60)</f>
        <v>0</v>
      </c>
    </row>
    <row r="61" spans="2:12" x14ac:dyDescent="0.3">
      <c r="B61" s="48"/>
      <c r="C61" s="48"/>
      <c r="D61" s="32"/>
      <c r="E61" s="10" t="str" cm="1">
        <f t="array" aca="1" ref="E61" ca="1">IF(K61,IF(abbrAtEnd,"","rg-")&amp;C61&amp;"-"&amp;INDIRECT($K$14)&amp;"-"&amp;INDIRECT($K$15)&amp;"-"&amp;INDIRECT($K$16)&amp;IF($K$17="","","-"&amp;INDIRECT($K$17))&amp;IF(abbrAtEnd,"-rg","")&amp;"-"&amp;TEXT(L61,"000"),"")</f>
        <v/>
      </c>
      <c r="G61" s="31" t="str">
        <f t="shared" ca="1" si="0"/>
        <v/>
      </c>
      <c r="I61" s="29" t="str">
        <f ca="1">IF(E61="","",COUNTIF(rg_selection,Entities!E61))</f>
        <v/>
      </c>
      <c r="K61" s="4">
        <f t="shared" ca="1" si="2"/>
        <v>0</v>
      </c>
      <c r="L61" s="4">
        <f>COUNTIF($C$20:C61,C61)</f>
        <v>0</v>
      </c>
    </row>
    <row r="62" spans="2:12" x14ac:dyDescent="0.3">
      <c r="B62" s="48"/>
      <c r="C62" s="48"/>
      <c r="D62" s="32"/>
      <c r="E62" s="10" t="str" cm="1">
        <f t="array" aca="1" ref="E62" ca="1">IF(K62,IF(abbrAtEnd,"","rg-")&amp;C62&amp;"-"&amp;INDIRECT($K$14)&amp;"-"&amp;INDIRECT($K$15)&amp;"-"&amp;INDIRECT($K$16)&amp;IF($K$17="","","-"&amp;INDIRECT($K$17))&amp;IF(abbrAtEnd,"-rg","")&amp;"-"&amp;TEXT(L62,"000"),"")</f>
        <v/>
      </c>
      <c r="G62" s="31" t="str">
        <f t="shared" ca="1" si="0"/>
        <v/>
      </c>
      <c r="I62" s="29" t="str">
        <f ca="1">IF(E62="","",COUNTIF(rg_selection,Entities!E62))</f>
        <v/>
      </c>
      <c r="K62" s="4">
        <f t="shared" ca="1" si="2"/>
        <v>0</v>
      </c>
      <c r="L62" s="4">
        <f>COUNTIF($C$20:C62,C62)</f>
        <v>0</v>
      </c>
    </row>
    <row r="63" spans="2:12" s="11" customFormat="1" x14ac:dyDescent="0.3"/>
  </sheetData>
  <sheetProtection sheet="1" selectLockedCells="1"/>
  <mergeCells count="2">
    <mergeCell ref="E12:I12"/>
    <mergeCell ref="E13:I14"/>
  </mergeCells>
  <phoneticPr fontId="4" type="noConversion"/>
  <dataValidations count="7">
    <dataValidation type="list" allowBlank="1" showInputMessage="1" showErrorMessage="1" sqref="C10:D10" xr:uid="{88BD695E-634E-419E-9D5D-23899893CC41}">
      <formula1>azregions</formula1>
    </dataValidation>
    <dataValidation type="textLength" allowBlank="1" showInputMessage="1" showErrorMessage="1" sqref="E3:E8" xr:uid="{8EC03EEC-EEAC-42EF-A843-A9527D672989}">
      <formula1>3</formula1>
      <formula2>5</formula2>
    </dataValidation>
    <dataValidation type="list" allowBlank="1" showInputMessage="1" showErrorMessage="1" sqref="D16" xr:uid="{E384101A-6F34-4481-82BF-3FDF404AEEDA}">
      <formula1>elements</formula1>
    </dataValidation>
    <dataValidation type="list" showInputMessage="1" showErrorMessage="1" sqref="D13:D15" xr:uid="{9DBE1C9F-7A79-4C05-80D8-7DE92A8CA97E}">
      <formula1>elements</formula1>
    </dataValidation>
    <dataValidation type="list" allowBlank="1" showInputMessage="1" showErrorMessage="1" sqref="D17" xr:uid="{4761E12A-6C28-498E-B922-6903E430512F}">
      <formula1>$L$1:$L$2</formula1>
    </dataValidation>
    <dataValidation type="list" showInputMessage="1" showErrorMessage="1" sqref="C18" xr:uid="{F614D900-4990-4FF7-B78F-F3B3C35924E8}">
      <formula1>$L$1:$L$2</formula1>
    </dataValidation>
    <dataValidation type="list" allowBlank="1" showInputMessage="1" showErrorMessage="1" sqref="C14:C17" xr:uid="{BFAC945B-EA86-4502-B869-3CC3865F84D7}">
      <formula1>_xlfn.ANCHORARRAY($K$3)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1834B-D00A-4DDC-BB25-B98E4F4A977C}">
  <dimension ref="B1:V1000"/>
  <sheetViews>
    <sheetView workbookViewId="0">
      <selection activeCell="B7" sqref="B7"/>
    </sheetView>
  </sheetViews>
  <sheetFormatPr defaultRowHeight="14.4" x14ac:dyDescent="0.3"/>
  <cols>
    <col min="1" max="1" width="3.44140625" style="3" customWidth="1"/>
    <col min="2" max="2" width="29.109375" style="3" bestFit="1" customWidth="1"/>
    <col min="3" max="3" width="34.109375" style="3" bestFit="1" customWidth="1"/>
    <col min="4" max="4" width="31.44140625" style="3" customWidth="1"/>
    <col min="5" max="5" width="23.5546875" style="3" bestFit="1" customWidth="1"/>
    <col min="6" max="6" width="33" style="3" bestFit="1" customWidth="1"/>
    <col min="7" max="7" width="34.77734375" style="3" customWidth="1"/>
    <col min="8" max="8" width="3.77734375" style="3" customWidth="1"/>
    <col min="9" max="9" width="31" style="3" customWidth="1"/>
    <col min="10" max="10" width="3.77734375" style="3" customWidth="1"/>
    <col min="11" max="12" width="13.77734375" style="4" hidden="1" customWidth="1"/>
    <col min="13" max="13" width="40.44140625" style="4" hidden="1" customWidth="1"/>
    <col min="14" max="14" width="12.88671875" style="4" hidden="1" customWidth="1"/>
    <col min="15" max="15" width="10" style="4" hidden="1" customWidth="1"/>
    <col min="16" max="17" width="10.44140625" style="4" hidden="1" customWidth="1"/>
    <col min="18" max="18" width="13.21875" style="4" hidden="1" customWidth="1"/>
    <col min="19" max="19" width="11" style="4" hidden="1" customWidth="1"/>
    <col min="20" max="20" width="10.44140625" style="4" hidden="1" customWidth="1"/>
    <col min="21" max="21" width="16.44140625" style="3" bestFit="1" customWidth="1"/>
    <col min="22" max="22" width="18.5546875" style="3" customWidth="1"/>
    <col min="23" max="16384" width="8.88671875" style="3"/>
  </cols>
  <sheetData>
    <row r="1" spans="2:22" x14ac:dyDescent="0.3">
      <c r="M1" s="4" t="s">
        <v>971</v>
      </c>
      <c r="N1" s="4">
        <v>1</v>
      </c>
    </row>
    <row r="2" spans="2:22" ht="21" x14ac:dyDescent="0.4">
      <c r="B2" s="46" t="s">
        <v>954</v>
      </c>
      <c r="G2" s="57" t="s">
        <v>973</v>
      </c>
      <c r="M2" s="4" t="s">
        <v>972</v>
      </c>
      <c r="N2" s="4">
        <v>2</v>
      </c>
    </row>
    <row r="3" spans="2:22" x14ac:dyDescent="0.3">
      <c r="B3" s="3" t="s">
        <v>950</v>
      </c>
      <c r="G3" s="56" t="s">
        <v>971</v>
      </c>
      <c r="M3" s="4" t="s">
        <v>977</v>
      </c>
      <c r="N3" s="4">
        <v>3</v>
      </c>
    </row>
    <row r="4" spans="2:22" x14ac:dyDescent="0.3">
      <c r="B4" s="3" t="s">
        <v>951</v>
      </c>
      <c r="M4" s="58">
        <f>VLOOKUP(G3,instanceOption,2,0)</f>
        <v>1</v>
      </c>
    </row>
    <row r="5" spans="2:22" x14ac:dyDescent="0.3">
      <c r="P5" s="7" t="s">
        <v>970</v>
      </c>
      <c r="Q5" s="7" t="s">
        <v>969</v>
      </c>
      <c r="R5" s="7"/>
      <c r="S5" s="7" t="s">
        <v>975</v>
      </c>
    </row>
    <row r="6" spans="2:22" x14ac:dyDescent="0.3">
      <c r="B6" s="5" t="s">
        <v>626</v>
      </c>
      <c r="C6" s="5" t="s">
        <v>627</v>
      </c>
      <c r="D6" s="5" t="s">
        <v>956</v>
      </c>
      <c r="E6" s="5" t="s">
        <v>955</v>
      </c>
      <c r="F6" s="5" t="s">
        <v>602</v>
      </c>
      <c r="G6" s="5" t="s">
        <v>603</v>
      </c>
      <c r="I6" s="6" t="s">
        <v>619</v>
      </c>
      <c r="K6" s="7" t="s">
        <v>615</v>
      </c>
      <c r="L6" s="7" t="s">
        <v>783</v>
      </c>
      <c r="M6" s="8" t="s">
        <v>616</v>
      </c>
      <c r="N6" s="8" t="s">
        <v>605</v>
      </c>
      <c r="O6" s="7" t="s">
        <v>617</v>
      </c>
      <c r="P6" s="7" t="s">
        <v>968</v>
      </c>
      <c r="Q6" s="7" t="s">
        <v>968</v>
      </c>
      <c r="R6" s="7" t="s">
        <v>976</v>
      </c>
      <c r="S6" s="7" t="s">
        <v>968</v>
      </c>
      <c r="T6" s="7" t="s">
        <v>622</v>
      </c>
      <c r="U6" s="9"/>
      <c r="V6" s="9"/>
    </row>
    <row r="7" spans="2:22" x14ac:dyDescent="0.3">
      <c r="B7" s="48"/>
      <c r="C7" s="48"/>
      <c r="D7" s="10" t="str">
        <f t="shared" ref="D7:D48" ca="1" si="0">IF(ISBLANK(C7),"",OFFSET(element2,MATCH($C7,resources,0)-1,0))</f>
        <v/>
      </c>
      <c r="E7" s="48"/>
      <c r="F7" s="48"/>
      <c r="G7" s="10" t="str">
        <f t="shared" ref="G7:G16" ca="1" si="1">IF(O7,IF(K7="hyphenated",M7&amp;N7,IF(K7="dnsname",E7,IF(K7="alphanumeric",SUBSTITUTE(M7&amp;N7,"-",""),"unknown or missing resource structure"))),"")</f>
        <v/>
      </c>
      <c r="I7" s="10" t="str">
        <f t="shared" ref="I7:I48" ca="1" si="2">IF(O7,IF(LEN(G7)&gt;T7,"Name too Long (length: "&amp;LEN(G7)&amp;", max. "&amp;T7&amp;")","None"),"")</f>
        <v/>
      </c>
      <c r="K7" s="4" t="e">
        <f t="shared" ref="K7:K261" ca="1" si="3">OFFSET(structure,MATCH($C7,resources,0)-1,0)</f>
        <v>#N/A</v>
      </c>
      <c r="L7" s="4" t="e">
        <f>VLOOKUP(C7,_resources!B:D,3,0)</f>
        <v>#N/A</v>
      </c>
      <c r="M7" s="4" t="e" cm="1">
        <f t="array" aca="1" ref="M7" ca="1">IF(abbrAtEnd,"",L7&amp;"-")&amp;E7&amp;"-"&amp;INDIRECT(OFFSET(element3,MATCH($C7,resources,0)-1,0))&amp;"-"&amp;INDIRECT(OFFSET(element4,MATCH($C7,resources,0)-1,0))&amp;"-"&amp;INDIRECT(OFFSET(element5,MATCH($C7,resources,0)-1,0))&amp;IF(OFFSET(element6,MATCH($C7,resources,0)-1,0)="","","-"&amp;INDIRECT(OFFSET(element6,MATCH($C7,resources,0)-1,0)))&amp;IF(abbrAtEnd,"-"&amp;L7,"")</f>
        <v>#N/A</v>
      </c>
      <c r="N7" s="4" t="str">
        <f>IF($M$4=1,"-"&amp;TEXT(P7,"000"),IF($M$4=2,"-"&amp;TEXT(Q7,"000"),"-"&amp;TEXT(S7,"000")))</f>
        <v>-000</v>
      </c>
      <c r="O7" s="4">
        <f ca="1">IF(totalElements+COUNTIF(Entities!$C$10,"*")+COUNTIF(B7:C7,"*")+COUNTIF(E7:F7,"*")=9,1,0)</f>
        <v>0</v>
      </c>
      <c r="P7" s="4">
        <f>COUNTIF($C$6:C7,C7)</f>
        <v>0</v>
      </c>
      <c r="Q7" s="4">
        <f ca="1">IF(ISNA(M7),0,COUNTIF($M$6:M7,M7))</f>
        <v>0</v>
      </c>
      <c r="R7" s="4" t="e">
        <f t="shared" ref="R7:R70" ca="1" si="4">F7&amp;"__"&amp;M7</f>
        <v>#N/A</v>
      </c>
      <c r="S7" s="4">
        <f ca="1">IF(ISNA(M7),0,COUNTIF($R$6:R7,R7))</f>
        <v>0</v>
      </c>
      <c r="T7" s="4" t="e">
        <f t="shared" ref="T7:T261" ca="1" si="5">OFFSET(maxLength,MATCH($C7,resources,0)-1,0)</f>
        <v>#N/A</v>
      </c>
    </row>
    <row r="8" spans="2:22" x14ac:dyDescent="0.3">
      <c r="B8" s="48"/>
      <c r="C8" s="48"/>
      <c r="D8" s="10" t="str">
        <f t="shared" ca="1" si="0"/>
        <v/>
      </c>
      <c r="E8" s="48"/>
      <c r="F8" s="48"/>
      <c r="G8" s="10" t="str">
        <f t="shared" ca="1" si="1"/>
        <v/>
      </c>
      <c r="I8" s="10" t="str">
        <f t="shared" ca="1" si="2"/>
        <v/>
      </c>
      <c r="K8" s="4" t="e">
        <f t="shared" ca="1" si="3"/>
        <v>#N/A</v>
      </c>
      <c r="L8" s="4" t="e">
        <f>VLOOKUP(C8,_resources!B:D,3,0)</f>
        <v>#N/A</v>
      </c>
      <c r="M8" s="4" t="e" cm="1">
        <f t="array" aca="1" ref="M8" ca="1">IF(abbrAtEnd,"",L8&amp;"-")&amp;E8&amp;"-"&amp;INDIRECT(OFFSET(element3,MATCH($C8,resources,0)-1,0))&amp;"-"&amp;INDIRECT(OFFSET(element4,MATCH($C8,resources,0)-1,0))&amp;"-"&amp;INDIRECT(OFFSET(element5,MATCH($C8,resources,0)-1,0))&amp;IF(OFFSET(element6,MATCH($C8,resources,0)-1,0)="","","-"&amp;INDIRECT(OFFSET(element6,MATCH($C8,resources,0)-1,0)))&amp;IF(abbrAtEnd,"-"&amp;L8,"")</f>
        <v>#N/A</v>
      </c>
      <c r="N8" s="4" t="str">
        <f t="shared" ref="N8:N13" si="6">IF($M$4=1,"-"&amp;TEXT(P8,"000"),IF($M$4=2,"-"&amp;TEXT(Q8,"000"),"-"&amp;TEXT(S8,"000")))</f>
        <v>-000</v>
      </c>
      <c r="O8" s="4">
        <f ca="1">IF(totalElements+COUNTIF(Entities!$C$10,"*")+COUNTIF(B8:C8,"*")+COUNTIF(E8:F8,"*")=9,1,0)</f>
        <v>0</v>
      </c>
      <c r="P8" s="4">
        <f>COUNTIF($C$6:C8,C8)</f>
        <v>0</v>
      </c>
      <c r="Q8" s="4">
        <f ca="1">IF(ISNA(M8),0,COUNTIF($M$6:M8,M8))</f>
        <v>0</v>
      </c>
      <c r="R8" s="4" t="e">
        <f t="shared" ca="1" si="4"/>
        <v>#N/A</v>
      </c>
      <c r="S8" s="4">
        <f ca="1">IF(ISNA(M8),0,COUNTIF($R$6:R8,R8))</f>
        <v>0</v>
      </c>
      <c r="T8" s="4" t="e">
        <f t="shared" ca="1" si="5"/>
        <v>#N/A</v>
      </c>
    </row>
    <row r="9" spans="2:22" x14ac:dyDescent="0.3">
      <c r="B9" s="48"/>
      <c r="C9" s="48"/>
      <c r="D9" s="10" t="str">
        <f t="shared" ca="1" si="0"/>
        <v/>
      </c>
      <c r="E9" s="48"/>
      <c r="F9" s="48"/>
      <c r="G9" s="10" t="str">
        <f t="shared" ca="1" si="1"/>
        <v/>
      </c>
      <c r="I9" s="10" t="str">
        <f t="shared" ca="1" si="2"/>
        <v/>
      </c>
      <c r="K9" s="4" t="e">
        <f t="shared" ca="1" si="3"/>
        <v>#N/A</v>
      </c>
      <c r="L9" s="4" t="e">
        <f>VLOOKUP(C9,_resources!B:D,3,0)</f>
        <v>#N/A</v>
      </c>
      <c r="M9" s="4" t="e" cm="1">
        <f t="array" aca="1" ref="M9" ca="1">IF(abbrAtEnd,"",L9&amp;"-")&amp;E9&amp;"-"&amp;INDIRECT(OFFSET(element3,MATCH($C9,resources,0)-1,0))&amp;"-"&amp;INDIRECT(OFFSET(element4,MATCH($C9,resources,0)-1,0))&amp;"-"&amp;INDIRECT(OFFSET(element5,MATCH($C9,resources,0)-1,0))&amp;IF(OFFSET(element6,MATCH($C9,resources,0)-1,0)="","","-"&amp;INDIRECT(OFFSET(element6,MATCH($C9,resources,0)-1,0)))&amp;IF(abbrAtEnd,"-"&amp;L9,"")</f>
        <v>#N/A</v>
      </c>
      <c r="N9" s="4" t="str">
        <f t="shared" si="6"/>
        <v>-000</v>
      </c>
      <c r="O9" s="4">
        <f ca="1">IF(totalElements+COUNTIF(Entities!$C$10,"*")+COUNTIF(B9:C9,"*")+COUNTIF(E9:F9,"*")=9,1,0)</f>
        <v>0</v>
      </c>
      <c r="P9" s="4">
        <f>COUNTIF($C$6:C9,C9)</f>
        <v>0</v>
      </c>
      <c r="Q9" s="4">
        <f ca="1">IF(ISNA(M9),0,COUNTIF($M$6:M9,M9))</f>
        <v>0</v>
      </c>
      <c r="R9" s="4" t="e">
        <f t="shared" ca="1" si="4"/>
        <v>#N/A</v>
      </c>
      <c r="S9" s="4">
        <f ca="1">IF(ISNA(M9),0,COUNTIF($R$6:R9,R9))</f>
        <v>0</v>
      </c>
      <c r="T9" s="4" t="e">
        <f t="shared" ca="1" si="5"/>
        <v>#N/A</v>
      </c>
    </row>
    <row r="10" spans="2:22" x14ac:dyDescent="0.3">
      <c r="B10" s="48"/>
      <c r="C10" s="48"/>
      <c r="D10" s="10" t="str">
        <f t="shared" ca="1" si="0"/>
        <v/>
      </c>
      <c r="E10" s="48"/>
      <c r="F10" s="48"/>
      <c r="G10" s="10" t="str">
        <f t="shared" ca="1" si="1"/>
        <v/>
      </c>
      <c r="I10" s="10" t="str">
        <f t="shared" ca="1" si="2"/>
        <v/>
      </c>
      <c r="K10" s="4" t="e">
        <f t="shared" ca="1" si="3"/>
        <v>#N/A</v>
      </c>
      <c r="L10" s="4" t="e">
        <f>VLOOKUP(C10,_resources!B:D,3,0)</f>
        <v>#N/A</v>
      </c>
      <c r="M10" s="4" t="e" cm="1">
        <f t="array" aca="1" ref="M10" ca="1">IF(abbrAtEnd,"",L10&amp;"-")&amp;E10&amp;"-"&amp;INDIRECT(OFFSET(element3,MATCH($C10,resources,0)-1,0))&amp;"-"&amp;INDIRECT(OFFSET(element4,MATCH($C10,resources,0)-1,0))&amp;"-"&amp;INDIRECT(OFFSET(element5,MATCH($C10,resources,0)-1,0))&amp;IF(OFFSET(element6,MATCH($C10,resources,0)-1,0)="","","-"&amp;INDIRECT(OFFSET(element6,MATCH($C10,resources,0)-1,0)))&amp;IF(abbrAtEnd,"-"&amp;L10,"")</f>
        <v>#N/A</v>
      </c>
      <c r="N10" s="4" t="str">
        <f t="shared" si="6"/>
        <v>-000</v>
      </c>
      <c r="O10" s="4">
        <f ca="1">IF(totalElements+COUNTIF(Entities!$C$10,"*")+COUNTIF(B10:C10,"*")+COUNTIF(E10:F10,"*")=9,1,0)</f>
        <v>0</v>
      </c>
      <c r="P10" s="4">
        <f>COUNTIF($C$6:C10,C10)</f>
        <v>0</v>
      </c>
      <c r="Q10" s="4">
        <f ca="1">IF(ISNA(M10),0,COUNTIF($M$6:M10,M10))</f>
        <v>0</v>
      </c>
      <c r="R10" s="4" t="e">
        <f t="shared" ca="1" si="4"/>
        <v>#N/A</v>
      </c>
      <c r="S10" s="4">
        <f ca="1">IF(ISNA(M10),0,COUNTIF($R$6:R10,R10))</f>
        <v>0</v>
      </c>
      <c r="T10" s="4" t="e">
        <f t="shared" ca="1" si="5"/>
        <v>#N/A</v>
      </c>
    </row>
    <row r="11" spans="2:22" x14ac:dyDescent="0.3">
      <c r="B11" s="48"/>
      <c r="C11" s="48"/>
      <c r="D11" s="10" t="str">
        <f t="shared" ca="1" si="0"/>
        <v/>
      </c>
      <c r="E11" s="48"/>
      <c r="F11" s="48"/>
      <c r="G11" s="10" t="str">
        <f t="shared" ca="1" si="1"/>
        <v/>
      </c>
      <c r="I11" s="10" t="str">
        <f t="shared" ca="1" si="2"/>
        <v/>
      </c>
      <c r="K11" s="4" t="e">
        <f t="shared" ca="1" si="3"/>
        <v>#N/A</v>
      </c>
      <c r="L11" s="4" t="e">
        <f>VLOOKUP(C11,_resources!B:D,3,0)</f>
        <v>#N/A</v>
      </c>
      <c r="M11" s="4" t="e" cm="1">
        <f t="array" aca="1" ref="M11" ca="1">IF(abbrAtEnd,"",L11&amp;"-")&amp;E11&amp;"-"&amp;INDIRECT(OFFSET(element3,MATCH($C11,resources,0)-1,0))&amp;"-"&amp;INDIRECT(OFFSET(element4,MATCH($C11,resources,0)-1,0))&amp;"-"&amp;INDIRECT(OFFSET(element5,MATCH($C11,resources,0)-1,0))&amp;IF(OFFSET(element6,MATCH($C11,resources,0)-1,0)="","","-"&amp;INDIRECT(OFFSET(element6,MATCH($C11,resources,0)-1,0)))&amp;IF(abbrAtEnd,"-"&amp;L11,"")</f>
        <v>#N/A</v>
      </c>
      <c r="N11" s="4" t="str">
        <f t="shared" si="6"/>
        <v>-000</v>
      </c>
      <c r="O11" s="4">
        <f ca="1">IF(totalElements+COUNTIF(Entities!$C$10,"*")+COUNTIF(B11:C11,"*")+COUNTIF(E11:F11,"*")=9,1,0)</f>
        <v>0</v>
      </c>
      <c r="P11" s="4">
        <f>COUNTIF($C$6:C11,C11)</f>
        <v>0</v>
      </c>
      <c r="Q11" s="4">
        <f ca="1">IF(ISNA(M11),0,COUNTIF($M$6:M11,M11))</f>
        <v>0</v>
      </c>
      <c r="R11" s="4" t="e">
        <f t="shared" ca="1" si="4"/>
        <v>#N/A</v>
      </c>
      <c r="S11" s="4">
        <f ca="1">IF(ISNA(M11),0,COUNTIF($R$6:R11,R11))</f>
        <v>0</v>
      </c>
      <c r="T11" s="4" t="e">
        <f t="shared" ca="1" si="5"/>
        <v>#N/A</v>
      </c>
    </row>
    <row r="12" spans="2:22" x14ac:dyDescent="0.3">
      <c r="B12" s="48"/>
      <c r="C12" s="48"/>
      <c r="D12" s="10" t="str">
        <f t="shared" ca="1" si="0"/>
        <v/>
      </c>
      <c r="E12" s="48"/>
      <c r="F12" s="48"/>
      <c r="G12" s="10" t="str">
        <f t="shared" ca="1" si="1"/>
        <v/>
      </c>
      <c r="I12" s="10" t="str">
        <f t="shared" ca="1" si="2"/>
        <v/>
      </c>
      <c r="K12" s="4" t="e">
        <f t="shared" ca="1" si="3"/>
        <v>#N/A</v>
      </c>
      <c r="L12" s="4" t="e">
        <f>VLOOKUP(C12,_resources!B:D,3,0)</f>
        <v>#N/A</v>
      </c>
      <c r="M12" s="4" t="e" cm="1">
        <f t="array" aca="1" ref="M12" ca="1">IF(abbrAtEnd,"",L12&amp;"-")&amp;E12&amp;"-"&amp;INDIRECT(OFFSET(element3,MATCH($C12,resources,0)-1,0))&amp;"-"&amp;INDIRECT(OFFSET(element4,MATCH($C12,resources,0)-1,0))&amp;"-"&amp;INDIRECT(OFFSET(element5,MATCH($C12,resources,0)-1,0))&amp;IF(OFFSET(element6,MATCH($C12,resources,0)-1,0)="","","-"&amp;INDIRECT(OFFSET(element6,MATCH($C12,resources,0)-1,0)))&amp;IF(abbrAtEnd,"-"&amp;L12,"")</f>
        <v>#N/A</v>
      </c>
      <c r="N12" s="4" t="str">
        <f t="shared" si="6"/>
        <v>-000</v>
      </c>
      <c r="O12" s="4">
        <f ca="1">IF(totalElements+COUNTIF(Entities!$C$10,"*")+COUNTIF(B12:C12,"*")+COUNTIF(E12:F12,"*")=9,1,0)</f>
        <v>0</v>
      </c>
      <c r="P12" s="4">
        <f>COUNTIF($C$6:C12,C12)</f>
        <v>0</v>
      </c>
      <c r="Q12" s="4">
        <f ca="1">IF(ISNA(M12),0,COUNTIF($M$6:M12,M12))</f>
        <v>0</v>
      </c>
      <c r="R12" s="4" t="e">
        <f t="shared" ca="1" si="4"/>
        <v>#N/A</v>
      </c>
      <c r="S12" s="4">
        <f ca="1">IF(ISNA(M12),0,COUNTIF($R$6:R12,R12))</f>
        <v>0</v>
      </c>
      <c r="T12" s="4" t="e">
        <f t="shared" ca="1" si="5"/>
        <v>#N/A</v>
      </c>
    </row>
    <row r="13" spans="2:22" x14ac:dyDescent="0.3">
      <c r="B13" s="48"/>
      <c r="C13" s="48"/>
      <c r="D13" s="10" t="str">
        <f t="shared" ca="1" si="0"/>
        <v/>
      </c>
      <c r="E13" s="48"/>
      <c r="F13" s="48"/>
      <c r="G13" s="10" t="str">
        <f t="shared" ca="1" si="1"/>
        <v/>
      </c>
      <c r="I13" s="10" t="str">
        <f t="shared" ca="1" si="2"/>
        <v/>
      </c>
      <c r="K13" s="4" t="e">
        <f t="shared" ca="1" si="3"/>
        <v>#N/A</v>
      </c>
      <c r="L13" s="4" t="e">
        <f>VLOOKUP(C13,_resources!B:D,3,0)</f>
        <v>#N/A</v>
      </c>
      <c r="M13" s="4" t="e" cm="1">
        <f t="array" aca="1" ref="M13" ca="1">IF(abbrAtEnd,"",L13&amp;"-")&amp;E13&amp;"-"&amp;INDIRECT(OFFSET(element3,MATCH($C13,resources,0)-1,0))&amp;"-"&amp;INDIRECT(OFFSET(element4,MATCH($C13,resources,0)-1,0))&amp;"-"&amp;INDIRECT(OFFSET(element5,MATCH($C13,resources,0)-1,0))&amp;IF(OFFSET(element6,MATCH($C13,resources,0)-1,0)="","","-"&amp;INDIRECT(OFFSET(element6,MATCH($C13,resources,0)-1,0)))&amp;IF(abbrAtEnd,"-"&amp;L13,"")</f>
        <v>#N/A</v>
      </c>
      <c r="N13" s="4" t="str">
        <f t="shared" si="6"/>
        <v>-000</v>
      </c>
      <c r="O13" s="4">
        <f ca="1">IF(totalElements+COUNTIF(Entities!$C$10,"*")+COUNTIF(B13:C13,"*")+COUNTIF(E13:F13,"*")=9,1,0)</f>
        <v>0</v>
      </c>
      <c r="P13" s="4">
        <f>COUNTIF($C$6:C13,C13)</f>
        <v>0</v>
      </c>
      <c r="Q13" s="4">
        <f ca="1">IF(ISNA(M13),0,COUNTIF($M$6:M13,M13))</f>
        <v>0</v>
      </c>
      <c r="R13" s="4" t="e">
        <f t="shared" ca="1" si="4"/>
        <v>#N/A</v>
      </c>
      <c r="S13" s="4">
        <f ca="1">IF(ISNA(M13),0,COUNTIF($R$6:R13,R13))</f>
        <v>0</v>
      </c>
      <c r="T13" s="4" t="e">
        <f t="shared" ca="1" si="5"/>
        <v>#N/A</v>
      </c>
    </row>
    <row r="14" spans="2:22" x14ac:dyDescent="0.3">
      <c r="B14" s="48"/>
      <c r="C14" s="48"/>
      <c r="D14" s="10" t="str">
        <f t="shared" ca="1" si="0"/>
        <v/>
      </c>
      <c r="E14" s="48"/>
      <c r="F14" s="48"/>
      <c r="G14" s="10" t="str">
        <f t="shared" ca="1" si="1"/>
        <v/>
      </c>
      <c r="I14" s="10" t="str">
        <f t="shared" ca="1" si="2"/>
        <v/>
      </c>
      <c r="K14" s="4" t="e">
        <f t="shared" ca="1" si="3"/>
        <v>#N/A</v>
      </c>
      <c r="L14" s="4" t="e">
        <f>VLOOKUP(C14,_resources!B:D,3,0)</f>
        <v>#N/A</v>
      </c>
      <c r="M14" s="4" t="e" cm="1">
        <f t="array" aca="1" ref="M14" ca="1">IF(abbrAtEnd,"",L14&amp;"-")&amp;E14&amp;"-"&amp;INDIRECT(OFFSET(element3,MATCH($C14,resources,0)-1,0))&amp;"-"&amp;INDIRECT(OFFSET(element4,MATCH($C14,resources,0)-1,0))&amp;"-"&amp;INDIRECT(OFFSET(element5,MATCH($C14,resources,0)-1,0))&amp;IF(OFFSET(element6,MATCH($C14,resources,0)-1,0)="","","-"&amp;INDIRECT(OFFSET(element6,MATCH($C14,resources,0)-1,0)))&amp;IF(abbrAtEnd,"-"&amp;L14,"")</f>
        <v>#N/A</v>
      </c>
      <c r="N14" s="4" t="str">
        <f t="shared" ref="N14:N77" si="7">IF($M$4,"-"&amp;TEXT(P14,"000"),"-"&amp;TEXT(Q14,"000"))</f>
        <v>-000</v>
      </c>
      <c r="O14" s="4">
        <f ca="1">IF(totalElements+COUNTIF(Entities!$C$10,"*")+COUNTIF(B14:C14,"*")+COUNTIF(E14:F14,"*")=9,1,0)</f>
        <v>0</v>
      </c>
      <c r="P14" s="4">
        <f>COUNTIF($C$6:C14,C14)</f>
        <v>0</v>
      </c>
      <c r="Q14" s="4">
        <f ca="1">IF(ISNA(M14),0,COUNTIF($M$6:M14,M14))</f>
        <v>0</v>
      </c>
      <c r="R14" s="4" t="e">
        <f t="shared" ca="1" si="4"/>
        <v>#N/A</v>
      </c>
      <c r="S14" s="4">
        <f ca="1">IF(ISNA(M14),0,COUNTIF($R$6:R14,R14))</f>
        <v>0</v>
      </c>
      <c r="T14" s="4" t="e">
        <f t="shared" ca="1" si="5"/>
        <v>#N/A</v>
      </c>
    </row>
    <row r="15" spans="2:22" x14ac:dyDescent="0.3">
      <c r="B15" s="48"/>
      <c r="C15" s="48"/>
      <c r="D15" s="10" t="str">
        <f t="shared" ca="1" si="0"/>
        <v/>
      </c>
      <c r="E15" s="48"/>
      <c r="F15" s="48"/>
      <c r="G15" s="10" t="str">
        <f t="shared" ca="1" si="1"/>
        <v/>
      </c>
      <c r="I15" s="10" t="str">
        <f t="shared" ca="1" si="2"/>
        <v/>
      </c>
      <c r="K15" s="4" t="e">
        <f t="shared" ca="1" si="3"/>
        <v>#N/A</v>
      </c>
      <c r="L15" s="4" t="e">
        <f>VLOOKUP(C15,_resources!B:D,3,0)</f>
        <v>#N/A</v>
      </c>
      <c r="M15" s="4" t="e" cm="1">
        <f t="array" aca="1" ref="M15" ca="1">IF(abbrAtEnd,"",L15&amp;"-")&amp;E15&amp;"-"&amp;INDIRECT(OFFSET(element3,MATCH($C15,resources,0)-1,0))&amp;"-"&amp;INDIRECT(OFFSET(element4,MATCH($C15,resources,0)-1,0))&amp;"-"&amp;INDIRECT(OFFSET(element5,MATCH($C15,resources,0)-1,0))&amp;IF(OFFSET(element6,MATCH($C15,resources,0)-1,0)="","","-"&amp;INDIRECT(OFFSET(element6,MATCH($C15,resources,0)-1,0)))&amp;IF(abbrAtEnd,"-"&amp;L15,"")</f>
        <v>#N/A</v>
      </c>
      <c r="N15" s="4" t="str">
        <f t="shared" si="7"/>
        <v>-000</v>
      </c>
      <c r="O15" s="4">
        <f ca="1">IF(totalElements+COUNTIF(Entities!$C$10,"*")+COUNTIF(B15:C15,"*")+COUNTIF(E15:F15,"*")=9,1,0)</f>
        <v>0</v>
      </c>
      <c r="P15" s="4">
        <f>COUNTIF($C$6:C15,C15)</f>
        <v>0</v>
      </c>
      <c r="Q15" s="4">
        <f ca="1">IF(ISNA(M15),0,COUNTIF($M$6:M15,M15))</f>
        <v>0</v>
      </c>
      <c r="R15" s="4" t="e">
        <f t="shared" ca="1" si="4"/>
        <v>#N/A</v>
      </c>
      <c r="S15" s="4">
        <f ca="1">IF(ISNA(M15),0,COUNTIF($R$6:R15,R15))</f>
        <v>0</v>
      </c>
      <c r="T15" s="4" t="e">
        <f t="shared" ca="1" si="5"/>
        <v>#N/A</v>
      </c>
    </row>
    <row r="16" spans="2:22" x14ac:dyDescent="0.3">
      <c r="B16" s="48"/>
      <c r="C16" s="48"/>
      <c r="D16" s="10" t="str">
        <f t="shared" ca="1" si="0"/>
        <v/>
      </c>
      <c r="E16" s="48"/>
      <c r="F16" s="48"/>
      <c r="G16" s="10" t="str">
        <f t="shared" ca="1" si="1"/>
        <v/>
      </c>
      <c r="I16" s="10" t="str">
        <f t="shared" ca="1" si="2"/>
        <v/>
      </c>
      <c r="K16" s="4" t="e">
        <f t="shared" ca="1" si="3"/>
        <v>#N/A</v>
      </c>
      <c r="L16" s="4" t="e">
        <f>VLOOKUP(C16,_resources!B:D,3,0)</f>
        <v>#N/A</v>
      </c>
      <c r="M16" s="4" t="e" cm="1">
        <f t="array" aca="1" ref="M16" ca="1">IF(abbrAtEnd,"",L16&amp;"-")&amp;E16&amp;"-"&amp;INDIRECT(OFFSET(element3,MATCH($C16,resources,0)-1,0))&amp;"-"&amp;INDIRECT(OFFSET(element4,MATCH($C16,resources,0)-1,0))&amp;"-"&amp;INDIRECT(OFFSET(element5,MATCH($C16,resources,0)-1,0))&amp;IF(OFFSET(element6,MATCH($C16,resources,0)-1,0)="","","-"&amp;INDIRECT(OFFSET(element6,MATCH($C16,resources,0)-1,0)))&amp;IF(abbrAtEnd,"-"&amp;L16,"")</f>
        <v>#N/A</v>
      </c>
      <c r="N16" s="4" t="str">
        <f t="shared" si="7"/>
        <v>-000</v>
      </c>
      <c r="O16" s="4">
        <f ca="1">IF(totalElements+COUNTIF(Entities!$C$10,"*")+COUNTIF(B16:C16,"*")+COUNTIF(E16:F16,"*")=9,1,0)</f>
        <v>0</v>
      </c>
      <c r="P16" s="4">
        <f>COUNTIF($C$6:C16,C16)</f>
        <v>0</v>
      </c>
      <c r="Q16" s="4">
        <f ca="1">IF(ISNA(M16),0,COUNTIF($M$6:M16,M16))</f>
        <v>0</v>
      </c>
      <c r="R16" s="4" t="e">
        <f t="shared" ca="1" si="4"/>
        <v>#N/A</v>
      </c>
      <c r="S16" s="4">
        <f ca="1">IF(ISNA(M16),0,COUNTIF($R$6:R16,R16))</f>
        <v>0</v>
      </c>
      <c r="T16" s="4" t="e">
        <f t="shared" ca="1" si="5"/>
        <v>#N/A</v>
      </c>
    </row>
    <row r="17" spans="2:20" x14ac:dyDescent="0.3">
      <c r="B17" s="48"/>
      <c r="C17" s="48"/>
      <c r="D17" s="10" t="str">
        <f t="shared" ca="1" si="0"/>
        <v/>
      </c>
      <c r="E17" s="48"/>
      <c r="F17" s="48"/>
      <c r="G17" s="10" t="str">
        <f ca="1">IF(O17,IF(K17="hyphenated",M17&amp;N17,IF(K17="dnsname",E18,IF(K17="alphanumeric",SUBSTITUTE(M17&amp;N17,"-",""),"unknown or missing resource structure"))),"")</f>
        <v/>
      </c>
      <c r="I17" s="10" t="str">
        <f t="shared" ca="1" si="2"/>
        <v/>
      </c>
      <c r="K17" s="4" t="e">
        <f t="shared" ca="1" si="3"/>
        <v>#N/A</v>
      </c>
      <c r="L17" s="4" t="e">
        <f>VLOOKUP(C17,_resources!B:D,3,0)</f>
        <v>#N/A</v>
      </c>
      <c r="M17" s="4" t="e" cm="1">
        <f t="array" aca="1" ref="M17" ca="1">IF(abbrAtEnd,"",L17&amp;"-")&amp;E18&amp;"-"&amp;INDIRECT(OFFSET(element3,MATCH($C17,resources,0)-1,0))&amp;"-"&amp;INDIRECT(OFFSET(element4,MATCH($C17,resources,0)-1,0))&amp;"-"&amp;INDIRECT(OFFSET(element5,MATCH($C17,resources,0)-1,0))&amp;IF(OFFSET(element6,MATCH($C17,resources,0)-1,0)="","","-"&amp;INDIRECT(OFFSET(element6,MATCH($C17,resources,0)-1,0)))&amp;IF(abbrAtEnd,"-"&amp;L17,"")</f>
        <v>#N/A</v>
      </c>
      <c r="N17" s="4" t="str">
        <f t="shared" si="7"/>
        <v>-000</v>
      </c>
      <c r="O17" s="4">
        <f ca="1">IF(totalElements+COUNTIF(Entities!$C$10,"*")+COUNTIF(B17:C17,"*")+COUNTIF(E17:F17,"*")=9,1,0)</f>
        <v>0</v>
      </c>
      <c r="P17" s="4">
        <f>COUNTIF($C$6:C17,C17)</f>
        <v>0</v>
      </c>
      <c r="Q17" s="4">
        <f ca="1">IF(ISNA(M17),0,COUNTIF($M$6:M17,M17))</f>
        <v>0</v>
      </c>
      <c r="R17" s="4" t="e">
        <f t="shared" ca="1" si="4"/>
        <v>#N/A</v>
      </c>
      <c r="S17" s="4">
        <f ca="1">IF(ISNA(M17),0,COUNTIF($R$6:R17,R17))</f>
        <v>0</v>
      </c>
      <c r="T17" s="4" t="e">
        <f t="shared" ca="1" si="5"/>
        <v>#N/A</v>
      </c>
    </row>
    <row r="18" spans="2:20" x14ac:dyDescent="0.3">
      <c r="B18" s="48"/>
      <c r="C18" s="48"/>
      <c r="D18" s="10" t="str">
        <f t="shared" ca="1" si="0"/>
        <v/>
      </c>
      <c r="E18" s="48"/>
      <c r="F18" s="48"/>
      <c r="G18" s="10" t="str">
        <f ca="1">IF(O18,IF(K18="hyphenated",M18&amp;N18,IF(K18="dnsname",#REF!,IF(K18="alphanumeric",SUBSTITUTE(M18&amp;N18,"-",""),"unknown or missing resource structure"))),"")</f>
        <v/>
      </c>
      <c r="I18" s="10" t="str">
        <f t="shared" ca="1" si="2"/>
        <v/>
      </c>
      <c r="K18" s="4" t="e">
        <f t="shared" ca="1" si="3"/>
        <v>#N/A</v>
      </c>
      <c r="L18" s="4" t="e">
        <f>VLOOKUP(C18,_resources!B:D,3,0)</f>
        <v>#N/A</v>
      </c>
      <c r="M18" s="4" t="e" cm="1">
        <f t="array" aca="1" ref="M18" ca="1">IF(abbrAtEnd,"",L18&amp;"-")&amp;#REF!&amp;"-"&amp;INDIRECT(OFFSET(element3,MATCH($C18,resources,0)-1,0))&amp;"-"&amp;INDIRECT(OFFSET(element4,MATCH($C18,resources,0)-1,0))&amp;"-"&amp;INDIRECT(OFFSET(element5,MATCH($C18,resources,0)-1,0))&amp;IF(OFFSET(element6,MATCH($C18,resources,0)-1,0)="","","-"&amp;INDIRECT(OFFSET(element6,MATCH($C18,resources,0)-1,0)))&amp;IF(abbrAtEnd,"-"&amp;L18,"")</f>
        <v>#N/A</v>
      </c>
      <c r="N18" s="4" t="str">
        <f t="shared" si="7"/>
        <v>-000</v>
      </c>
      <c r="O18" s="4">
        <f ca="1">IF(totalElements+COUNTIF(Entities!$C$10,"*")+COUNTIF(B18:C18,"*")+COUNTIF(E18:F18,"*")=9,1,0)</f>
        <v>0</v>
      </c>
      <c r="P18" s="4">
        <f>COUNTIF($C$6:C18,C18)</f>
        <v>0</v>
      </c>
      <c r="Q18" s="4">
        <f ca="1">IF(ISNA(M18),0,COUNTIF($M$6:M18,M18))</f>
        <v>0</v>
      </c>
      <c r="R18" s="4" t="e">
        <f t="shared" ca="1" si="4"/>
        <v>#N/A</v>
      </c>
      <c r="S18" s="4">
        <f ca="1">IF(ISNA(M18),0,COUNTIF($R$6:R18,R18))</f>
        <v>0</v>
      </c>
      <c r="T18" s="4" t="e">
        <f t="shared" ca="1" si="5"/>
        <v>#N/A</v>
      </c>
    </row>
    <row r="19" spans="2:20" x14ac:dyDescent="0.3">
      <c r="B19" s="48"/>
      <c r="C19" s="48"/>
      <c r="D19" s="10" t="str">
        <f t="shared" ca="1" si="0"/>
        <v/>
      </c>
      <c r="E19" s="48"/>
      <c r="F19" s="48"/>
      <c r="G19" s="10" t="str">
        <f t="shared" ref="G19:G82" ca="1" si="8">IF(O19,IF(K19="hyphenated",M19&amp;N19,IF(K19="dnsname",E19,IF(K19="alphanumeric",SUBSTITUTE(M19&amp;N19,"-",""),"unknown or missing resource structure"))),"")</f>
        <v/>
      </c>
      <c r="I19" s="10" t="str">
        <f t="shared" ca="1" si="2"/>
        <v/>
      </c>
      <c r="K19" s="4" t="e">
        <f t="shared" ca="1" si="3"/>
        <v>#N/A</v>
      </c>
      <c r="L19" s="4" t="e">
        <f>VLOOKUP(C19,_resources!B:D,3,0)</f>
        <v>#N/A</v>
      </c>
      <c r="M19" s="4" t="e" cm="1">
        <f t="array" aca="1" ref="M19" ca="1">IF(abbrAtEnd,"",L19&amp;"-")&amp;E19&amp;"-"&amp;INDIRECT(OFFSET(element3,MATCH($C19,resources,0)-1,0))&amp;"-"&amp;INDIRECT(OFFSET(element4,MATCH($C19,resources,0)-1,0))&amp;"-"&amp;INDIRECT(OFFSET(element5,MATCH($C19,resources,0)-1,0))&amp;IF(OFFSET(element6,MATCH($C19,resources,0)-1,0)="","","-"&amp;INDIRECT(OFFSET(element6,MATCH($C19,resources,0)-1,0)))&amp;IF(abbrAtEnd,"-"&amp;L19,"")</f>
        <v>#N/A</v>
      </c>
      <c r="N19" s="4" t="str">
        <f t="shared" si="7"/>
        <v>-000</v>
      </c>
      <c r="O19" s="4">
        <f ca="1">IF(totalElements+COUNTIF(Entities!$C$10,"*")+COUNTIF(B19:C19,"*")+COUNTIF(E19:F19,"*")=9,1,0)</f>
        <v>0</v>
      </c>
      <c r="P19" s="4">
        <f>COUNTIF($C$6:C19,C19)</f>
        <v>0</v>
      </c>
      <c r="Q19" s="4">
        <f ca="1">IF(ISNA(M19),0,COUNTIF($M$6:M19,M19))</f>
        <v>0</v>
      </c>
      <c r="R19" s="4" t="e">
        <f t="shared" ca="1" si="4"/>
        <v>#N/A</v>
      </c>
      <c r="S19" s="4">
        <f ca="1">IF(ISNA(M19),0,COUNTIF($R$6:R19,R19))</f>
        <v>0</v>
      </c>
      <c r="T19" s="4" t="e">
        <f t="shared" ca="1" si="5"/>
        <v>#N/A</v>
      </c>
    </row>
    <row r="20" spans="2:20" x14ac:dyDescent="0.3">
      <c r="B20" s="48"/>
      <c r="C20" s="48"/>
      <c r="D20" s="10" t="str">
        <f t="shared" ca="1" si="0"/>
        <v/>
      </c>
      <c r="E20" s="48"/>
      <c r="F20" s="48"/>
      <c r="G20" s="10" t="str">
        <f t="shared" ca="1" si="8"/>
        <v/>
      </c>
      <c r="I20" s="10" t="str">
        <f t="shared" ca="1" si="2"/>
        <v/>
      </c>
      <c r="K20" s="4" t="e">
        <f t="shared" ca="1" si="3"/>
        <v>#N/A</v>
      </c>
      <c r="L20" s="4" t="e">
        <f>VLOOKUP(C20,_resources!B:D,3,0)</f>
        <v>#N/A</v>
      </c>
      <c r="M20" s="4" t="e" cm="1">
        <f t="array" aca="1" ref="M20" ca="1">IF(abbrAtEnd,"",L20&amp;"-")&amp;E20&amp;"-"&amp;INDIRECT(OFFSET(element3,MATCH($C20,resources,0)-1,0))&amp;"-"&amp;INDIRECT(OFFSET(element4,MATCH($C20,resources,0)-1,0))&amp;"-"&amp;INDIRECT(OFFSET(element5,MATCH($C20,resources,0)-1,0))&amp;IF(OFFSET(element6,MATCH($C20,resources,0)-1,0)="","","-"&amp;INDIRECT(OFFSET(element6,MATCH($C20,resources,0)-1,0)))&amp;IF(abbrAtEnd,"-"&amp;L20,"")</f>
        <v>#N/A</v>
      </c>
      <c r="N20" s="4" t="str">
        <f t="shared" si="7"/>
        <v>-000</v>
      </c>
      <c r="O20" s="4">
        <f ca="1">IF(totalElements+COUNTIF(Entities!$C$10,"*")+COUNTIF(B20:C20,"*")+COUNTIF(E20:F20,"*")=9,1,0)</f>
        <v>0</v>
      </c>
      <c r="P20" s="4">
        <f>COUNTIF($C$6:C20,C20)</f>
        <v>0</v>
      </c>
      <c r="Q20" s="4">
        <f ca="1">IF(ISNA(M20),0,COUNTIF($M$6:M20,M20))</f>
        <v>0</v>
      </c>
      <c r="R20" s="4" t="e">
        <f t="shared" ca="1" si="4"/>
        <v>#N/A</v>
      </c>
      <c r="S20" s="4">
        <f ca="1">IF(ISNA(M20),0,COUNTIF($R$6:R20,R20))</f>
        <v>0</v>
      </c>
      <c r="T20" s="4" t="e">
        <f t="shared" ca="1" si="5"/>
        <v>#N/A</v>
      </c>
    </row>
    <row r="21" spans="2:20" x14ac:dyDescent="0.3">
      <c r="B21" s="48"/>
      <c r="C21" s="48"/>
      <c r="D21" s="10" t="str">
        <f t="shared" ca="1" si="0"/>
        <v/>
      </c>
      <c r="E21" s="48"/>
      <c r="F21" s="48"/>
      <c r="G21" s="10" t="str">
        <f t="shared" ca="1" si="8"/>
        <v/>
      </c>
      <c r="I21" s="10" t="str">
        <f t="shared" ca="1" si="2"/>
        <v/>
      </c>
      <c r="K21" s="4" t="e">
        <f t="shared" ca="1" si="3"/>
        <v>#N/A</v>
      </c>
      <c r="L21" s="4" t="e">
        <f>VLOOKUP(C21,_resources!B:D,3,0)</f>
        <v>#N/A</v>
      </c>
      <c r="M21" s="4" t="e" cm="1">
        <f t="array" aca="1" ref="M21" ca="1">IF(abbrAtEnd,"",L21&amp;"-")&amp;E21&amp;"-"&amp;INDIRECT(OFFSET(element3,MATCH($C21,resources,0)-1,0))&amp;"-"&amp;INDIRECT(OFFSET(element4,MATCH($C21,resources,0)-1,0))&amp;"-"&amp;INDIRECT(OFFSET(element5,MATCH($C21,resources,0)-1,0))&amp;IF(OFFSET(element6,MATCH($C21,resources,0)-1,0)="","","-"&amp;INDIRECT(OFFSET(element6,MATCH($C21,resources,0)-1,0)))&amp;IF(abbrAtEnd,"-"&amp;L21,"")</f>
        <v>#N/A</v>
      </c>
      <c r="N21" s="4" t="str">
        <f t="shared" si="7"/>
        <v>-000</v>
      </c>
      <c r="O21" s="4">
        <f ca="1">IF(totalElements+COUNTIF(Entities!$C$10,"*")+COUNTIF(B21:C21,"*")+COUNTIF(E21:F21,"*")=9,1,0)</f>
        <v>0</v>
      </c>
      <c r="P21" s="4">
        <f>COUNTIF($C$6:C21,C21)</f>
        <v>0</v>
      </c>
      <c r="Q21" s="4">
        <f ca="1">IF(ISNA(M21),0,COUNTIF($M$6:M21,M21))</f>
        <v>0</v>
      </c>
      <c r="R21" s="4" t="e">
        <f t="shared" ca="1" si="4"/>
        <v>#N/A</v>
      </c>
      <c r="S21" s="4">
        <f ca="1">IF(ISNA(M21),0,COUNTIF($R$6:R21,R21))</f>
        <v>0</v>
      </c>
      <c r="T21" s="4" t="e">
        <f t="shared" ca="1" si="5"/>
        <v>#N/A</v>
      </c>
    </row>
    <row r="22" spans="2:20" x14ac:dyDescent="0.3">
      <c r="B22" s="48"/>
      <c r="C22" s="48"/>
      <c r="D22" s="10" t="str">
        <f t="shared" ca="1" si="0"/>
        <v/>
      </c>
      <c r="E22" s="48"/>
      <c r="F22" s="48"/>
      <c r="G22" s="10" t="str">
        <f t="shared" ca="1" si="8"/>
        <v/>
      </c>
      <c r="I22" s="10" t="str">
        <f t="shared" ca="1" si="2"/>
        <v/>
      </c>
      <c r="K22" s="4" t="e">
        <f t="shared" ca="1" si="3"/>
        <v>#N/A</v>
      </c>
      <c r="L22" s="4" t="e">
        <f>VLOOKUP(C22,_resources!B:D,3,0)</f>
        <v>#N/A</v>
      </c>
      <c r="M22" s="4" t="e" cm="1">
        <f t="array" aca="1" ref="M22" ca="1">IF(abbrAtEnd,"",L22&amp;"-")&amp;E22&amp;"-"&amp;INDIRECT(OFFSET(element3,MATCH($C22,resources,0)-1,0))&amp;"-"&amp;INDIRECT(OFFSET(element4,MATCH($C22,resources,0)-1,0))&amp;"-"&amp;INDIRECT(OFFSET(element5,MATCH($C22,resources,0)-1,0))&amp;IF(OFFSET(element6,MATCH($C22,resources,0)-1,0)="","","-"&amp;INDIRECT(OFFSET(element6,MATCH($C22,resources,0)-1,0)))&amp;IF(abbrAtEnd,"-"&amp;L22,"")</f>
        <v>#N/A</v>
      </c>
      <c r="N22" s="4" t="str">
        <f t="shared" si="7"/>
        <v>-000</v>
      </c>
      <c r="O22" s="4">
        <f ca="1">IF(totalElements+COUNTIF(Entities!$C$10,"*")+COUNTIF(B22:C22,"*")+COUNTIF(E22:F22,"*")=9,1,0)</f>
        <v>0</v>
      </c>
      <c r="P22" s="4">
        <f>COUNTIF($C$6:C22,C22)</f>
        <v>0</v>
      </c>
      <c r="Q22" s="4">
        <f ca="1">IF(ISNA(M22),0,COUNTIF($M$6:M22,M22))</f>
        <v>0</v>
      </c>
      <c r="R22" s="4" t="e">
        <f t="shared" ca="1" si="4"/>
        <v>#N/A</v>
      </c>
      <c r="S22" s="4">
        <f ca="1">IF(ISNA(M22),0,COUNTIF($R$6:R22,R22))</f>
        <v>0</v>
      </c>
      <c r="T22" s="4" t="e">
        <f t="shared" ca="1" si="5"/>
        <v>#N/A</v>
      </c>
    </row>
    <row r="23" spans="2:20" x14ac:dyDescent="0.3">
      <c r="B23" s="48"/>
      <c r="C23" s="48"/>
      <c r="D23" s="10" t="str">
        <f t="shared" ca="1" si="0"/>
        <v/>
      </c>
      <c r="E23" s="48"/>
      <c r="F23" s="48"/>
      <c r="G23" s="10" t="str">
        <f t="shared" ca="1" si="8"/>
        <v/>
      </c>
      <c r="I23" s="10" t="str">
        <f t="shared" ca="1" si="2"/>
        <v/>
      </c>
      <c r="K23" s="4" t="e">
        <f t="shared" ca="1" si="3"/>
        <v>#N/A</v>
      </c>
      <c r="L23" s="4" t="e">
        <f>VLOOKUP(C23,_resources!B:D,3,0)</f>
        <v>#N/A</v>
      </c>
      <c r="M23" s="4" t="e" cm="1">
        <f t="array" aca="1" ref="M23" ca="1">IF(abbrAtEnd,"",L23&amp;"-")&amp;E23&amp;"-"&amp;INDIRECT(OFFSET(element3,MATCH($C23,resources,0)-1,0))&amp;"-"&amp;INDIRECT(OFFSET(element4,MATCH($C23,resources,0)-1,0))&amp;"-"&amp;INDIRECT(OFFSET(element5,MATCH($C23,resources,0)-1,0))&amp;IF(OFFSET(element6,MATCH($C23,resources,0)-1,0)="","","-"&amp;INDIRECT(OFFSET(element6,MATCH($C23,resources,0)-1,0)))&amp;IF(abbrAtEnd,"-"&amp;L23,"")</f>
        <v>#N/A</v>
      </c>
      <c r="N23" s="4" t="str">
        <f t="shared" si="7"/>
        <v>-000</v>
      </c>
      <c r="O23" s="4">
        <f ca="1">IF(totalElements+COUNTIF(Entities!$C$10,"*")+COUNTIF(B23:C23,"*")+COUNTIF(E23:F23,"*")=9,1,0)</f>
        <v>0</v>
      </c>
      <c r="P23" s="4">
        <f>COUNTIF($C$6:C23,C23)</f>
        <v>0</v>
      </c>
      <c r="Q23" s="4">
        <f ca="1">IF(ISNA(M23),0,COUNTIF($M$6:M23,M23))</f>
        <v>0</v>
      </c>
      <c r="R23" s="4" t="e">
        <f t="shared" ca="1" si="4"/>
        <v>#N/A</v>
      </c>
      <c r="S23" s="4">
        <f ca="1">IF(ISNA(M23),0,COUNTIF($R$6:R23,R23))</f>
        <v>0</v>
      </c>
      <c r="T23" s="4" t="e">
        <f t="shared" ca="1" si="5"/>
        <v>#N/A</v>
      </c>
    </row>
    <row r="24" spans="2:20" x14ac:dyDescent="0.3">
      <c r="B24" s="48"/>
      <c r="C24" s="48"/>
      <c r="D24" s="10" t="str">
        <f t="shared" ca="1" si="0"/>
        <v/>
      </c>
      <c r="E24" s="48"/>
      <c r="F24" s="48"/>
      <c r="G24" s="10" t="str">
        <f t="shared" ca="1" si="8"/>
        <v/>
      </c>
      <c r="I24" s="10" t="str">
        <f t="shared" ca="1" si="2"/>
        <v/>
      </c>
      <c r="K24" s="4" t="e">
        <f t="shared" ca="1" si="3"/>
        <v>#N/A</v>
      </c>
      <c r="L24" s="4" t="e">
        <f>VLOOKUP(C24,_resources!B:D,3,0)</f>
        <v>#N/A</v>
      </c>
      <c r="M24" s="4" t="e" cm="1">
        <f t="array" aca="1" ref="M24" ca="1">IF(abbrAtEnd,"",L24&amp;"-")&amp;E24&amp;"-"&amp;INDIRECT(OFFSET(element3,MATCH($C24,resources,0)-1,0))&amp;"-"&amp;INDIRECT(OFFSET(element4,MATCH($C24,resources,0)-1,0))&amp;"-"&amp;INDIRECT(OFFSET(element5,MATCH($C24,resources,0)-1,0))&amp;IF(OFFSET(element6,MATCH($C24,resources,0)-1,0)="","","-"&amp;INDIRECT(OFFSET(element6,MATCH($C24,resources,0)-1,0)))&amp;IF(abbrAtEnd,"-"&amp;L24,"")</f>
        <v>#N/A</v>
      </c>
      <c r="N24" s="4" t="str">
        <f t="shared" si="7"/>
        <v>-000</v>
      </c>
      <c r="O24" s="4">
        <f ca="1">IF(totalElements+COUNTIF(Entities!$C$10,"*")+COUNTIF(B24:C24,"*")+COUNTIF(E24:F24,"*")=9,1,0)</f>
        <v>0</v>
      </c>
      <c r="P24" s="4">
        <f>COUNTIF($C$6:C24,C24)</f>
        <v>0</v>
      </c>
      <c r="Q24" s="4">
        <f ca="1">IF(ISNA(M24),0,COUNTIF($M$6:M24,M24))</f>
        <v>0</v>
      </c>
      <c r="R24" s="4" t="e">
        <f t="shared" ca="1" si="4"/>
        <v>#N/A</v>
      </c>
      <c r="S24" s="4">
        <f ca="1">IF(ISNA(M24),0,COUNTIF($R$6:R24,R24))</f>
        <v>0</v>
      </c>
      <c r="T24" s="4" t="e">
        <f t="shared" ca="1" si="5"/>
        <v>#N/A</v>
      </c>
    </row>
    <row r="25" spans="2:20" x14ac:dyDescent="0.3">
      <c r="B25" s="48"/>
      <c r="C25" s="48"/>
      <c r="D25" s="10" t="str">
        <f t="shared" ca="1" si="0"/>
        <v/>
      </c>
      <c r="E25" s="48"/>
      <c r="F25" s="48"/>
      <c r="G25" s="10" t="str">
        <f t="shared" ca="1" si="8"/>
        <v/>
      </c>
      <c r="I25" s="10" t="str">
        <f t="shared" ca="1" si="2"/>
        <v/>
      </c>
      <c r="K25" s="4" t="e">
        <f t="shared" ca="1" si="3"/>
        <v>#N/A</v>
      </c>
      <c r="L25" s="4" t="e">
        <f>VLOOKUP(C25,_resources!B:D,3,0)</f>
        <v>#N/A</v>
      </c>
      <c r="M25" s="4" t="e" cm="1">
        <f t="array" aca="1" ref="M25" ca="1">IF(abbrAtEnd,"",L25&amp;"-")&amp;E25&amp;"-"&amp;INDIRECT(OFFSET(element3,MATCH($C25,resources,0)-1,0))&amp;"-"&amp;INDIRECT(OFFSET(element4,MATCH($C25,resources,0)-1,0))&amp;"-"&amp;INDIRECT(OFFSET(element5,MATCH($C25,resources,0)-1,0))&amp;IF(OFFSET(element6,MATCH($C25,resources,0)-1,0)="","","-"&amp;INDIRECT(OFFSET(element6,MATCH($C25,resources,0)-1,0)))&amp;IF(abbrAtEnd,"-"&amp;L25,"")</f>
        <v>#N/A</v>
      </c>
      <c r="N25" s="4" t="str">
        <f t="shared" si="7"/>
        <v>-000</v>
      </c>
      <c r="O25" s="4">
        <f ca="1">IF(totalElements+COUNTIF(Entities!$C$10,"*")+COUNTIF(B25:C25,"*")+COUNTIF(E25:F25,"*")=9,1,0)</f>
        <v>0</v>
      </c>
      <c r="P25" s="4">
        <f>COUNTIF($C$6:C25,C25)</f>
        <v>0</v>
      </c>
      <c r="Q25" s="4">
        <f ca="1">IF(ISNA(M25),0,COUNTIF($M$6:M25,M25))</f>
        <v>0</v>
      </c>
      <c r="R25" s="4" t="e">
        <f t="shared" ca="1" si="4"/>
        <v>#N/A</v>
      </c>
      <c r="S25" s="4">
        <f ca="1">IF(ISNA(M25),0,COUNTIF($R$6:R25,R25))</f>
        <v>0</v>
      </c>
      <c r="T25" s="4" t="e">
        <f t="shared" ca="1" si="5"/>
        <v>#N/A</v>
      </c>
    </row>
    <row r="26" spans="2:20" x14ac:dyDescent="0.3">
      <c r="B26" s="48"/>
      <c r="C26" s="48"/>
      <c r="D26" s="10" t="str">
        <f t="shared" ca="1" si="0"/>
        <v/>
      </c>
      <c r="E26" s="48"/>
      <c r="F26" s="48"/>
      <c r="G26" s="10" t="str">
        <f t="shared" ca="1" si="8"/>
        <v/>
      </c>
      <c r="I26" s="10" t="str">
        <f t="shared" ca="1" si="2"/>
        <v/>
      </c>
      <c r="K26" s="4" t="e">
        <f t="shared" ca="1" si="3"/>
        <v>#N/A</v>
      </c>
      <c r="L26" s="4" t="e">
        <f>VLOOKUP(C26,_resources!B:D,3,0)</f>
        <v>#N/A</v>
      </c>
      <c r="M26" s="4" t="e" cm="1">
        <f t="array" aca="1" ref="M26" ca="1">IF(abbrAtEnd,"",L26&amp;"-")&amp;E26&amp;"-"&amp;INDIRECT(OFFSET(element3,MATCH($C26,resources,0)-1,0))&amp;"-"&amp;INDIRECT(OFFSET(element4,MATCH($C26,resources,0)-1,0))&amp;"-"&amp;INDIRECT(OFFSET(element5,MATCH($C26,resources,0)-1,0))&amp;IF(OFFSET(element6,MATCH($C26,resources,0)-1,0)="","","-"&amp;INDIRECT(OFFSET(element6,MATCH($C26,resources,0)-1,0)))&amp;IF(abbrAtEnd,"-"&amp;L26,"")</f>
        <v>#N/A</v>
      </c>
      <c r="N26" s="4" t="str">
        <f t="shared" si="7"/>
        <v>-000</v>
      </c>
      <c r="O26" s="4">
        <f ca="1">IF(totalElements+COUNTIF(Entities!$C$10,"*")+COUNTIF(B26:C26,"*")+COUNTIF(E26:F26,"*")=9,1,0)</f>
        <v>0</v>
      </c>
      <c r="P26" s="4">
        <f>COUNTIF($C$6:C26,C26)</f>
        <v>0</v>
      </c>
      <c r="Q26" s="4">
        <f ca="1">IF(ISNA(M26),0,COUNTIF($M$6:M26,M26))</f>
        <v>0</v>
      </c>
      <c r="R26" s="4" t="e">
        <f t="shared" ca="1" si="4"/>
        <v>#N/A</v>
      </c>
      <c r="S26" s="4">
        <f ca="1">IF(ISNA(M26),0,COUNTIF($R$6:R26,R26))</f>
        <v>0</v>
      </c>
      <c r="T26" s="4" t="e">
        <f t="shared" ca="1" si="5"/>
        <v>#N/A</v>
      </c>
    </row>
    <row r="27" spans="2:20" x14ac:dyDescent="0.3">
      <c r="B27" s="48"/>
      <c r="C27" s="48"/>
      <c r="D27" s="10" t="str">
        <f t="shared" ca="1" si="0"/>
        <v/>
      </c>
      <c r="E27" s="48"/>
      <c r="F27" s="48"/>
      <c r="G27" s="10" t="str">
        <f t="shared" ca="1" si="8"/>
        <v/>
      </c>
      <c r="I27" s="10" t="str">
        <f t="shared" ca="1" si="2"/>
        <v/>
      </c>
      <c r="K27" s="4" t="e">
        <f t="shared" ca="1" si="3"/>
        <v>#N/A</v>
      </c>
      <c r="L27" s="4" t="e">
        <f>VLOOKUP(C27,_resources!B:D,3,0)</f>
        <v>#N/A</v>
      </c>
      <c r="M27" s="4" t="e" cm="1">
        <f t="array" aca="1" ref="M27" ca="1">IF(abbrAtEnd,"",L27&amp;"-")&amp;E27&amp;"-"&amp;INDIRECT(OFFSET(element3,MATCH($C27,resources,0)-1,0))&amp;"-"&amp;INDIRECT(OFFSET(element4,MATCH($C27,resources,0)-1,0))&amp;"-"&amp;INDIRECT(OFFSET(element5,MATCH($C27,resources,0)-1,0))&amp;IF(OFFSET(element6,MATCH($C27,resources,0)-1,0)="","","-"&amp;INDIRECT(OFFSET(element6,MATCH($C27,resources,0)-1,0)))&amp;IF(abbrAtEnd,"-"&amp;L27,"")</f>
        <v>#N/A</v>
      </c>
      <c r="N27" s="4" t="str">
        <f t="shared" si="7"/>
        <v>-000</v>
      </c>
      <c r="O27" s="4">
        <f ca="1">IF(totalElements+COUNTIF(Entities!$C$10,"*")+COUNTIF(B27:C27,"*")+COUNTIF(E27:F27,"*")=9,1,0)</f>
        <v>0</v>
      </c>
      <c r="P27" s="4">
        <f>COUNTIF($C$6:C27,C27)</f>
        <v>0</v>
      </c>
      <c r="Q27" s="4">
        <f ca="1">IF(ISNA(M27),0,COUNTIF($M$6:M27,M27))</f>
        <v>0</v>
      </c>
      <c r="R27" s="4" t="e">
        <f t="shared" ca="1" si="4"/>
        <v>#N/A</v>
      </c>
      <c r="S27" s="4">
        <f ca="1">IF(ISNA(M27),0,COUNTIF($R$6:R27,R27))</f>
        <v>0</v>
      </c>
      <c r="T27" s="4" t="e">
        <f t="shared" ca="1" si="5"/>
        <v>#N/A</v>
      </c>
    </row>
    <row r="28" spans="2:20" x14ac:dyDescent="0.3">
      <c r="B28" s="48"/>
      <c r="C28" s="48"/>
      <c r="D28" s="10" t="str">
        <f t="shared" ca="1" si="0"/>
        <v/>
      </c>
      <c r="E28" s="48"/>
      <c r="F28" s="48"/>
      <c r="G28" s="10" t="str">
        <f t="shared" ca="1" si="8"/>
        <v/>
      </c>
      <c r="I28" s="10" t="str">
        <f t="shared" ca="1" si="2"/>
        <v/>
      </c>
      <c r="K28" s="4" t="e">
        <f t="shared" ca="1" si="3"/>
        <v>#N/A</v>
      </c>
      <c r="L28" s="4" t="e">
        <f>VLOOKUP(C28,_resources!B:D,3,0)</f>
        <v>#N/A</v>
      </c>
      <c r="M28" s="4" t="e" cm="1">
        <f t="array" aca="1" ref="M28" ca="1">IF(abbrAtEnd,"",L28&amp;"-")&amp;E28&amp;"-"&amp;INDIRECT(OFFSET(element3,MATCH($C28,resources,0)-1,0))&amp;"-"&amp;INDIRECT(OFFSET(element4,MATCH($C28,resources,0)-1,0))&amp;"-"&amp;INDIRECT(OFFSET(element5,MATCH($C28,resources,0)-1,0))&amp;IF(OFFSET(element6,MATCH($C28,resources,0)-1,0)="","","-"&amp;INDIRECT(OFFSET(element6,MATCH($C28,resources,0)-1,0)))&amp;IF(abbrAtEnd,"-"&amp;L28,"")</f>
        <v>#N/A</v>
      </c>
      <c r="N28" s="4" t="str">
        <f t="shared" si="7"/>
        <v>-000</v>
      </c>
      <c r="O28" s="4">
        <f ca="1">IF(totalElements+COUNTIF(Entities!$C$10,"*")+COUNTIF(B28:C28,"*")+COUNTIF(E28:F28,"*")=9,1,0)</f>
        <v>0</v>
      </c>
      <c r="P28" s="4">
        <f>COUNTIF($C$6:C28,C28)</f>
        <v>0</v>
      </c>
      <c r="Q28" s="4">
        <f ca="1">IF(ISNA(M28),0,COUNTIF($M$6:M28,M28))</f>
        <v>0</v>
      </c>
      <c r="R28" s="4" t="e">
        <f t="shared" ca="1" si="4"/>
        <v>#N/A</v>
      </c>
      <c r="S28" s="4">
        <f ca="1">IF(ISNA(M28),0,COUNTIF($R$6:R28,R28))</f>
        <v>0</v>
      </c>
      <c r="T28" s="4" t="e">
        <f t="shared" ca="1" si="5"/>
        <v>#N/A</v>
      </c>
    </row>
    <row r="29" spans="2:20" x14ac:dyDescent="0.3">
      <c r="B29" s="48"/>
      <c r="C29" s="48"/>
      <c r="D29" s="10" t="str">
        <f t="shared" ca="1" si="0"/>
        <v/>
      </c>
      <c r="E29" s="48"/>
      <c r="F29" s="48"/>
      <c r="G29" s="10" t="str">
        <f t="shared" ca="1" si="8"/>
        <v/>
      </c>
      <c r="I29" s="10" t="str">
        <f t="shared" ca="1" si="2"/>
        <v/>
      </c>
      <c r="K29" s="4" t="e">
        <f t="shared" ca="1" si="3"/>
        <v>#N/A</v>
      </c>
      <c r="L29" s="4" t="e">
        <f>VLOOKUP(C29,_resources!B:D,3,0)</f>
        <v>#N/A</v>
      </c>
      <c r="M29" s="4" t="e" cm="1">
        <f t="array" aca="1" ref="M29" ca="1">IF(abbrAtEnd,"",L29&amp;"-")&amp;E29&amp;"-"&amp;INDIRECT(OFFSET(element3,MATCH($C29,resources,0)-1,0))&amp;"-"&amp;INDIRECT(OFFSET(element4,MATCH($C29,resources,0)-1,0))&amp;"-"&amp;INDIRECT(OFFSET(element5,MATCH($C29,resources,0)-1,0))&amp;IF(OFFSET(element6,MATCH($C29,resources,0)-1,0)="","","-"&amp;INDIRECT(OFFSET(element6,MATCH($C29,resources,0)-1,0)))&amp;IF(abbrAtEnd,"-"&amp;L29,"")</f>
        <v>#N/A</v>
      </c>
      <c r="N29" s="4" t="str">
        <f t="shared" si="7"/>
        <v>-000</v>
      </c>
      <c r="O29" s="4">
        <f ca="1">IF(totalElements+COUNTIF(Entities!$C$10,"*")+COUNTIF(B29:C29,"*")+COUNTIF(E29:F29,"*")=9,1,0)</f>
        <v>0</v>
      </c>
      <c r="P29" s="4">
        <f>COUNTIF($C$6:C29,C29)</f>
        <v>0</v>
      </c>
      <c r="Q29" s="4">
        <f ca="1">IF(ISNA(M29),0,COUNTIF($M$6:M29,M29))</f>
        <v>0</v>
      </c>
      <c r="R29" s="4" t="e">
        <f t="shared" ca="1" si="4"/>
        <v>#N/A</v>
      </c>
      <c r="S29" s="4">
        <f ca="1">IF(ISNA(M29),0,COUNTIF($R$6:R29,R29))</f>
        <v>0</v>
      </c>
      <c r="T29" s="4" t="e">
        <f t="shared" ca="1" si="5"/>
        <v>#N/A</v>
      </c>
    </row>
    <row r="30" spans="2:20" x14ac:dyDescent="0.3">
      <c r="B30" s="48"/>
      <c r="C30" s="48"/>
      <c r="D30" s="10" t="str">
        <f t="shared" ca="1" si="0"/>
        <v/>
      </c>
      <c r="E30" s="48"/>
      <c r="F30" s="48"/>
      <c r="G30" s="10" t="str">
        <f t="shared" ca="1" si="8"/>
        <v/>
      </c>
      <c r="I30" s="10" t="str">
        <f t="shared" ca="1" si="2"/>
        <v/>
      </c>
      <c r="K30" s="4" t="e">
        <f t="shared" ca="1" si="3"/>
        <v>#N/A</v>
      </c>
      <c r="L30" s="4" t="e">
        <f>VLOOKUP(C30,_resources!B:D,3,0)</f>
        <v>#N/A</v>
      </c>
      <c r="M30" s="4" t="e" cm="1">
        <f t="array" aca="1" ref="M30" ca="1">IF(abbrAtEnd,"",L30&amp;"-")&amp;E30&amp;"-"&amp;INDIRECT(OFFSET(element3,MATCH($C30,resources,0)-1,0))&amp;"-"&amp;INDIRECT(OFFSET(element4,MATCH($C30,resources,0)-1,0))&amp;"-"&amp;INDIRECT(OFFSET(element5,MATCH($C30,resources,0)-1,0))&amp;IF(OFFSET(element6,MATCH($C30,resources,0)-1,0)="","","-"&amp;INDIRECT(OFFSET(element6,MATCH($C30,resources,0)-1,0)))&amp;IF(abbrAtEnd,"-"&amp;L30,"")</f>
        <v>#N/A</v>
      </c>
      <c r="N30" s="4" t="str">
        <f t="shared" si="7"/>
        <v>-000</v>
      </c>
      <c r="O30" s="4">
        <f ca="1">IF(totalElements+COUNTIF(Entities!$C$10,"*")+COUNTIF(B30:C30,"*")+COUNTIF(E30:F30,"*")=9,1,0)</f>
        <v>0</v>
      </c>
      <c r="P30" s="4">
        <f>COUNTIF($C$6:C30,C30)</f>
        <v>0</v>
      </c>
      <c r="Q30" s="4">
        <f ca="1">IF(ISNA(M30),0,COUNTIF($M$6:M30,M30))</f>
        <v>0</v>
      </c>
      <c r="R30" s="4" t="e">
        <f t="shared" ca="1" si="4"/>
        <v>#N/A</v>
      </c>
      <c r="S30" s="4">
        <f ca="1">IF(ISNA(M30),0,COUNTIF($R$6:R30,R30))</f>
        <v>0</v>
      </c>
      <c r="T30" s="4" t="e">
        <f t="shared" ca="1" si="5"/>
        <v>#N/A</v>
      </c>
    </row>
    <row r="31" spans="2:20" x14ac:dyDescent="0.3">
      <c r="B31" s="48"/>
      <c r="C31" s="48"/>
      <c r="D31" s="10" t="str">
        <f t="shared" ca="1" si="0"/>
        <v/>
      </c>
      <c r="E31" s="48"/>
      <c r="F31" s="48"/>
      <c r="G31" s="10" t="str">
        <f t="shared" ca="1" si="8"/>
        <v/>
      </c>
      <c r="I31" s="10" t="str">
        <f t="shared" ca="1" si="2"/>
        <v/>
      </c>
      <c r="K31" s="4" t="e">
        <f t="shared" ca="1" si="3"/>
        <v>#N/A</v>
      </c>
      <c r="L31" s="4" t="e">
        <f>VLOOKUP(C31,_resources!B:D,3,0)</f>
        <v>#N/A</v>
      </c>
      <c r="M31" s="4" t="e" cm="1">
        <f t="array" aca="1" ref="M31" ca="1">IF(abbrAtEnd,"",L31&amp;"-")&amp;E31&amp;"-"&amp;INDIRECT(OFFSET(element3,MATCH($C31,resources,0)-1,0))&amp;"-"&amp;INDIRECT(OFFSET(element4,MATCH($C31,resources,0)-1,0))&amp;"-"&amp;INDIRECT(OFFSET(element5,MATCH($C31,resources,0)-1,0))&amp;IF(OFFSET(element6,MATCH($C31,resources,0)-1,0)="","","-"&amp;INDIRECT(OFFSET(element6,MATCH($C31,resources,0)-1,0)))&amp;IF(abbrAtEnd,"-"&amp;L31,"")</f>
        <v>#N/A</v>
      </c>
      <c r="N31" s="4" t="str">
        <f t="shared" si="7"/>
        <v>-000</v>
      </c>
      <c r="O31" s="4">
        <f ca="1">IF(totalElements+COUNTIF(Entities!$C$10,"*")+COUNTIF(B31:C31,"*")+COUNTIF(E31:F31,"*")=9,1,0)</f>
        <v>0</v>
      </c>
      <c r="P31" s="4">
        <f>COUNTIF($C$6:C31,C31)</f>
        <v>0</v>
      </c>
      <c r="Q31" s="4">
        <f ca="1">IF(ISNA(M31),0,COUNTIF($M$6:M31,M31))</f>
        <v>0</v>
      </c>
      <c r="R31" s="4" t="e">
        <f t="shared" ca="1" si="4"/>
        <v>#N/A</v>
      </c>
      <c r="S31" s="4">
        <f ca="1">IF(ISNA(M31),0,COUNTIF($R$6:R31,R31))</f>
        <v>0</v>
      </c>
      <c r="T31" s="4" t="e">
        <f t="shared" ca="1" si="5"/>
        <v>#N/A</v>
      </c>
    </row>
    <row r="32" spans="2:20" x14ac:dyDescent="0.3">
      <c r="B32" s="48"/>
      <c r="C32" s="48"/>
      <c r="D32" s="10" t="str">
        <f t="shared" ca="1" si="0"/>
        <v/>
      </c>
      <c r="E32" s="48"/>
      <c r="F32" s="48"/>
      <c r="G32" s="10" t="str">
        <f t="shared" ca="1" si="8"/>
        <v/>
      </c>
      <c r="I32" s="10" t="str">
        <f t="shared" ca="1" si="2"/>
        <v/>
      </c>
      <c r="K32" s="4" t="e">
        <f t="shared" ca="1" si="3"/>
        <v>#N/A</v>
      </c>
      <c r="L32" s="4" t="e">
        <f>VLOOKUP(C32,_resources!B:D,3,0)</f>
        <v>#N/A</v>
      </c>
      <c r="M32" s="4" t="e" cm="1">
        <f t="array" aca="1" ref="M32" ca="1">IF(abbrAtEnd,"",L32&amp;"-")&amp;E32&amp;"-"&amp;INDIRECT(OFFSET(element3,MATCH($C32,resources,0)-1,0))&amp;"-"&amp;INDIRECT(OFFSET(element4,MATCH($C32,resources,0)-1,0))&amp;"-"&amp;INDIRECT(OFFSET(element5,MATCH($C32,resources,0)-1,0))&amp;IF(OFFSET(element6,MATCH($C32,resources,0)-1,0)="","","-"&amp;INDIRECT(OFFSET(element6,MATCH($C32,resources,0)-1,0)))&amp;IF(abbrAtEnd,"-"&amp;L32,"")</f>
        <v>#N/A</v>
      </c>
      <c r="N32" s="4" t="str">
        <f t="shared" si="7"/>
        <v>-000</v>
      </c>
      <c r="O32" s="4">
        <f ca="1">IF(totalElements+COUNTIF(Entities!$C$10,"*")+COUNTIF(B32:C32,"*")+COUNTIF(E32:F32,"*")=9,1,0)</f>
        <v>0</v>
      </c>
      <c r="P32" s="4">
        <f>COUNTIF($C$6:C32,C32)</f>
        <v>0</v>
      </c>
      <c r="Q32" s="4">
        <f ca="1">IF(ISNA(M32),0,COUNTIF($M$6:M32,M32))</f>
        <v>0</v>
      </c>
      <c r="R32" s="4" t="e">
        <f t="shared" ca="1" si="4"/>
        <v>#N/A</v>
      </c>
      <c r="S32" s="4">
        <f ca="1">IF(ISNA(M32),0,COUNTIF($R$6:R32,R32))</f>
        <v>0</v>
      </c>
      <c r="T32" s="4" t="e">
        <f t="shared" ca="1" si="5"/>
        <v>#N/A</v>
      </c>
    </row>
    <row r="33" spans="2:20" x14ac:dyDescent="0.3">
      <c r="B33" s="48"/>
      <c r="C33" s="48"/>
      <c r="D33" s="10" t="str">
        <f t="shared" ca="1" si="0"/>
        <v/>
      </c>
      <c r="E33" s="48"/>
      <c r="F33" s="48"/>
      <c r="G33" s="10" t="str">
        <f t="shared" ca="1" si="8"/>
        <v/>
      </c>
      <c r="I33" s="10" t="str">
        <f t="shared" ca="1" si="2"/>
        <v/>
      </c>
      <c r="K33" s="4" t="e">
        <f t="shared" ca="1" si="3"/>
        <v>#N/A</v>
      </c>
      <c r="L33" s="4" t="e">
        <f>VLOOKUP(C33,_resources!B:D,3,0)</f>
        <v>#N/A</v>
      </c>
      <c r="M33" s="4" t="e" cm="1">
        <f t="array" aca="1" ref="M33" ca="1">IF(abbrAtEnd,"",L33&amp;"-")&amp;E33&amp;"-"&amp;INDIRECT(OFFSET(element3,MATCH($C33,resources,0)-1,0))&amp;"-"&amp;INDIRECT(OFFSET(element4,MATCH($C33,resources,0)-1,0))&amp;"-"&amp;INDIRECT(OFFSET(element5,MATCH($C33,resources,0)-1,0))&amp;IF(OFFSET(element6,MATCH($C33,resources,0)-1,0)="","","-"&amp;INDIRECT(OFFSET(element6,MATCH($C33,resources,0)-1,0)))&amp;IF(abbrAtEnd,"-"&amp;L33,"")</f>
        <v>#N/A</v>
      </c>
      <c r="N33" s="4" t="str">
        <f t="shared" si="7"/>
        <v>-000</v>
      </c>
      <c r="O33" s="4">
        <f ca="1">IF(totalElements+COUNTIF(Entities!$C$10,"*")+COUNTIF(B33:C33,"*")+COUNTIF(E33:F33,"*")=9,1,0)</f>
        <v>0</v>
      </c>
      <c r="P33" s="4">
        <f>COUNTIF($C$6:C33,C33)</f>
        <v>0</v>
      </c>
      <c r="Q33" s="4">
        <f ca="1">IF(ISNA(M33),0,COUNTIF($M$6:M33,M33))</f>
        <v>0</v>
      </c>
      <c r="R33" s="4" t="e">
        <f t="shared" ca="1" si="4"/>
        <v>#N/A</v>
      </c>
      <c r="S33" s="4">
        <f ca="1">IF(ISNA(M33),0,COUNTIF($R$6:R33,R33))</f>
        <v>0</v>
      </c>
      <c r="T33" s="4" t="e">
        <f t="shared" ca="1" si="5"/>
        <v>#N/A</v>
      </c>
    </row>
    <row r="34" spans="2:20" x14ac:dyDescent="0.3">
      <c r="B34" s="48"/>
      <c r="C34" s="48"/>
      <c r="D34" s="10" t="str">
        <f t="shared" ca="1" si="0"/>
        <v/>
      </c>
      <c r="E34" s="48"/>
      <c r="F34" s="48"/>
      <c r="G34" s="10" t="str">
        <f t="shared" ca="1" si="8"/>
        <v/>
      </c>
      <c r="I34" s="10" t="str">
        <f t="shared" ca="1" si="2"/>
        <v/>
      </c>
      <c r="K34" s="4" t="e">
        <f t="shared" ca="1" si="3"/>
        <v>#N/A</v>
      </c>
      <c r="L34" s="4" t="e">
        <f>VLOOKUP(C34,_resources!B:D,3,0)</f>
        <v>#N/A</v>
      </c>
      <c r="M34" s="4" t="e" cm="1">
        <f t="array" aca="1" ref="M34" ca="1">IF(abbrAtEnd,"",L34&amp;"-")&amp;E34&amp;"-"&amp;INDIRECT(OFFSET(element3,MATCH($C34,resources,0)-1,0))&amp;"-"&amp;INDIRECT(OFFSET(element4,MATCH($C34,resources,0)-1,0))&amp;"-"&amp;INDIRECT(OFFSET(element5,MATCH($C34,resources,0)-1,0))&amp;IF(OFFSET(element6,MATCH($C34,resources,0)-1,0)="","","-"&amp;INDIRECT(OFFSET(element6,MATCH($C34,resources,0)-1,0)))&amp;IF(abbrAtEnd,"-"&amp;L34,"")</f>
        <v>#N/A</v>
      </c>
      <c r="N34" s="4" t="str">
        <f t="shared" si="7"/>
        <v>-000</v>
      </c>
      <c r="O34" s="4">
        <f ca="1">IF(totalElements+COUNTIF(Entities!$C$10,"*")+COUNTIF(B34:C34,"*")+COUNTIF(E34:F34,"*")=9,1,0)</f>
        <v>0</v>
      </c>
      <c r="P34" s="4">
        <f>COUNTIF($C$6:C34,C34)</f>
        <v>0</v>
      </c>
      <c r="Q34" s="4">
        <f ca="1">IF(ISNA(M34),0,COUNTIF($M$6:M34,M34))</f>
        <v>0</v>
      </c>
      <c r="R34" s="4" t="e">
        <f t="shared" ca="1" si="4"/>
        <v>#N/A</v>
      </c>
      <c r="S34" s="4">
        <f ca="1">IF(ISNA(M34),0,COUNTIF($R$6:R34,R34))</f>
        <v>0</v>
      </c>
      <c r="T34" s="4" t="e">
        <f t="shared" ca="1" si="5"/>
        <v>#N/A</v>
      </c>
    </row>
    <row r="35" spans="2:20" x14ac:dyDescent="0.3">
      <c r="B35" s="48"/>
      <c r="C35" s="48"/>
      <c r="D35" s="10" t="str">
        <f t="shared" ca="1" si="0"/>
        <v/>
      </c>
      <c r="E35" s="48"/>
      <c r="F35" s="48"/>
      <c r="G35" s="10" t="str">
        <f t="shared" ca="1" si="8"/>
        <v/>
      </c>
      <c r="I35" s="10" t="str">
        <f t="shared" ca="1" si="2"/>
        <v/>
      </c>
      <c r="K35" s="4" t="e">
        <f t="shared" ca="1" si="3"/>
        <v>#N/A</v>
      </c>
      <c r="L35" s="4" t="e">
        <f>VLOOKUP(C35,_resources!B:D,3,0)</f>
        <v>#N/A</v>
      </c>
      <c r="M35" s="4" t="e" cm="1">
        <f t="array" aca="1" ref="M35" ca="1">IF(abbrAtEnd,"",L35&amp;"-")&amp;E35&amp;"-"&amp;INDIRECT(OFFSET(element3,MATCH($C35,resources,0)-1,0))&amp;"-"&amp;INDIRECT(OFFSET(element4,MATCH($C35,resources,0)-1,0))&amp;"-"&amp;INDIRECT(OFFSET(element5,MATCH($C35,resources,0)-1,0))&amp;IF(OFFSET(element6,MATCH($C35,resources,0)-1,0)="","","-"&amp;INDIRECT(OFFSET(element6,MATCH($C35,resources,0)-1,0)))&amp;IF(abbrAtEnd,"-"&amp;L35,"")</f>
        <v>#N/A</v>
      </c>
      <c r="N35" s="4" t="str">
        <f t="shared" si="7"/>
        <v>-000</v>
      </c>
      <c r="O35" s="4">
        <f ca="1">IF(totalElements+COUNTIF(Entities!$C$10,"*")+COUNTIF(B35:C35,"*")+COUNTIF(E35:F35,"*")=9,1,0)</f>
        <v>0</v>
      </c>
      <c r="P35" s="4">
        <f>COUNTIF($C$6:C35,C35)</f>
        <v>0</v>
      </c>
      <c r="Q35" s="4">
        <f ca="1">IF(ISNA(M35),0,COUNTIF($M$6:M35,M35))</f>
        <v>0</v>
      </c>
      <c r="R35" s="4" t="e">
        <f t="shared" ca="1" si="4"/>
        <v>#N/A</v>
      </c>
      <c r="S35" s="4">
        <f ca="1">IF(ISNA(M35),0,COUNTIF($R$6:R35,R35))</f>
        <v>0</v>
      </c>
      <c r="T35" s="4" t="e">
        <f t="shared" ca="1" si="5"/>
        <v>#N/A</v>
      </c>
    </row>
    <row r="36" spans="2:20" x14ac:dyDescent="0.3">
      <c r="B36" s="48"/>
      <c r="C36" s="48"/>
      <c r="D36" s="10" t="str">
        <f t="shared" ca="1" si="0"/>
        <v/>
      </c>
      <c r="E36" s="48"/>
      <c r="F36" s="48"/>
      <c r="G36" s="10" t="str">
        <f t="shared" ca="1" si="8"/>
        <v/>
      </c>
      <c r="I36" s="10" t="str">
        <f t="shared" ca="1" si="2"/>
        <v/>
      </c>
      <c r="K36" s="4" t="e">
        <f t="shared" ca="1" si="3"/>
        <v>#N/A</v>
      </c>
      <c r="L36" s="4" t="e">
        <f>VLOOKUP(C36,_resources!B:D,3,0)</f>
        <v>#N/A</v>
      </c>
      <c r="M36" s="4" t="e" cm="1">
        <f t="array" aca="1" ref="M36" ca="1">IF(abbrAtEnd,"",L36&amp;"-")&amp;E36&amp;"-"&amp;INDIRECT(OFFSET(element3,MATCH($C36,resources,0)-1,0))&amp;"-"&amp;INDIRECT(OFFSET(element4,MATCH($C36,resources,0)-1,0))&amp;"-"&amp;INDIRECT(OFFSET(element5,MATCH($C36,resources,0)-1,0))&amp;IF(OFFSET(element6,MATCH($C36,resources,0)-1,0)="","","-"&amp;INDIRECT(OFFSET(element6,MATCH($C36,resources,0)-1,0)))&amp;IF(abbrAtEnd,"-"&amp;L36,"")</f>
        <v>#N/A</v>
      </c>
      <c r="N36" s="4" t="str">
        <f t="shared" si="7"/>
        <v>-000</v>
      </c>
      <c r="O36" s="4">
        <f ca="1">IF(totalElements+COUNTIF(Entities!$C$10,"*")+COUNTIF(B36:C36,"*")+COUNTIF(E36:F36,"*")=9,1,0)</f>
        <v>0</v>
      </c>
      <c r="P36" s="4">
        <f>COUNTIF($C$6:C36,C36)</f>
        <v>0</v>
      </c>
      <c r="Q36" s="4">
        <f ca="1">IF(ISNA(M36),0,COUNTIF($M$6:M36,M36))</f>
        <v>0</v>
      </c>
      <c r="R36" s="4" t="e">
        <f t="shared" ca="1" si="4"/>
        <v>#N/A</v>
      </c>
      <c r="S36" s="4">
        <f ca="1">IF(ISNA(M36),0,COUNTIF($R$6:R36,R36))</f>
        <v>0</v>
      </c>
      <c r="T36" s="4" t="e">
        <f t="shared" ca="1" si="5"/>
        <v>#N/A</v>
      </c>
    </row>
    <row r="37" spans="2:20" x14ac:dyDescent="0.3">
      <c r="B37" s="48"/>
      <c r="C37" s="48"/>
      <c r="D37" s="10" t="str">
        <f t="shared" ca="1" si="0"/>
        <v/>
      </c>
      <c r="E37" s="48"/>
      <c r="F37" s="48"/>
      <c r="G37" s="10" t="str">
        <f t="shared" ca="1" si="8"/>
        <v/>
      </c>
      <c r="I37" s="10" t="str">
        <f t="shared" ca="1" si="2"/>
        <v/>
      </c>
      <c r="K37" s="4" t="e">
        <f t="shared" ca="1" si="3"/>
        <v>#N/A</v>
      </c>
      <c r="L37" s="4" t="e">
        <f>VLOOKUP(C37,_resources!B:D,3,0)</f>
        <v>#N/A</v>
      </c>
      <c r="M37" s="4" t="e" cm="1">
        <f t="array" aca="1" ref="M37" ca="1">IF(abbrAtEnd,"",L37&amp;"-")&amp;E37&amp;"-"&amp;INDIRECT(OFFSET(element3,MATCH($C37,resources,0)-1,0))&amp;"-"&amp;INDIRECT(OFFSET(element4,MATCH($C37,resources,0)-1,0))&amp;"-"&amp;INDIRECT(OFFSET(element5,MATCH($C37,resources,0)-1,0))&amp;IF(OFFSET(element6,MATCH($C37,resources,0)-1,0)="","","-"&amp;INDIRECT(OFFSET(element6,MATCH($C37,resources,0)-1,0)))&amp;IF(abbrAtEnd,"-"&amp;L37,"")</f>
        <v>#N/A</v>
      </c>
      <c r="N37" s="4" t="str">
        <f t="shared" si="7"/>
        <v>-000</v>
      </c>
      <c r="O37" s="4">
        <f ca="1">IF(totalElements+COUNTIF(Entities!$C$10,"*")+COUNTIF(B37:C37,"*")+COUNTIF(E37:F37,"*")=9,1,0)</f>
        <v>0</v>
      </c>
      <c r="P37" s="4">
        <f>COUNTIF($C$6:C37,C37)</f>
        <v>0</v>
      </c>
      <c r="Q37" s="4">
        <f ca="1">IF(ISNA(M37),0,COUNTIF($M$6:M37,M37))</f>
        <v>0</v>
      </c>
      <c r="R37" s="4" t="e">
        <f t="shared" ca="1" si="4"/>
        <v>#N/A</v>
      </c>
      <c r="S37" s="4">
        <f ca="1">IF(ISNA(M37),0,COUNTIF($R$6:R37,R37))</f>
        <v>0</v>
      </c>
      <c r="T37" s="4" t="e">
        <f t="shared" ca="1" si="5"/>
        <v>#N/A</v>
      </c>
    </row>
    <row r="38" spans="2:20" x14ac:dyDescent="0.3">
      <c r="B38" s="48"/>
      <c r="C38" s="48"/>
      <c r="D38" s="10" t="str">
        <f t="shared" ca="1" si="0"/>
        <v/>
      </c>
      <c r="E38" s="48"/>
      <c r="F38" s="48"/>
      <c r="G38" s="10" t="str">
        <f t="shared" ca="1" si="8"/>
        <v/>
      </c>
      <c r="I38" s="10" t="str">
        <f t="shared" ca="1" si="2"/>
        <v/>
      </c>
      <c r="K38" s="4" t="e">
        <f t="shared" ca="1" si="3"/>
        <v>#N/A</v>
      </c>
      <c r="L38" s="4" t="e">
        <f>VLOOKUP(C38,_resources!B:D,3,0)</f>
        <v>#N/A</v>
      </c>
      <c r="M38" s="4" t="e" cm="1">
        <f t="array" aca="1" ref="M38" ca="1">IF(abbrAtEnd,"",L38&amp;"-")&amp;E38&amp;"-"&amp;INDIRECT(OFFSET(element3,MATCH($C38,resources,0)-1,0))&amp;"-"&amp;INDIRECT(OFFSET(element4,MATCH($C38,resources,0)-1,0))&amp;"-"&amp;INDIRECT(OFFSET(element5,MATCH($C38,resources,0)-1,0))&amp;IF(OFFSET(element6,MATCH($C38,resources,0)-1,0)="","","-"&amp;INDIRECT(OFFSET(element6,MATCH($C38,resources,0)-1,0)))&amp;IF(abbrAtEnd,"-"&amp;L38,"")</f>
        <v>#N/A</v>
      </c>
      <c r="N38" s="4" t="str">
        <f t="shared" si="7"/>
        <v>-000</v>
      </c>
      <c r="O38" s="4">
        <f ca="1">IF(totalElements+COUNTIF(Entities!$C$10,"*")+COUNTIF(B38:C38,"*")+COUNTIF(E38:F38,"*")=9,1,0)</f>
        <v>0</v>
      </c>
      <c r="P38" s="4">
        <f>COUNTIF($C$6:C38,C38)</f>
        <v>0</v>
      </c>
      <c r="Q38" s="4">
        <f ca="1">IF(ISNA(M38),0,COUNTIF($M$6:M38,M38))</f>
        <v>0</v>
      </c>
      <c r="R38" s="4" t="e">
        <f t="shared" ca="1" si="4"/>
        <v>#N/A</v>
      </c>
      <c r="S38" s="4">
        <f ca="1">IF(ISNA(M38),0,COUNTIF($R$6:R38,R38))</f>
        <v>0</v>
      </c>
      <c r="T38" s="4" t="e">
        <f t="shared" ca="1" si="5"/>
        <v>#N/A</v>
      </c>
    </row>
    <row r="39" spans="2:20" x14ac:dyDescent="0.3">
      <c r="B39" s="48"/>
      <c r="C39" s="48"/>
      <c r="D39" s="10" t="str">
        <f t="shared" ca="1" si="0"/>
        <v/>
      </c>
      <c r="E39" s="48"/>
      <c r="F39" s="48"/>
      <c r="G39" s="10" t="str">
        <f t="shared" ca="1" si="8"/>
        <v/>
      </c>
      <c r="I39" s="10" t="str">
        <f t="shared" ca="1" si="2"/>
        <v/>
      </c>
      <c r="K39" s="4" t="e">
        <f t="shared" ca="1" si="3"/>
        <v>#N/A</v>
      </c>
      <c r="L39" s="4" t="e">
        <f>VLOOKUP(C39,_resources!B:D,3,0)</f>
        <v>#N/A</v>
      </c>
      <c r="M39" s="4" t="e" cm="1">
        <f t="array" aca="1" ref="M39" ca="1">IF(abbrAtEnd,"",L39&amp;"-")&amp;E39&amp;"-"&amp;INDIRECT(OFFSET(element3,MATCH($C39,resources,0)-1,0))&amp;"-"&amp;INDIRECT(OFFSET(element4,MATCH($C39,resources,0)-1,0))&amp;"-"&amp;INDIRECT(OFFSET(element5,MATCH($C39,resources,0)-1,0))&amp;IF(OFFSET(element6,MATCH($C39,resources,0)-1,0)="","","-"&amp;INDIRECT(OFFSET(element6,MATCH($C39,resources,0)-1,0)))&amp;IF(abbrAtEnd,"-"&amp;L39,"")</f>
        <v>#N/A</v>
      </c>
      <c r="N39" s="4" t="str">
        <f t="shared" si="7"/>
        <v>-000</v>
      </c>
      <c r="O39" s="4">
        <f ca="1">IF(totalElements+COUNTIF(Entities!$C$10,"*")+COUNTIF(B39:C39,"*")+COUNTIF(E39:F39,"*")=9,1,0)</f>
        <v>0</v>
      </c>
      <c r="P39" s="4">
        <f>COUNTIF($C$6:C39,C39)</f>
        <v>0</v>
      </c>
      <c r="Q39" s="4">
        <f ca="1">IF(ISNA(M39),0,COUNTIF($M$6:M39,M39))</f>
        <v>0</v>
      </c>
      <c r="R39" s="4" t="e">
        <f t="shared" ca="1" si="4"/>
        <v>#N/A</v>
      </c>
      <c r="S39" s="4">
        <f ca="1">IF(ISNA(M39),0,COUNTIF($R$6:R39,R39))</f>
        <v>0</v>
      </c>
      <c r="T39" s="4" t="e">
        <f t="shared" ca="1" si="5"/>
        <v>#N/A</v>
      </c>
    </row>
    <row r="40" spans="2:20" x14ac:dyDescent="0.3">
      <c r="B40" s="48"/>
      <c r="C40" s="48"/>
      <c r="D40" s="10" t="str">
        <f t="shared" ca="1" si="0"/>
        <v/>
      </c>
      <c r="E40" s="48"/>
      <c r="F40" s="48"/>
      <c r="G40" s="10" t="str">
        <f t="shared" ca="1" si="8"/>
        <v/>
      </c>
      <c r="I40" s="10" t="str">
        <f t="shared" ca="1" si="2"/>
        <v/>
      </c>
      <c r="K40" s="4" t="e">
        <f t="shared" ca="1" si="3"/>
        <v>#N/A</v>
      </c>
      <c r="L40" s="4" t="e">
        <f>VLOOKUP(C40,_resources!B:D,3,0)</f>
        <v>#N/A</v>
      </c>
      <c r="M40" s="4" t="e" cm="1">
        <f t="array" aca="1" ref="M40" ca="1">IF(abbrAtEnd,"",L40&amp;"-")&amp;E40&amp;"-"&amp;INDIRECT(OFFSET(element3,MATCH($C40,resources,0)-1,0))&amp;"-"&amp;INDIRECT(OFFSET(element4,MATCH($C40,resources,0)-1,0))&amp;"-"&amp;INDIRECT(OFFSET(element5,MATCH($C40,resources,0)-1,0))&amp;IF(OFFSET(element6,MATCH($C40,resources,0)-1,0)="","","-"&amp;INDIRECT(OFFSET(element6,MATCH($C40,resources,0)-1,0)))&amp;IF(abbrAtEnd,"-"&amp;L40,"")</f>
        <v>#N/A</v>
      </c>
      <c r="N40" s="4" t="str">
        <f t="shared" si="7"/>
        <v>-000</v>
      </c>
      <c r="O40" s="4">
        <f ca="1">IF(totalElements+COUNTIF(Entities!$C$10,"*")+COUNTIF(B40:C40,"*")+COUNTIF(E40:F40,"*")=9,1,0)</f>
        <v>0</v>
      </c>
      <c r="P40" s="4">
        <f>COUNTIF($C$6:C40,C40)</f>
        <v>0</v>
      </c>
      <c r="Q40" s="4">
        <f ca="1">IF(ISNA(M40),0,COUNTIF($M$6:M40,M40))</f>
        <v>0</v>
      </c>
      <c r="R40" s="4" t="e">
        <f t="shared" ca="1" si="4"/>
        <v>#N/A</v>
      </c>
      <c r="S40" s="4">
        <f ca="1">IF(ISNA(M40),0,COUNTIF($R$6:R40,R40))</f>
        <v>0</v>
      </c>
      <c r="T40" s="4" t="e">
        <f t="shared" ca="1" si="5"/>
        <v>#N/A</v>
      </c>
    </row>
    <row r="41" spans="2:20" x14ac:dyDescent="0.3">
      <c r="B41" s="48"/>
      <c r="C41" s="48"/>
      <c r="D41" s="10" t="str">
        <f t="shared" ca="1" si="0"/>
        <v/>
      </c>
      <c r="E41" s="48"/>
      <c r="F41" s="48"/>
      <c r="G41" s="10" t="str">
        <f t="shared" ca="1" si="8"/>
        <v/>
      </c>
      <c r="I41" s="10" t="str">
        <f t="shared" ca="1" si="2"/>
        <v/>
      </c>
      <c r="K41" s="4" t="e">
        <f t="shared" ca="1" si="3"/>
        <v>#N/A</v>
      </c>
      <c r="L41" s="4" t="e">
        <f>VLOOKUP(C41,_resources!B:D,3,0)</f>
        <v>#N/A</v>
      </c>
      <c r="M41" s="4" t="e" cm="1">
        <f t="array" aca="1" ref="M41" ca="1">IF(abbrAtEnd,"",L41&amp;"-")&amp;E41&amp;"-"&amp;INDIRECT(OFFSET(element3,MATCH($C41,resources,0)-1,0))&amp;"-"&amp;INDIRECT(OFFSET(element4,MATCH($C41,resources,0)-1,0))&amp;"-"&amp;INDIRECT(OFFSET(element5,MATCH($C41,resources,0)-1,0))&amp;IF(OFFSET(element6,MATCH($C41,resources,0)-1,0)="","","-"&amp;INDIRECT(OFFSET(element6,MATCH($C41,resources,0)-1,0)))&amp;IF(abbrAtEnd,"-"&amp;L41,"")</f>
        <v>#N/A</v>
      </c>
      <c r="N41" s="4" t="str">
        <f t="shared" si="7"/>
        <v>-000</v>
      </c>
      <c r="O41" s="4">
        <f ca="1">IF(totalElements+COUNTIF(Entities!$C$10,"*")+COUNTIF(B41:C41,"*")+COUNTIF(E41:F41,"*")=9,1,0)</f>
        <v>0</v>
      </c>
      <c r="P41" s="4">
        <f>COUNTIF($C$6:C41,C41)</f>
        <v>0</v>
      </c>
      <c r="Q41" s="4">
        <f ca="1">IF(ISNA(M41),0,COUNTIF($M$6:M41,M41))</f>
        <v>0</v>
      </c>
      <c r="R41" s="4" t="e">
        <f t="shared" ca="1" si="4"/>
        <v>#N/A</v>
      </c>
      <c r="S41" s="4">
        <f ca="1">IF(ISNA(M41),0,COUNTIF($R$6:R41,R41))</f>
        <v>0</v>
      </c>
      <c r="T41" s="4" t="e">
        <f t="shared" ca="1" si="5"/>
        <v>#N/A</v>
      </c>
    </row>
    <row r="42" spans="2:20" x14ac:dyDescent="0.3">
      <c r="B42" s="48"/>
      <c r="C42" s="48"/>
      <c r="D42" s="10" t="str">
        <f t="shared" ca="1" si="0"/>
        <v/>
      </c>
      <c r="E42" s="48"/>
      <c r="F42" s="48"/>
      <c r="G42" s="10" t="str">
        <f t="shared" ca="1" si="8"/>
        <v/>
      </c>
      <c r="I42" s="10" t="str">
        <f t="shared" ca="1" si="2"/>
        <v/>
      </c>
      <c r="K42" s="4" t="e">
        <f t="shared" ca="1" si="3"/>
        <v>#N/A</v>
      </c>
      <c r="L42" s="4" t="e">
        <f>VLOOKUP(C42,_resources!B:D,3,0)</f>
        <v>#N/A</v>
      </c>
      <c r="M42" s="4" t="e" cm="1">
        <f t="array" aca="1" ref="M42" ca="1">IF(abbrAtEnd,"",L42&amp;"-")&amp;E42&amp;"-"&amp;INDIRECT(OFFSET(element3,MATCH($C42,resources,0)-1,0))&amp;"-"&amp;INDIRECT(OFFSET(element4,MATCH($C42,resources,0)-1,0))&amp;"-"&amp;INDIRECT(OFFSET(element5,MATCH($C42,resources,0)-1,0))&amp;IF(OFFSET(element6,MATCH($C42,resources,0)-1,0)="","","-"&amp;INDIRECT(OFFSET(element6,MATCH($C42,resources,0)-1,0)))&amp;IF(abbrAtEnd,"-"&amp;L42,"")</f>
        <v>#N/A</v>
      </c>
      <c r="N42" s="4" t="str">
        <f t="shared" si="7"/>
        <v>-000</v>
      </c>
      <c r="O42" s="4">
        <f ca="1">IF(totalElements+COUNTIF(Entities!$C$10,"*")+COUNTIF(B42:C42,"*")+COUNTIF(E42:F42,"*")=9,1,0)</f>
        <v>0</v>
      </c>
      <c r="P42" s="4">
        <f>COUNTIF($C$6:C42,C42)</f>
        <v>0</v>
      </c>
      <c r="Q42" s="4">
        <f ca="1">IF(ISNA(M42),0,COUNTIF($M$6:M42,M42))</f>
        <v>0</v>
      </c>
      <c r="R42" s="4" t="e">
        <f t="shared" ca="1" si="4"/>
        <v>#N/A</v>
      </c>
      <c r="S42" s="4">
        <f ca="1">IF(ISNA(M42),0,COUNTIF($R$6:R42,R42))</f>
        <v>0</v>
      </c>
      <c r="T42" s="4" t="e">
        <f t="shared" ca="1" si="5"/>
        <v>#N/A</v>
      </c>
    </row>
    <row r="43" spans="2:20" x14ac:dyDescent="0.3">
      <c r="B43" s="48"/>
      <c r="C43" s="48"/>
      <c r="D43" s="10" t="str">
        <f t="shared" ca="1" si="0"/>
        <v/>
      </c>
      <c r="E43" s="48"/>
      <c r="F43" s="48"/>
      <c r="G43" s="10" t="str">
        <f t="shared" ca="1" si="8"/>
        <v/>
      </c>
      <c r="I43" s="10" t="str">
        <f t="shared" ca="1" si="2"/>
        <v/>
      </c>
      <c r="K43" s="4" t="e">
        <f t="shared" ca="1" si="3"/>
        <v>#N/A</v>
      </c>
      <c r="L43" s="4" t="e">
        <f>VLOOKUP(C43,_resources!B:D,3,0)</f>
        <v>#N/A</v>
      </c>
      <c r="M43" s="4" t="e" cm="1">
        <f t="array" aca="1" ref="M43" ca="1">IF(abbrAtEnd,"",L43&amp;"-")&amp;E43&amp;"-"&amp;INDIRECT(OFFSET(element3,MATCH($C43,resources,0)-1,0))&amp;"-"&amp;INDIRECT(OFFSET(element4,MATCH($C43,resources,0)-1,0))&amp;"-"&amp;INDIRECT(OFFSET(element5,MATCH($C43,resources,0)-1,0))&amp;IF(OFFSET(element6,MATCH($C43,resources,0)-1,0)="","","-"&amp;INDIRECT(OFFSET(element6,MATCH($C43,resources,0)-1,0)))&amp;IF(abbrAtEnd,"-"&amp;L43,"")</f>
        <v>#N/A</v>
      </c>
      <c r="N43" s="4" t="str">
        <f t="shared" si="7"/>
        <v>-000</v>
      </c>
      <c r="O43" s="4">
        <f ca="1">IF(totalElements+COUNTIF(Entities!$C$10,"*")+COUNTIF(B43:C43,"*")+COUNTIF(E43:F43,"*")=9,1,0)</f>
        <v>0</v>
      </c>
      <c r="P43" s="4">
        <f>COUNTIF($C$6:C43,C43)</f>
        <v>0</v>
      </c>
      <c r="Q43" s="4">
        <f ca="1">IF(ISNA(M43),0,COUNTIF($M$6:M43,M43))</f>
        <v>0</v>
      </c>
      <c r="R43" s="4" t="e">
        <f t="shared" ca="1" si="4"/>
        <v>#N/A</v>
      </c>
      <c r="S43" s="4">
        <f ca="1">IF(ISNA(M43),0,COUNTIF($R$6:R43,R43))</f>
        <v>0</v>
      </c>
      <c r="T43" s="4" t="e">
        <f t="shared" ca="1" si="5"/>
        <v>#N/A</v>
      </c>
    </row>
    <row r="44" spans="2:20" x14ac:dyDescent="0.3">
      <c r="B44" s="48"/>
      <c r="C44" s="48"/>
      <c r="D44" s="10" t="str">
        <f t="shared" ca="1" si="0"/>
        <v/>
      </c>
      <c r="E44" s="48"/>
      <c r="F44" s="48"/>
      <c r="G44" s="10" t="str">
        <f t="shared" ca="1" si="8"/>
        <v/>
      </c>
      <c r="I44" s="10" t="str">
        <f t="shared" ca="1" si="2"/>
        <v/>
      </c>
      <c r="K44" s="4" t="e">
        <f t="shared" ca="1" si="3"/>
        <v>#N/A</v>
      </c>
      <c r="L44" s="4" t="e">
        <f>VLOOKUP(C44,_resources!B:D,3,0)</f>
        <v>#N/A</v>
      </c>
      <c r="M44" s="4" t="e" cm="1">
        <f t="array" aca="1" ref="M44" ca="1">IF(abbrAtEnd,"",L44&amp;"-")&amp;E44&amp;"-"&amp;INDIRECT(OFFSET(element3,MATCH($C44,resources,0)-1,0))&amp;"-"&amp;INDIRECT(OFFSET(element4,MATCH($C44,resources,0)-1,0))&amp;"-"&amp;INDIRECT(OFFSET(element5,MATCH($C44,resources,0)-1,0))&amp;IF(OFFSET(element6,MATCH($C44,resources,0)-1,0)="","","-"&amp;INDIRECT(OFFSET(element6,MATCH($C44,resources,0)-1,0)))&amp;IF(abbrAtEnd,"-"&amp;L44,"")</f>
        <v>#N/A</v>
      </c>
      <c r="N44" s="4" t="str">
        <f t="shared" si="7"/>
        <v>-000</v>
      </c>
      <c r="O44" s="4">
        <f ca="1">IF(totalElements+COUNTIF(Entities!$C$10,"*")+COUNTIF(B44:C44,"*")+COUNTIF(E44:F44,"*")=9,1,0)</f>
        <v>0</v>
      </c>
      <c r="P44" s="4">
        <f>COUNTIF($C$6:C44,C44)</f>
        <v>0</v>
      </c>
      <c r="Q44" s="4">
        <f ca="1">IF(ISNA(M44),0,COUNTIF($M$6:M44,M44))</f>
        <v>0</v>
      </c>
      <c r="R44" s="4" t="e">
        <f t="shared" ca="1" si="4"/>
        <v>#N/A</v>
      </c>
      <c r="S44" s="4">
        <f ca="1">IF(ISNA(M44),0,COUNTIF($R$6:R44,R44))</f>
        <v>0</v>
      </c>
      <c r="T44" s="4" t="e">
        <f t="shared" ca="1" si="5"/>
        <v>#N/A</v>
      </c>
    </row>
    <row r="45" spans="2:20" x14ac:dyDescent="0.3">
      <c r="B45" s="48"/>
      <c r="C45" s="48"/>
      <c r="D45" s="10" t="str">
        <f t="shared" ca="1" si="0"/>
        <v/>
      </c>
      <c r="E45" s="48"/>
      <c r="F45" s="48"/>
      <c r="G45" s="10" t="str">
        <f t="shared" ca="1" si="8"/>
        <v/>
      </c>
      <c r="I45" s="10" t="str">
        <f t="shared" ca="1" si="2"/>
        <v/>
      </c>
      <c r="K45" s="4" t="e">
        <f t="shared" ca="1" si="3"/>
        <v>#N/A</v>
      </c>
      <c r="L45" s="4" t="e">
        <f>VLOOKUP(C45,_resources!B:D,3,0)</f>
        <v>#N/A</v>
      </c>
      <c r="M45" s="4" t="e" cm="1">
        <f t="array" aca="1" ref="M45" ca="1">IF(abbrAtEnd,"",L45&amp;"-")&amp;E45&amp;"-"&amp;INDIRECT(OFFSET(element3,MATCH($C45,resources,0)-1,0))&amp;"-"&amp;INDIRECT(OFFSET(element4,MATCH($C45,resources,0)-1,0))&amp;"-"&amp;INDIRECT(OFFSET(element5,MATCH($C45,resources,0)-1,0))&amp;IF(OFFSET(element6,MATCH($C45,resources,0)-1,0)="","","-"&amp;INDIRECT(OFFSET(element6,MATCH($C45,resources,0)-1,0)))&amp;IF(abbrAtEnd,"-"&amp;L45,"")</f>
        <v>#N/A</v>
      </c>
      <c r="N45" s="4" t="str">
        <f t="shared" si="7"/>
        <v>-000</v>
      </c>
      <c r="O45" s="4">
        <f ca="1">IF(totalElements+COUNTIF(Entities!$C$10,"*")+COUNTIF(B45:C45,"*")+COUNTIF(E45:F45,"*")=9,1,0)</f>
        <v>0</v>
      </c>
      <c r="P45" s="4">
        <f>COUNTIF($C$6:C45,C45)</f>
        <v>0</v>
      </c>
      <c r="Q45" s="4">
        <f ca="1">IF(ISNA(M45),0,COUNTIF($M$6:M45,M45))</f>
        <v>0</v>
      </c>
      <c r="R45" s="4" t="e">
        <f t="shared" ca="1" si="4"/>
        <v>#N/A</v>
      </c>
      <c r="S45" s="4">
        <f ca="1">IF(ISNA(M45),0,COUNTIF($R$6:R45,R45))</f>
        <v>0</v>
      </c>
      <c r="T45" s="4" t="e">
        <f t="shared" ca="1" si="5"/>
        <v>#N/A</v>
      </c>
    </row>
    <row r="46" spans="2:20" x14ac:dyDescent="0.3">
      <c r="B46" s="48"/>
      <c r="C46" s="48"/>
      <c r="D46" s="10" t="str">
        <f t="shared" ca="1" si="0"/>
        <v/>
      </c>
      <c r="E46" s="48"/>
      <c r="F46" s="48"/>
      <c r="G46" s="10" t="str">
        <f t="shared" ca="1" si="8"/>
        <v/>
      </c>
      <c r="I46" s="10" t="str">
        <f t="shared" ca="1" si="2"/>
        <v/>
      </c>
      <c r="K46" s="4" t="e">
        <f t="shared" ca="1" si="3"/>
        <v>#N/A</v>
      </c>
      <c r="L46" s="4" t="e">
        <f>VLOOKUP(C46,_resources!B:D,3,0)</f>
        <v>#N/A</v>
      </c>
      <c r="M46" s="4" t="e" cm="1">
        <f t="array" aca="1" ref="M46" ca="1">IF(abbrAtEnd,"",L46&amp;"-")&amp;E46&amp;"-"&amp;INDIRECT(OFFSET(element3,MATCH($C46,resources,0)-1,0))&amp;"-"&amp;INDIRECT(OFFSET(element4,MATCH($C46,resources,0)-1,0))&amp;"-"&amp;INDIRECT(OFFSET(element5,MATCH($C46,resources,0)-1,0))&amp;IF(OFFSET(element6,MATCH($C46,resources,0)-1,0)="","","-"&amp;INDIRECT(OFFSET(element6,MATCH($C46,resources,0)-1,0)))&amp;IF(abbrAtEnd,"-"&amp;L46,"")</f>
        <v>#N/A</v>
      </c>
      <c r="N46" s="4" t="str">
        <f t="shared" si="7"/>
        <v>-000</v>
      </c>
      <c r="O46" s="4">
        <f ca="1">IF(totalElements+COUNTIF(Entities!$C$10,"*")+COUNTIF(B46:C46,"*")+COUNTIF(E46:F46,"*")=9,1,0)</f>
        <v>0</v>
      </c>
      <c r="P46" s="4">
        <f>COUNTIF($C$6:C46,C46)</f>
        <v>0</v>
      </c>
      <c r="Q46" s="4">
        <f ca="1">IF(ISNA(M46),0,COUNTIF($M$6:M46,M46))</f>
        <v>0</v>
      </c>
      <c r="R46" s="4" t="e">
        <f t="shared" ca="1" si="4"/>
        <v>#N/A</v>
      </c>
      <c r="S46" s="4">
        <f ca="1">IF(ISNA(M46),0,COUNTIF($R$6:R46,R46))</f>
        <v>0</v>
      </c>
      <c r="T46" s="4" t="e">
        <f t="shared" ca="1" si="5"/>
        <v>#N/A</v>
      </c>
    </row>
    <row r="47" spans="2:20" x14ac:dyDescent="0.3">
      <c r="B47" s="48"/>
      <c r="C47" s="48"/>
      <c r="D47" s="10" t="str">
        <f t="shared" ca="1" si="0"/>
        <v/>
      </c>
      <c r="E47" s="48"/>
      <c r="F47" s="48"/>
      <c r="G47" s="10" t="str">
        <f t="shared" ca="1" si="8"/>
        <v/>
      </c>
      <c r="I47" s="10" t="str">
        <f t="shared" ca="1" si="2"/>
        <v/>
      </c>
      <c r="K47" s="4" t="e">
        <f t="shared" ca="1" si="3"/>
        <v>#N/A</v>
      </c>
      <c r="L47" s="4" t="e">
        <f>VLOOKUP(C47,_resources!B:D,3,0)</f>
        <v>#N/A</v>
      </c>
      <c r="M47" s="4" t="e" cm="1">
        <f t="array" aca="1" ref="M47" ca="1">IF(abbrAtEnd,"",L47&amp;"-")&amp;E47&amp;"-"&amp;INDIRECT(OFFSET(element3,MATCH($C47,resources,0)-1,0))&amp;"-"&amp;INDIRECT(OFFSET(element4,MATCH($C47,resources,0)-1,0))&amp;"-"&amp;INDIRECT(OFFSET(element5,MATCH($C47,resources,0)-1,0))&amp;IF(OFFSET(element6,MATCH($C47,resources,0)-1,0)="","","-"&amp;INDIRECT(OFFSET(element6,MATCH($C47,resources,0)-1,0)))&amp;IF(abbrAtEnd,"-"&amp;L47,"")</f>
        <v>#N/A</v>
      </c>
      <c r="N47" s="4" t="str">
        <f t="shared" si="7"/>
        <v>-000</v>
      </c>
      <c r="O47" s="4">
        <f ca="1">IF(totalElements+COUNTIF(Entities!$C$10,"*")+COUNTIF(B47:C47,"*")+COUNTIF(E47:F47,"*")=9,1,0)</f>
        <v>0</v>
      </c>
      <c r="P47" s="4">
        <f>COUNTIF($C$6:C47,C47)</f>
        <v>0</v>
      </c>
      <c r="Q47" s="4">
        <f ca="1">IF(ISNA(M47),0,COUNTIF($M$6:M47,M47))</f>
        <v>0</v>
      </c>
      <c r="R47" s="4" t="e">
        <f t="shared" ca="1" si="4"/>
        <v>#N/A</v>
      </c>
      <c r="S47" s="4">
        <f ca="1">IF(ISNA(M47),0,COUNTIF($R$6:R47,R47))</f>
        <v>0</v>
      </c>
      <c r="T47" s="4" t="e">
        <f t="shared" ca="1" si="5"/>
        <v>#N/A</v>
      </c>
    </row>
    <row r="48" spans="2:20" x14ac:dyDescent="0.3">
      <c r="B48" s="48"/>
      <c r="C48" s="48"/>
      <c r="D48" s="10" t="str">
        <f t="shared" ca="1" si="0"/>
        <v/>
      </c>
      <c r="E48" s="48"/>
      <c r="F48" s="48"/>
      <c r="G48" s="10" t="str">
        <f t="shared" ca="1" si="8"/>
        <v/>
      </c>
      <c r="I48" s="10" t="str">
        <f t="shared" ca="1" si="2"/>
        <v/>
      </c>
      <c r="K48" s="4" t="e">
        <f t="shared" ca="1" si="3"/>
        <v>#N/A</v>
      </c>
      <c r="L48" s="4" t="e">
        <f>VLOOKUP(C48,_resources!B:D,3,0)</f>
        <v>#N/A</v>
      </c>
      <c r="M48" s="4" t="e" cm="1">
        <f t="array" aca="1" ref="M48" ca="1">IF(abbrAtEnd,"",L48&amp;"-")&amp;E48&amp;"-"&amp;INDIRECT(OFFSET(element3,MATCH($C48,resources,0)-1,0))&amp;"-"&amp;INDIRECT(OFFSET(element4,MATCH($C48,resources,0)-1,0))&amp;"-"&amp;INDIRECT(OFFSET(element5,MATCH($C48,resources,0)-1,0))&amp;IF(OFFSET(element6,MATCH($C48,resources,0)-1,0)="","","-"&amp;INDIRECT(OFFSET(element6,MATCH($C48,resources,0)-1,0)))&amp;IF(abbrAtEnd,"-"&amp;L48,"")</f>
        <v>#N/A</v>
      </c>
      <c r="N48" s="4" t="str">
        <f t="shared" si="7"/>
        <v>-000</v>
      </c>
      <c r="O48" s="4">
        <f ca="1">IF(totalElements+COUNTIF(Entities!$C$10,"*")+COUNTIF(B48:C48,"*")+COUNTIF(E48:F48,"*")=9,1,0)</f>
        <v>0</v>
      </c>
      <c r="P48" s="4">
        <f>COUNTIF($C$6:C48,C48)</f>
        <v>0</v>
      </c>
      <c r="Q48" s="4">
        <f ca="1">IF(ISNA(M48),0,COUNTIF($M$6:M48,M48))</f>
        <v>0</v>
      </c>
      <c r="R48" s="4" t="e">
        <f t="shared" ca="1" si="4"/>
        <v>#N/A</v>
      </c>
      <c r="S48" s="4">
        <f ca="1">IF(ISNA(M48),0,COUNTIF($R$6:R48,R48))</f>
        <v>0</v>
      </c>
      <c r="T48" s="4" t="e">
        <f t="shared" ca="1" si="5"/>
        <v>#N/A</v>
      </c>
    </row>
    <row r="49" spans="2:20" x14ac:dyDescent="0.3">
      <c r="B49" s="48"/>
      <c r="C49" s="48"/>
      <c r="D49" s="10" t="str">
        <f t="shared" ref="D49:D112" ca="1" si="9">IF(ISBLANK(C49),"",OFFSET(element2,MATCH($C49,resources,0)-1,0))</f>
        <v/>
      </c>
      <c r="E49" s="48"/>
      <c r="F49" s="48"/>
      <c r="G49" s="10" t="str">
        <f t="shared" ca="1" si="8"/>
        <v/>
      </c>
      <c r="I49" s="10" t="str">
        <f t="shared" ref="I49:I112" ca="1" si="10">IF(O49,IF(LEN(G49)&gt;T49,"Name too Long (length: "&amp;LEN(G49)&amp;", max. "&amp;T49&amp;")","None"),"")</f>
        <v/>
      </c>
      <c r="K49" s="4" t="e">
        <f t="shared" ca="1" si="3"/>
        <v>#N/A</v>
      </c>
      <c r="L49" s="4" t="e">
        <f>VLOOKUP(C49,_resources!B:D,3,0)</f>
        <v>#N/A</v>
      </c>
      <c r="M49" s="4" t="e" cm="1">
        <f t="array" aca="1" ref="M49" ca="1">IF(abbrAtEnd,"",L49&amp;"-")&amp;E49&amp;"-"&amp;INDIRECT(OFFSET(element3,MATCH($C49,resources,0)-1,0))&amp;"-"&amp;INDIRECT(OFFSET(element4,MATCH($C49,resources,0)-1,0))&amp;"-"&amp;INDIRECT(OFFSET(element5,MATCH($C49,resources,0)-1,0))&amp;IF(OFFSET(element6,MATCH($C49,resources,0)-1,0)="","","-"&amp;INDIRECT(OFFSET(element6,MATCH($C49,resources,0)-1,0)))&amp;IF(abbrAtEnd,"-"&amp;L49,"")</f>
        <v>#N/A</v>
      </c>
      <c r="N49" s="4" t="str">
        <f t="shared" si="7"/>
        <v>-000</v>
      </c>
      <c r="O49" s="4">
        <f ca="1">IF(totalElements+COUNTIF(Entities!$C$10,"*")+COUNTIF(B49:C49,"*")+COUNTIF(E49:F49,"*")=9,1,0)</f>
        <v>0</v>
      </c>
      <c r="P49" s="4">
        <f>COUNTIF($C$6:C49,C49)</f>
        <v>0</v>
      </c>
      <c r="Q49" s="4">
        <f ca="1">IF(ISNA(M49),0,COUNTIF($M$6:M49,M49))</f>
        <v>0</v>
      </c>
      <c r="R49" s="4" t="e">
        <f t="shared" ca="1" si="4"/>
        <v>#N/A</v>
      </c>
      <c r="S49" s="4">
        <f ca="1">IF(ISNA(M49),0,COUNTIF($R$6:R49,R49))</f>
        <v>0</v>
      </c>
      <c r="T49" s="4" t="e">
        <f t="shared" ca="1" si="5"/>
        <v>#N/A</v>
      </c>
    </row>
    <row r="50" spans="2:20" x14ac:dyDescent="0.3">
      <c r="B50" s="48"/>
      <c r="C50" s="48"/>
      <c r="D50" s="10" t="str">
        <f t="shared" ca="1" si="9"/>
        <v/>
      </c>
      <c r="E50" s="48"/>
      <c r="F50" s="48"/>
      <c r="G50" s="10" t="str">
        <f t="shared" ca="1" si="8"/>
        <v/>
      </c>
      <c r="I50" s="10" t="str">
        <f t="shared" ca="1" si="10"/>
        <v/>
      </c>
      <c r="K50" s="4" t="e">
        <f t="shared" ca="1" si="3"/>
        <v>#N/A</v>
      </c>
      <c r="L50" s="4" t="e">
        <f>VLOOKUP(C50,_resources!B:D,3,0)</f>
        <v>#N/A</v>
      </c>
      <c r="M50" s="4" t="e" cm="1">
        <f t="array" aca="1" ref="M50" ca="1">IF(abbrAtEnd,"",L50&amp;"-")&amp;E50&amp;"-"&amp;INDIRECT(OFFSET(element3,MATCH($C50,resources,0)-1,0))&amp;"-"&amp;INDIRECT(OFFSET(element4,MATCH($C50,resources,0)-1,0))&amp;"-"&amp;INDIRECT(OFFSET(element5,MATCH($C50,resources,0)-1,0))&amp;IF(OFFSET(element6,MATCH($C50,resources,0)-1,0)="","","-"&amp;INDIRECT(OFFSET(element6,MATCH($C50,resources,0)-1,0)))&amp;IF(abbrAtEnd,"-"&amp;L50,"")</f>
        <v>#N/A</v>
      </c>
      <c r="N50" s="4" t="str">
        <f t="shared" si="7"/>
        <v>-000</v>
      </c>
      <c r="O50" s="4">
        <f ca="1">IF(totalElements+COUNTIF(Entities!$C$10,"*")+COUNTIF(B50:C50,"*")+COUNTIF(E50:F50,"*")=9,1,0)</f>
        <v>0</v>
      </c>
      <c r="P50" s="4">
        <f>COUNTIF($C$6:C50,C50)</f>
        <v>0</v>
      </c>
      <c r="Q50" s="4">
        <f ca="1">IF(ISNA(M50),0,COUNTIF($M$6:M50,M50))</f>
        <v>0</v>
      </c>
      <c r="R50" s="4" t="e">
        <f t="shared" ca="1" si="4"/>
        <v>#N/A</v>
      </c>
      <c r="S50" s="4">
        <f ca="1">IF(ISNA(M50),0,COUNTIF($R$6:R50,R50))</f>
        <v>0</v>
      </c>
      <c r="T50" s="4" t="e">
        <f t="shared" ca="1" si="5"/>
        <v>#N/A</v>
      </c>
    </row>
    <row r="51" spans="2:20" x14ac:dyDescent="0.3">
      <c r="B51" s="48"/>
      <c r="C51" s="48"/>
      <c r="D51" s="10" t="str">
        <f t="shared" ca="1" si="9"/>
        <v/>
      </c>
      <c r="E51" s="48"/>
      <c r="F51" s="48"/>
      <c r="G51" s="10" t="str">
        <f t="shared" ca="1" si="8"/>
        <v/>
      </c>
      <c r="I51" s="10" t="str">
        <f t="shared" ca="1" si="10"/>
        <v/>
      </c>
      <c r="K51" s="4" t="e">
        <f t="shared" ca="1" si="3"/>
        <v>#N/A</v>
      </c>
      <c r="L51" s="4" t="e">
        <f>VLOOKUP(C51,_resources!B:D,3,0)</f>
        <v>#N/A</v>
      </c>
      <c r="M51" s="4" t="e" cm="1">
        <f t="array" aca="1" ref="M51" ca="1">IF(abbrAtEnd,"",L51&amp;"-")&amp;E51&amp;"-"&amp;INDIRECT(OFFSET(element3,MATCH($C51,resources,0)-1,0))&amp;"-"&amp;INDIRECT(OFFSET(element4,MATCH($C51,resources,0)-1,0))&amp;"-"&amp;INDIRECT(OFFSET(element5,MATCH($C51,resources,0)-1,0))&amp;IF(OFFSET(element6,MATCH($C51,resources,0)-1,0)="","","-"&amp;INDIRECT(OFFSET(element6,MATCH($C51,resources,0)-1,0)))&amp;IF(abbrAtEnd,"-"&amp;L51,"")</f>
        <v>#N/A</v>
      </c>
      <c r="N51" s="4" t="str">
        <f t="shared" si="7"/>
        <v>-000</v>
      </c>
      <c r="O51" s="4">
        <f ca="1">IF(totalElements+COUNTIF(Entities!$C$10,"*")+COUNTIF(B51:C51,"*")+COUNTIF(E51:F51,"*")=9,1,0)</f>
        <v>0</v>
      </c>
      <c r="P51" s="4">
        <f>COUNTIF($C$6:C51,C51)</f>
        <v>0</v>
      </c>
      <c r="Q51" s="4">
        <f ca="1">IF(ISNA(M51),0,COUNTIF($M$6:M51,M51))</f>
        <v>0</v>
      </c>
      <c r="R51" s="4" t="e">
        <f t="shared" ca="1" si="4"/>
        <v>#N/A</v>
      </c>
      <c r="S51" s="4">
        <f ca="1">IF(ISNA(M51),0,COUNTIF($R$6:R51,R51))</f>
        <v>0</v>
      </c>
      <c r="T51" s="4" t="e">
        <f t="shared" ca="1" si="5"/>
        <v>#N/A</v>
      </c>
    </row>
    <row r="52" spans="2:20" x14ac:dyDescent="0.3">
      <c r="B52" s="48"/>
      <c r="C52" s="48"/>
      <c r="D52" s="10" t="str">
        <f t="shared" ca="1" si="9"/>
        <v/>
      </c>
      <c r="E52" s="48"/>
      <c r="F52" s="48"/>
      <c r="G52" s="10" t="str">
        <f t="shared" ca="1" si="8"/>
        <v/>
      </c>
      <c r="I52" s="10" t="str">
        <f t="shared" ca="1" si="10"/>
        <v/>
      </c>
      <c r="K52" s="4" t="e">
        <f t="shared" ca="1" si="3"/>
        <v>#N/A</v>
      </c>
      <c r="L52" s="4" t="e">
        <f>VLOOKUP(C52,_resources!B:D,3,0)</f>
        <v>#N/A</v>
      </c>
      <c r="M52" s="4" t="e" cm="1">
        <f t="array" aca="1" ref="M52" ca="1">IF(abbrAtEnd,"",L52&amp;"-")&amp;E52&amp;"-"&amp;INDIRECT(OFFSET(element3,MATCH($C52,resources,0)-1,0))&amp;"-"&amp;INDIRECT(OFFSET(element4,MATCH($C52,resources,0)-1,0))&amp;"-"&amp;INDIRECT(OFFSET(element5,MATCH($C52,resources,0)-1,0))&amp;IF(OFFSET(element6,MATCH($C52,resources,0)-1,0)="","","-"&amp;INDIRECT(OFFSET(element6,MATCH($C52,resources,0)-1,0)))&amp;IF(abbrAtEnd,"-"&amp;L52,"")</f>
        <v>#N/A</v>
      </c>
      <c r="N52" s="4" t="str">
        <f t="shared" si="7"/>
        <v>-000</v>
      </c>
      <c r="O52" s="4">
        <f ca="1">IF(totalElements+COUNTIF(Entities!$C$10,"*")+COUNTIF(B52:C52,"*")+COUNTIF(E52:F52,"*")=9,1,0)</f>
        <v>0</v>
      </c>
      <c r="P52" s="4">
        <f>COUNTIF($C$6:C52,C52)</f>
        <v>0</v>
      </c>
      <c r="Q52" s="4">
        <f ca="1">IF(ISNA(M52),0,COUNTIF($M$6:M52,M52))</f>
        <v>0</v>
      </c>
      <c r="R52" s="4" t="e">
        <f t="shared" ca="1" si="4"/>
        <v>#N/A</v>
      </c>
      <c r="S52" s="4">
        <f ca="1">IF(ISNA(M52),0,COUNTIF($R$6:R52,R52))</f>
        <v>0</v>
      </c>
      <c r="T52" s="4" t="e">
        <f t="shared" ca="1" si="5"/>
        <v>#N/A</v>
      </c>
    </row>
    <row r="53" spans="2:20" x14ac:dyDescent="0.3">
      <c r="B53" s="48"/>
      <c r="C53" s="48"/>
      <c r="D53" s="10" t="str">
        <f t="shared" ca="1" si="9"/>
        <v/>
      </c>
      <c r="E53" s="48"/>
      <c r="F53" s="48"/>
      <c r="G53" s="10" t="str">
        <f t="shared" ca="1" si="8"/>
        <v/>
      </c>
      <c r="I53" s="10" t="str">
        <f t="shared" ca="1" si="10"/>
        <v/>
      </c>
      <c r="K53" s="4" t="e">
        <f t="shared" ca="1" si="3"/>
        <v>#N/A</v>
      </c>
      <c r="L53" s="4" t="e">
        <f>VLOOKUP(C53,_resources!B:D,3,0)</f>
        <v>#N/A</v>
      </c>
      <c r="M53" s="4" t="e" cm="1">
        <f t="array" aca="1" ref="M53" ca="1">IF(abbrAtEnd,"",L53&amp;"-")&amp;E53&amp;"-"&amp;INDIRECT(OFFSET(element3,MATCH($C53,resources,0)-1,0))&amp;"-"&amp;INDIRECT(OFFSET(element4,MATCH($C53,resources,0)-1,0))&amp;"-"&amp;INDIRECT(OFFSET(element5,MATCH($C53,resources,0)-1,0))&amp;IF(OFFSET(element6,MATCH($C53,resources,0)-1,0)="","","-"&amp;INDIRECT(OFFSET(element6,MATCH($C53,resources,0)-1,0)))&amp;IF(abbrAtEnd,"-"&amp;L53,"")</f>
        <v>#N/A</v>
      </c>
      <c r="N53" s="4" t="str">
        <f t="shared" si="7"/>
        <v>-000</v>
      </c>
      <c r="O53" s="4">
        <f ca="1">IF(totalElements+COUNTIF(Entities!$C$10,"*")+COUNTIF(B53:C53,"*")+COUNTIF(E53:F53,"*")=9,1,0)</f>
        <v>0</v>
      </c>
      <c r="P53" s="4">
        <f>COUNTIF($C$6:C53,C53)</f>
        <v>0</v>
      </c>
      <c r="Q53" s="4">
        <f ca="1">IF(ISNA(M53),0,COUNTIF($M$6:M53,M53))</f>
        <v>0</v>
      </c>
      <c r="R53" s="4" t="e">
        <f t="shared" ca="1" si="4"/>
        <v>#N/A</v>
      </c>
      <c r="S53" s="4">
        <f ca="1">IF(ISNA(M53),0,COUNTIF($R$6:R53,R53))</f>
        <v>0</v>
      </c>
      <c r="T53" s="4" t="e">
        <f t="shared" ca="1" si="5"/>
        <v>#N/A</v>
      </c>
    </row>
    <row r="54" spans="2:20" x14ac:dyDescent="0.3">
      <c r="B54" s="48"/>
      <c r="C54" s="48"/>
      <c r="D54" s="10" t="str">
        <f t="shared" ca="1" si="9"/>
        <v/>
      </c>
      <c r="E54" s="48"/>
      <c r="F54" s="48"/>
      <c r="G54" s="10" t="str">
        <f t="shared" ca="1" si="8"/>
        <v/>
      </c>
      <c r="I54" s="10" t="str">
        <f t="shared" ca="1" si="10"/>
        <v/>
      </c>
      <c r="K54" s="4" t="e">
        <f t="shared" ca="1" si="3"/>
        <v>#N/A</v>
      </c>
      <c r="L54" s="4" t="e">
        <f>VLOOKUP(C54,_resources!B:D,3,0)</f>
        <v>#N/A</v>
      </c>
      <c r="M54" s="4" t="e" cm="1">
        <f t="array" aca="1" ref="M54" ca="1">IF(abbrAtEnd,"",L54&amp;"-")&amp;E54&amp;"-"&amp;INDIRECT(OFFSET(element3,MATCH($C54,resources,0)-1,0))&amp;"-"&amp;INDIRECT(OFFSET(element4,MATCH($C54,resources,0)-1,0))&amp;"-"&amp;INDIRECT(OFFSET(element5,MATCH($C54,resources,0)-1,0))&amp;IF(OFFSET(element6,MATCH($C54,resources,0)-1,0)="","","-"&amp;INDIRECT(OFFSET(element6,MATCH($C54,resources,0)-1,0)))&amp;IF(abbrAtEnd,"-"&amp;L54,"")</f>
        <v>#N/A</v>
      </c>
      <c r="N54" s="4" t="str">
        <f t="shared" si="7"/>
        <v>-000</v>
      </c>
      <c r="O54" s="4">
        <f ca="1">IF(totalElements+COUNTIF(Entities!$C$10,"*")+COUNTIF(B54:C54,"*")+COUNTIF(E54:F54,"*")=9,1,0)</f>
        <v>0</v>
      </c>
      <c r="P54" s="4">
        <f>COUNTIF($C$6:C54,C54)</f>
        <v>0</v>
      </c>
      <c r="Q54" s="4">
        <f ca="1">IF(ISNA(M54),0,COUNTIF($M$6:M54,M54))</f>
        <v>0</v>
      </c>
      <c r="R54" s="4" t="e">
        <f t="shared" ca="1" si="4"/>
        <v>#N/A</v>
      </c>
      <c r="S54" s="4">
        <f ca="1">IF(ISNA(M54),0,COUNTIF($R$6:R54,R54))</f>
        <v>0</v>
      </c>
      <c r="T54" s="4" t="e">
        <f t="shared" ca="1" si="5"/>
        <v>#N/A</v>
      </c>
    </row>
    <row r="55" spans="2:20" x14ac:dyDescent="0.3">
      <c r="B55" s="48"/>
      <c r="C55" s="48"/>
      <c r="D55" s="10" t="str">
        <f t="shared" ca="1" si="9"/>
        <v/>
      </c>
      <c r="E55" s="48"/>
      <c r="F55" s="48"/>
      <c r="G55" s="10" t="str">
        <f t="shared" ca="1" si="8"/>
        <v/>
      </c>
      <c r="I55" s="10" t="str">
        <f t="shared" ca="1" si="10"/>
        <v/>
      </c>
      <c r="K55" s="4" t="e">
        <f t="shared" ca="1" si="3"/>
        <v>#N/A</v>
      </c>
      <c r="L55" s="4" t="e">
        <f>VLOOKUP(C55,_resources!B:D,3,0)</f>
        <v>#N/A</v>
      </c>
      <c r="M55" s="4" t="e" cm="1">
        <f t="array" aca="1" ref="M55" ca="1">IF(abbrAtEnd,"",L55&amp;"-")&amp;E55&amp;"-"&amp;INDIRECT(OFFSET(element3,MATCH($C55,resources,0)-1,0))&amp;"-"&amp;INDIRECT(OFFSET(element4,MATCH($C55,resources,0)-1,0))&amp;"-"&amp;INDIRECT(OFFSET(element5,MATCH($C55,resources,0)-1,0))&amp;IF(OFFSET(element6,MATCH($C55,resources,0)-1,0)="","","-"&amp;INDIRECT(OFFSET(element6,MATCH($C55,resources,0)-1,0)))&amp;IF(abbrAtEnd,"-"&amp;L55,"")</f>
        <v>#N/A</v>
      </c>
      <c r="N55" s="4" t="str">
        <f t="shared" si="7"/>
        <v>-000</v>
      </c>
      <c r="O55" s="4">
        <f ca="1">IF(totalElements+COUNTIF(Entities!$C$10,"*")+COUNTIF(B55:C55,"*")+COUNTIF(E55:F55,"*")=9,1,0)</f>
        <v>0</v>
      </c>
      <c r="P55" s="4">
        <f>COUNTIF($C$6:C55,C55)</f>
        <v>0</v>
      </c>
      <c r="Q55" s="4">
        <f ca="1">IF(ISNA(M55),0,COUNTIF($M$6:M55,M55))</f>
        <v>0</v>
      </c>
      <c r="R55" s="4" t="e">
        <f t="shared" ca="1" si="4"/>
        <v>#N/A</v>
      </c>
      <c r="S55" s="4">
        <f ca="1">IF(ISNA(M55),0,COUNTIF($R$6:R55,R55))</f>
        <v>0</v>
      </c>
      <c r="T55" s="4" t="e">
        <f t="shared" ca="1" si="5"/>
        <v>#N/A</v>
      </c>
    </row>
    <row r="56" spans="2:20" x14ac:dyDescent="0.3">
      <c r="B56" s="48"/>
      <c r="C56" s="48"/>
      <c r="D56" s="10" t="str">
        <f t="shared" ca="1" si="9"/>
        <v/>
      </c>
      <c r="E56" s="48"/>
      <c r="F56" s="48"/>
      <c r="G56" s="10" t="str">
        <f t="shared" ca="1" si="8"/>
        <v/>
      </c>
      <c r="I56" s="10" t="str">
        <f t="shared" ca="1" si="10"/>
        <v/>
      </c>
      <c r="K56" s="4" t="e">
        <f t="shared" ca="1" si="3"/>
        <v>#N/A</v>
      </c>
      <c r="L56" s="4" t="e">
        <f>VLOOKUP(C56,_resources!B:D,3,0)</f>
        <v>#N/A</v>
      </c>
      <c r="M56" s="4" t="e" cm="1">
        <f t="array" aca="1" ref="M56" ca="1">IF(abbrAtEnd,"",L56&amp;"-")&amp;E56&amp;"-"&amp;INDIRECT(OFFSET(element3,MATCH($C56,resources,0)-1,0))&amp;"-"&amp;INDIRECT(OFFSET(element4,MATCH($C56,resources,0)-1,0))&amp;"-"&amp;INDIRECT(OFFSET(element5,MATCH($C56,resources,0)-1,0))&amp;IF(OFFSET(element6,MATCH($C56,resources,0)-1,0)="","","-"&amp;INDIRECT(OFFSET(element6,MATCH($C56,resources,0)-1,0)))&amp;IF(abbrAtEnd,"-"&amp;L56,"")</f>
        <v>#N/A</v>
      </c>
      <c r="N56" s="4" t="str">
        <f t="shared" si="7"/>
        <v>-000</v>
      </c>
      <c r="O56" s="4">
        <f ca="1">IF(totalElements+COUNTIF(Entities!$C$10,"*")+COUNTIF(B56:C56,"*")+COUNTIF(E56:F56,"*")=9,1,0)</f>
        <v>0</v>
      </c>
      <c r="P56" s="4">
        <f>COUNTIF($C$6:C56,C56)</f>
        <v>0</v>
      </c>
      <c r="Q56" s="4">
        <f ca="1">IF(ISNA(M56),0,COUNTIF($M$6:M56,M56))</f>
        <v>0</v>
      </c>
      <c r="R56" s="4" t="e">
        <f t="shared" ca="1" si="4"/>
        <v>#N/A</v>
      </c>
      <c r="S56" s="4">
        <f ca="1">IF(ISNA(M56),0,COUNTIF($R$6:R56,R56))</f>
        <v>0</v>
      </c>
      <c r="T56" s="4" t="e">
        <f t="shared" ca="1" si="5"/>
        <v>#N/A</v>
      </c>
    </row>
    <row r="57" spans="2:20" x14ac:dyDescent="0.3">
      <c r="B57" s="48"/>
      <c r="C57" s="48"/>
      <c r="D57" s="10" t="str">
        <f t="shared" ca="1" si="9"/>
        <v/>
      </c>
      <c r="E57" s="48"/>
      <c r="F57" s="48"/>
      <c r="G57" s="10" t="str">
        <f t="shared" ca="1" si="8"/>
        <v/>
      </c>
      <c r="I57" s="10" t="str">
        <f t="shared" ca="1" si="10"/>
        <v/>
      </c>
      <c r="K57" s="4" t="e">
        <f t="shared" ca="1" si="3"/>
        <v>#N/A</v>
      </c>
      <c r="L57" s="4" t="e">
        <f>VLOOKUP(C57,_resources!B:D,3,0)</f>
        <v>#N/A</v>
      </c>
      <c r="M57" s="4" t="e" cm="1">
        <f t="array" aca="1" ref="M57" ca="1">IF(abbrAtEnd,"",L57&amp;"-")&amp;E57&amp;"-"&amp;INDIRECT(OFFSET(element3,MATCH($C57,resources,0)-1,0))&amp;"-"&amp;INDIRECT(OFFSET(element4,MATCH($C57,resources,0)-1,0))&amp;"-"&amp;INDIRECT(OFFSET(element5,MATCH($C57,resources,0)-1,0))&amp;IF(OFFSET(element6,MATCH($C57,resources,0)-1,0)="","","-"&amp;INDIRECT(OFFSET(element6,MATCH($C57,resources,0)-1,0)))&amp;IF(abbrAtEnd,"-"&amp;L57,"")</f>
        <v>#N/A</v>
      </c>
      <c r="N57" s="4" t="str">
        <f t="shared" si="7"/>
        <v>-000</v>
      </c>
      <c r="O57" s="4">
        <f ca="1">IF(totalElements+COUNTIF(Entities!$C$10,"*")+COUNTIF(B57:C57,"*")+COUNTIF(E57:F57,"*")=9,1,0)</f>
        <v>0</v>
      </c>
      <c r="P57" s="4">
        <f>COUNTIF($C$6:C57,C57)</f>
        <v>0</v>
      </c>
      <c r="Q57" s="4">
        <f ca="1">IF(ISNA(M57),0,COUNTIF($M$6:M57,M57))</f>
        <v>0</v>
      </c>
      <c r="R57" s="4" t="e">
        <f t="shared" ca="1" si="4"/>
        <v>#N/A</v>
      </c>
      <c r="S57" s="4">
        <f ca="1">IF(ISNA(M57),0,COUNTIF($R$6:R57,R57))</f>
        <v>0</v>
      </c>
      <c r="T57" s="4" t="e">
        <f t="shared" ca="1" si="5"/>
        <v>#N/A</v>
      </c>
    </row>
    <row r="58" spans="2:20" x14ac:dyDescent="0.3">
      <c r="B58" s="48"/>
      <c r="C58" s="48"/>
      <c r="D58" s="10" t="str">
        <f t="shared" ca="1" si="9"/>
        <v/>
      </c>
      <c r="E58" s="48"/>
      <c r="F58" s="48"/>
      <c r="G58" s="10" t="str">
        <f t="shared" ca="1" si="8"/>
        <v/>
      </c>
      <c r="I58" s="10" t="str">
        <f t="shared" ca="1" si="10"/>
        <v/>
      </c>
      <c r="K58" s="4" t="e">
        <f t="shared" ca="1" si="3"/>
        <v>#N/A</v>
      </c>
      <c r="L58" s="4" t="e">
        <f>VLOOKUP(C58,_resources!B:D,3,0)</f>
        <v>#N/A</v>
      </c>
      <c r="M58" s="4" t="e" cm="1">
        <f t="array" aca="1" ref="M58" ca="1">IF(abbrAtEnd,"",L58&amp;"-")&amp;E58&amp;"-"&amp;INDIRECT(OFFSET(element3,MATCH($C58,resources,0)-1,0))&amp;"-"&amp;INDIRECT(OFFSET(element4,MATCH($C58,resources,0)-1,0))&amp;"-"&amp;INDIRECT(OFFSET(element5,MATCH($C58,resources,0)-1,0))&amp;IF(OFFSET(element6,MATCH($C58,resources,0)-1,0)="","","-"&amp;INDIRECT(OFFSET(element6,MATCH($C58,resources,0)-1,0)))&amp;IF(abbrAtEnd,"-"&amp;L58,"")</f>
        <v>#N/A</v>
      </c>
      <c r="N58" s="4" t="str">
        <f t="shared" si="7"/>
        <v>-000</v>
      </c>
      <c r="O58" s="4">
        <f ca="1">IF(totalElements+COUNTIF(Entities!$C$10,"*")+COUNTIF(B58:C58,"*")+COUNTIF(E58:F58,"*")=9,1,0)</f>
        <v>0</v>
      </c>
      <c r="P58" s="4">
        <f>COUNTIF($C$6:C58,C58)</f>
        <v>0</v>
      </c>
      <c r="Q58" s="4">
        <f ca="1">IF(ISNA(M58),0,COUNTIF($M$6:M58,M58))</f>
        <v>0</v>
      </c>
      <c r="R58" s="4" t="e">
        <f t="shared" ca="1" si="4"/>
        <v>#N/A</v>
      </c>
      <c r="S58" s="4">
        <f ca="1">IF(ISNA(M58),0,COUNTIF($R$6:R58,R58))</f>
        <v>0</v>
      </c>
      <c r="T58" s="4" t="e">
        <f t="shared" ca="1" si="5"/>
        <v>#N/A</v>
      </c>
    </row>
    <row r="59" spans="2:20" x14ac:dyDescent="0.3">
      <c r="B59" s="48"/>
      <c r="C59" s="48"/>
      <c r="D59" s="10" t="str">
        <f t="shared" ca="1" si="9"/>
        <v/>
      </c>
      <c r="E59" s="48"/>
      <c r="F59" s="48"/>
      <c r="G59" s="10" t="str">
        <f t="shared" ca="1" si="8"/>
        <v/>
      </c>
      <c r="I59" s="10" t="str">
        <f t="shared" ca="1" si="10"/>
        <v/>
      </c>
      <c r="K59" s="4" t="e">
        <f t="shared" ca="1" si="3"/>
        <v>#N/A</v>
      </c>
      <c r="L59" s="4" t="e">
        <f>VLOOKUP(C59,_resources!B:D,3,0)</f>
        <v>#N/A</v>
      </c>
      <c r="M59" s="4" t="e" cm="1">
        <f t="array" aca="1" ref="M59" ca="1">IF(abbrAtEnd,"",L59&amp;"-")&amp;E59&amp;"-"&amp;INDIRECT(OFFSET(element3,MATCH($C59,resources,0)-1,0))&amp;"-"&amp;INDIRECT(OFFSET(element4,MATCH($C59,resources,0)-1,0))&amp;"-"&amp;INDIRECT(OFFSET(element5,MATCH($C59,resources,0)-1,0))&amp;IF(OFFSET(element6,MATCH($C59,resources,0)-1,0)="","","-"&amp;INDIRECT(OFFSET(element6,MATCH($C59,resources,0)-1,0)))&amp;IF(abbrAtEnd,"-"&amp;L59,"")</f>
        <v>#N/A</v>
      </c>
      <c r="N59" s="4" t="str">
        <f t="shared" si="7"/>
        <v>-000</v>
      </c>
      <c r="O59" s="4">
        <f ca="1">IF(totalElements+COUNTIF(Entities!$C$10,"*")+COUNTIF(B59:C59,"*")+COUNTIF(E59:F59,"*")=9,1,0)</f>
        <v>0</v>
      </c>
      <c r="P59" s="4">
        <f>COUNTIF($C$6:C59,C59)</f>
        <v>0</v>
      </c>
      <c r="Q59" s="4">
        <f ca="1">IF(ISNA(M59),0,COUNTIF($M$6:M59,M59))</f>
        <v>0</v>
      </c>
      <c r="R59" s="4" t="e">
        <f t="shared" ca="1" si="4"/>
        <v>#N/A</v>
      </c>
      <c r="S59" s="4">
        <f ca="1">IF(ISNA(M59),0,COUNTIF($R$6:R59,R59))</f>
        <v>0</v>
      </c>
      <c r="T59" s="4" t="e">
        <f t="shared" ca="1" si="5"/>
        <v>#N/A</v>
      </c>
    </row>
    <row r="60" spans="2:20" x14ac:dyDescent="0.3">
      <c r="B60" s="48"/>
      <c r="C60" s="48"/>
      <c r="D60" s="10" t="str">
        <f t="shared" ca="1" si="9"/>
        <v/>
      </c>
      <c r="E60" s="48"/>
      <c r="F60" s="48"/>
      <c r="G60" s="10" t="str">
        <f t="shared" ca="1" si="8"/>
        <v/>
      </c>
      <c r="I60" s="10" t="str">
        <f t="shared" ca="1" si="10"/>
        <v/>
      </c>
      <c r="K60" s="4" t="e">
        <f t="shared" ca="1" si="3"/>
        <v>#N/A</v>
      </c>
      <c r="L60" s="4" t="e">
        <f>VLOOKUP(C60,_resources!B:D,3,0)</f>
        <v>#N/A</v>
      </c>
      <c r="M60" s="4" t="e" cm="1">
        <f t="array" aca="1" ref="M60" ca="1">IF(abbrAtEnd,"",L60&amp;"-")&amp;E60&amp;"-"&amp;INDIRECT(OFFSET(element3,MATCH($C60,resources,0)-1,0))&amp;"-"&amp;INDIRECT(OFFSET(element4,MATCH($C60,resources,0)-1,0))&amp;"-"&amp;INDIRECT(OFFSET(element5,MATCH($C60,resources,0)-1,0))&amp;IF(OFFSET(element6,MATCH($C60,resources,0)-1,0)="","","-"&amp;INDIRECT(OFFSET(element6,MATCH($C60,resources,0)-1,0)))&amp;IF(abbrAtEnd,"-"&amp;L60,"")</f>
        <v>#N/A</v>
      </c>
      <c r="N60" s="4" t="str">
        <f t="shared" si="7"/>
        <v>-000</v>
      </c>
      <c r="O60" s="4">
        <f ca="1">IF(totalElements+COUNTIF(Entities!$C$10,"*")+COUNTIF(B60:C60,"*")+COUNTIF(E60:F60,"*")=9,1,0)</f>
        <v>0</v>
      </c>
      <c r="P60" s="4">
        <f>COUNTIF($C$6:C60,C60)</f>
        <v>0</v>
      </c>
      <c r="Q60" s="4">
        <f ca="1">IF(ISNA(M60),0,COUNTIF($M$6:M60,M60))</f>
        <v>0</v>
      </c>
      <c r="R60" s="4" t="e">
        <f t="shared" ca="1" si="4"/>
        <v>#N/A</v>
      </c>
      <c r="S60" s="4">
        <f ca="1">IF(ISNA(M60),0,COUNTIF($R$6:R60,R60))</f>
        <v>0</v>
      </c>
      <c r="T60" s="4" t="e">
        <f t="shared" ca="1" si="5"/>
        <v>#N/A</v>
      </c>
    </row>
    <row r="61" spans="2:20" x14ac:dyDescent="0.3">
      <c r="B61" s="48"/>
      <c r="C61" s="48"/>
      <c r="D61" s="10" t="str">
        <f t="shared" ca="1" si="9"/>
        <v/>
      </c>
      <c r="E61" s="48"/>
      <c r="F61" s="48"/>
      <c r="G61" s="10" t="str">
        <f t="shared" ca="1" si="8"/>
        <v/>
      </c>
      <c r="I61" s="10" t="str">
        <f t="shared" ca="1" si="10"/>
        <v/>
      </c>
      <c r="K61" s="4" t="e">
        <f t="shared" ca="1" si="3"/>
        <v>#N/A</v>
      </c>
      <c r="L61" s="4" t="e">
        <f>VLOOKUP(C61,_resources!B:D,3,0)</f>
        <v>#N/A</v>
      </c>
      <c r="M61" s="4" t="e" cm="1">
        <f t="array" aca="1" ref="M61" ca="1">IF(abbrAtEnd,"",L61&amp;"-")&amp;E61&amp;"-"&amp;INDIRECT(OFFSET(element3,MATCH($C61,resources,0)-1,0))&amp;"-"&amp;INDIRECT(OFFSET(element4,MATCH($C61,resources,0)-1,0))&amp;"-"&amp;INDIRECT(OFFSET(element5,MATCH($C61,resources,0)-1,0))&amp;IF(OFFSET(element6,MATCH($C61,resources,0)-1,0)="","","-"&amp;INDIRECT(OFFSET(element6,MATCH($C61,resources,0)-1,0)))&amp;IF(abbrAtEnd,"-"&amp;L61,"")</f>
        <v>#N/A</v>
      </c>
      <c r="N61" s="4" t="str">
        <f t="shared" si="7"/>
        <v>-000</v>
      </c>
      <c r="O61" s="4">
        <f ca="1">IF(totalElements+COUNTIF(Entities!$C$10,"*")+COUNTIF(B61:C61,"*")+COUNTIF(E61:F61,"*")=9,1,0)</f>
        <v>0</v>
      </c>
      <c r="P61" s="4">
        <f>COUNTIF($C$6:C61,C61)</f>
        <v>0</v>
      </c>
      <c r="Q61" s="4">
        <f ca="1">IF(ISNA(M61),0,COUNTIF($M$6:M61,M61))</f>
        <v>0</v>
      </c>
      <c r="R61" s="4" t="e">
        <f t="shared" ca="1" si="4"/>
        <v>#N/A</v>
      </c>
      <c r="S61" s="4">
        <f ca="1">IF(ISNA(M61),0,COUNTIF($R$6:R61,R61))</f>
        <v>0</v>
      </c>
      <c r="T61" s="4" t="e">
        <f t="shared" ca="1" si="5"/>
        <v>#N/A</v>
      </c>
    </row>
    <row r="62" spans="2:20" x14ac:dyDescent="0.3">
      <c r="B62" s="48"/>
      <c r="C62" s="48"/>
      <c r="D62" s="10" t="str">
        <f t="shared" ca="1" si="9"/>
        <v/>
      </c>
      <c r="E62" s="48"/>
      <c r="F62" s="48"/>
      <c r="G62" s="10" t="str">
        <f t="shared" ca="1" si="8"/>
        <v/>
      </c>
      <c r="I62" s="10" t="str">
        <f t="shared" ca="1" si="10"/>
        <v/>
      </c>
      <c r="K62" s="4" t="e">
        <f t="shared" ca="1" si="3"/>
        <v>#N/A</v>
      </c>
      <c r="L62" s="4" t="e">
        <f>VLOOKUP(C62,_resources!B:D,3,0)</f>
        <v>#N/A</v>
      </c>
      <c r="M62" s="4" t="e" cm="1">
        <f t="array" aca="1" ref="M62" ca="1">IF(abbrAtEnd,"",L62&amp;"-")&amp;E62&amp;"-"&amp;INDIRECT(OFFSET(element3,MATCH($C62,resources,0)-1,0))&amp;"-"&amp;INDIRECT(OFFSET(element4,MATCH($C62,resources,0)-1,0))&amp;"-"&amp;INDIRECT(OFFSET(element5,MATCH($C62,resources,0)-1,0))&amp;IF(OFFSET(element6,MATCH($C62,resources,0)-1,0)="","","-"&amp;INDIRECT(OFFSET(element6,MATCH($C62,resources,0)-1,0)))&amp;IF(abbrAtEnd,"-"&amp;L62,"")</f>
        <v>#N/A</v>
      </c>
      <c r="N62" s="4" t="str">
        <f t="shared" si="7"/>
        <v>-000</v>
      </c>
      <c r="O62" s="4">
        <f ca="1">IF(totalElements+COUNTIF(Entities!$C$10,"*")+COUNTIF(B62:C62,"*")+COUNTIF(E62:F62,"*")=9,1,0)</f>
        <v>0</v>
      </c>
      <c r="P62" s="4">
        <f>COUNTIF($C$6:C62,C62)</f>
        <v>0</v>
      </c>
      <c r="Q62" s="4">
        <f ca="1">IF(ISNA(M62),0,COUNTIF($M$6:M62,M62))</f>
        <v>0</v>
      </c>
      <c r="R62" s="4" t="e">
        <f t="shared" ca="1" si="4"/>
        <v>#N/A</v>
      </c>
      <c r="S62" s="4">
        <f ca="1">IF(ISNA(M62),0,COUNTIF($R$6:R62,R62))</f>
        <v>0</v>
      </c>
      <c r="T62" s="4" t="e">
        <f t="shared" ca="1" si="5"/>
        <v>#N/A</v>
      </c>
    </row>
    <row r="63" spans="2:20" x14ac:dyDescent="0.3">
      <c r="B63" s="48"/>
      <c r="C63" s="48"/>
      <c r="D63" s="10" t="str">
        <f t="shared" ca="1" si="9"/>
        <v/>
      </c>
      <c r="E63" s="48"/>
      <c r="F63" s="48"/>
      <c r="G63" s="10" t="str">
        <f t="shared" ca="1" si="8"/>
        <v/>
      </c>
      <c r="I63" s="10" t="str">
        <f t="shared" ca="1" si="10"/>
        <v/>
      </c>
      <c r="K63" s="4" t="e">
        <f t="shared" ca="1" si="3"/>
        <v>#N/A</v>
      </c>
      <c r="L63" s="4" t="e">
        <f>VLOOKUP(C63,_resources!B:D,3,0)</f>
        <v>#N/A</v>
      </c>
      <c r="M63" s="4" t="e" cm="1">
        <f t="array" aca="1" ref="M63" ca="1">IF(abbrAtEnd,"",L63&amp;"-")&amp;E63&amp;"-"&amp;INDIRECT(OFFSET(element3,MATCH($C63,resources,0)-1,0))&amp;"-"&amp;INDIRECT(OFFSET(element4,MATCH($C63,resources,0)-1,0))&amp;"-"&amp;INDIRECT(OFFSET(element5,MATCH($C63,resources,0)-1,0))&amp;IF(OFFSET(element6,MATCH($C63,resources,0)-1,0)="","","-"&amp;INDIRECT(OFFSET(element6,MATCH($C63,resources,0)-1,0)))&amp;IF(abbrAtEnd,"-"&amp;L63,"")</f>
        <v>#N/A</v>
      </c>
      <c r="N63" s="4" t="str">
        <f t="shared" si="7"/>
        <v>-000</v>
      </c>
      <c r="O63" s="4">
        <f ca="1">IF(totalElements+COUNTIF(Entities!$C$10,"*")+COUNTIF(B63:C63,"*")+COUNTIF(E63:F63,"*")=9,1,0)</f>
        <v>0</v>
      </c>
      <c r="P63" s="4">
        <f>COUNTIF($C$6:C63,C63)</f>
        <v>0</v>
      </c>
      <c r="Q63" s="4">
        <f ca="1">IF(ISNA(M63),0,COUNTIF($M$6:M63,M63))</f>
        <v>0</v>
      </c>
      <c r="R63" s="4" t="e">
        <f t="shared" ca="1" si="4"/>
        <v>#N/A</v>
      </c>
      <c r="S63" s="4">
        <f ca="1">IF(ISNA(M63),0,COUNTIF($R$6:R63,R63))</f>
        <v>0</v>
      </c>
      <c r="T63" s="4" t="e">
        <f t="shared" ca="1" si="5"/>
        <v>#N/A</v>
      </c>
    </row>
    <row r="64" spans="2:20" x14ac:dyDescent="0.3">
      <c r="B64" s="48"/>
      <c r="C64" s="48"/>
      <c r="D64" s="10" t="str">
        <f t="shared" ca="1" si="9"/>
        <v/>
      </c>
      <c r="E64" s="48"/>
      <c r="F64" s="48"/>
      <c r="G64" s="10" t="str">
        <f t="shared" ca="1" si="8"/>
        <v/>
      </c>
      <c r="I64" s="10" t="str">
        <f t="shared" ca="1" si="10"/>
        <v/>
      </c>
      <c r="K64" s="4" t="e">
        <f t="shared" ca="1" si="3"/>
        <v>#N/A</v>
      </c>
      <c r="L64" s="4" t="e">
        <f>VLOOKUP(C64,_resources!B:D,3,0)</f>
        <v>#N/A</v>
      </c>
      <c r="M64" s="4" t="e" cm="1">
        <f t="array" aca="1" ref="M64" ca="1">IF(abbrAtEnd,"",L64&amp;"-")&amp;E64&amp;"-"&amp;INDIRECT(OFFSET(element3,MATCH($C64,resources,0)-1,0))&amp;"-"&amp;INDIRECT(OFFSET(element4,MATCH($C64,resources,0)-1,0))&amp;"-"&amp;INDIRECT(OFFSET(element5,MATCH($C64,resources,0)-1,0))&amp;IF(OFFSET(element6,MATCH($C64,resources,0)-1,0)="","","-"&amp;INDIRECT(OFFSET(element6,MATCH($C64,resources,0)-1,0)))&amp;IF(abbrAtEnd,"-"&amp;L64,"")</f>
        <v>#N/A</v>
      </c>
      <c r="N64" s="4" t="str">
        <f t="shared" si="7"/>
        <v>-000</v>
      </c>
      <c r="O64" s="4">
        <f ca="1">IF(totalElements+COUNTIF(Entities!$C$10,"*")+COUNTIF(B64:C64,"*")+COUNTIF(E64:F64,"*")=9,1,0)</f>
        <v>0</v>
      </c>
      <c r="P64" s="4">
        <f>COUNTIF($C$6:C64,C64)</f>
        <v>0</v>
      </c>
      <c r="Q64" s="4">
        <f ca="1">IF(ISNA(M64),0,COUNTIF($M$6:M64,M64))</f>
        <v>0</v>
      </c>
      <c r="R64" s="4" t="e">
        <f t="shared" ca="1" si="4"/>
        <v>#N/A</v>
      </c>
      <c r="S64" s="4">
        <f ca="1">IF(ISNA(M64),0,COUNTIF($R$6:R64,R64))</f>
        <v>0</v>
      </c>
      <c r="T64" s="4" t="e">
        <f t="shared" ca="1" si="5"/>
        <v>#N/A</v>
      </c>
    </row>
    <row r="65" spans="2:20" x14ac:dyDescent="0.3">
      <c r="B65" s="48"/>
      <c r="C65" s="48"/>
      <c r="D65" s="10" t="str">
        <f t="shared" ca="1" si="9"/>
        <v/>
      </c>
      <c r="E65" s="48"/>
      <c r="F65" s="48"/>
      <c r="G65" s="10" t="str">
        <f t="shared" ca="1" si="8"/>
        <v/>
      </c>
      <c r="I65" s="10" t="str">
        <f t="shared" ca="1" si="10"/>
        <v/>
      </c>
      <c r="K65" s="4" t="e">
        <f t="shared" ca="1" si="3"/>
        <v>#N/A</v>
      </c>
      <c r="L65" s="4" t="e">
        <f>VLOOKUP(C65,_resources!B:D,3,0)</f>
        <v>#N/A</v>
      </c>
      <c r="M65" s="4" t="e" cm="1">
        <f t="array" aca="1" ref="M65" ca="1">IF(abbrAtEnd,"",L65&amp;"-")&amp;E65&amp;"-"&amp;INDIRECT(OFFSET(element3,MATCH($C65,resources,0)-1,0))&amp;"-"&amp;INDIRECT(OFFSET(element4,MATCH($C65,resources,0)-1,0))&amp;"-"&amp;INDIRECT(OFFSET(element5,MATCH($C65,resources,0)-1,0))&amp;IF(OFFSET(element6,MATCH($C65,resources,0)-1,0)="","","-"&amp;INDIRECT(OFFSET(element6,MATCH($C65,resources,0)-1,0)))&amp;IF(abbrAtEnd,"-"&amp;L65,"")</f>
        <v>#N/A</v>
      </c>
      <c r="N65" s="4" t="str">
        <f t="shared" si="7"/>
        <v>-000</v>
      </c>
      <c r="O65" s="4">
        <f ca="1">IF(totalElements+COUNTIF(Entities!$C$10,"*")+COUNTIF(B65:C65,"*")+COUNTIF(E65:F65,"*")=9,1,0)</f>
        <v>0</v>
      </c>
      <c r="P65" s="4">
        <f>COUNTIF($C$6:C65,C65)</f>
        <v>0</v>
      </c>
      <c r="Q65" s="4">
        <f ca="1">IF(ISNA(M65),0,COUNTIF($M$6:M65,M65))</f>
        <v>0</v>
      </c>
      <c r="R65" s="4" t="e">
        <f t="shared" ca="1" si="4"/>
        <v>#N/A</v>
      </c>
      <c r="S65" s="4">
        <f ca="1">IF(ISNA(M65),0,COUNTIF($R$6:R65,R65))</f>
        <v>0</v>
      </c>
      <c r="T65" s="4" t="e">
        <f t="shared" ca="1" si="5"/>
        <v>#N/A</v>
      </c>
    </row>
    <row r="66" spans="2:20" x14ac:dyDescent="0.3">
      <c r="B66" s="48"/>
      <c r="C66" s="48"/>
      <c r="D66" s="10" t="str">
        <f t="shared" ca="1" si="9"/>
        <v/>
      </c>
      <c r="E66" s="48"/>
      <c r="F66" s="48"/>
      <c r="G66" s="10" t="str">
        <f t="shared" ca="1" si="8"/>
        <v/>
      </c>
      <c r="I66" s="10" t="str">
        <f t="shared" ca="1" si="10"/>
        <v/>
      </c>
      <c r="K66" s="4" t="e">
        <f t="shared" ca="1" si="3"/>
        <v>#N/A</v>
      </c>
      <c r="L66" s="4" t="e">
        <f>VLOOKUP(C66,_resources!B:D,3,0)</f>
        <v>#N/A</v>
      </c>
      <c r="M66" s="4" t="e" cm="1">
        <f t="array" aca="1" ref="M66" ca="1">IF(abbrAtEnd,"",L66&amp;"-")&amp;E66&amp;"-"&amp;INDIRECT(OFFSET(element3,MATCH($C66,resources,0)-1,0))&amp;"-"&amp;INDIRECT(OFFSET(element4,MATCH($C66,resources,0)-1,0))&amp;"-"&amp;INDIRECT(OFFSET(element5,MATCH($C66,resources,0)-1,0))&amp;IF(OFFSET(element6,MATCH($C66,resources,0)-1,0)="","","-"&amp;INDIRECT(OFFSET(element6,MATCH($C66,resources,0)-1,0)))&amp;IF(abbrAtEnd,"-"&amp;L66,"")</f>
        <v>#N/A</v>
      </c>
      <c r="N66" s="4" t="str">
        <f t="shared" si="7"/>
        <v>-000</v>
      </c>
      <c r="O66" s="4">
        <f ca="1">IF(totalElements+COUNTIF(Entities!$C$10,"*")+COUNTIF(B66:C66,"*")+COUNTIF(E66:F66,"*")=9,1,0)</f>
        <v>0</v>
      </c>
      <c r="P66" s="4">
        <f>COUNTIF($C$6:C66,C66)</f>
        <v>0</v>
      </c>
      <c r="Q66" s="4">
        <f ca="1">IF(ISNA(M66),0,COUNTIF($M$6:M66,M66))</f>
        <v>0</v>
      </c>
      <c r="R66" s="4" t="e">
        <f t="shared" ca="1" si="4"/>
        <v>#N/A</v>
      </c>
      <c r="S66" s="4">
        <f ca="1">IF(ISNA(M66),0,COUNTIF($R$6:R66,R66))</f>
        <v>0</v>
      </c>
      <c r="T66" s="4" t="e">
        <f t="shared" ca="1" si="5"/>
        <v>#N/A</v>
      </c>
    </row>
    <row r="67" spans="2:20" x14ac:dyDescent="0.3">
      <c r="B67" s="48"/>
      <c r="C67" s="48"/>
      <c r="D67" s="10" t="str">
        <f t="shared" ca="1" si="9"/>
        <v/>
      </c>
      <c r="E67" s="48"/>
      <c r="F67" s="48"/>
      <c r="G67" s="10" t="str">
        <f t="shared" ca="1" si="8"/>
        <v/>
      </c>
      <c r="I67" s="10" t="str">
        <f t="shared" ca="1" si="10"/>
        <v/>
      </c>
      <c r="K67" s="4" t="e">
        <f t="shared" ca="1" si="3"/>
        <v>#N/A</v>
      </c>
      <c r="L67" s="4" t="e">
        <f>VLOOKUP(C67,_resources!B:D,3,0)</f>
        <v>#N/A</v>
      </c>
      <c r="M67" s="4" t="e" cm="1">
        <f t="array" aca="1" ref="M67" ca="1">IF(abbrAtEnd,"",L67&amp;"-")&amp;E67&amp;"-"&amp;INDIRECT(OFFSET(element3,MATCH($C67,resources,0)-1,0))&amp;"-"&amp;INDIRECT(OFFSET(element4,MATCH($C67,resources,0)-1,0))&amp;"-"&amp;INDIRECT(OFFSET(element5,MATCH($C67,resources,0)-1,0))&amp;IF(OFFSET(element6,MATCH($C67,resources,0)-1,0)="","","-"&amp;INDIRECT(OFFSET(element6,MATCH($C67,resources,0)-1,0)))&amp;IF(abbrAtEnd,"-"&amp;L67,"")</f>
        <v>#N/A</v>
      </c>
      <c r="N67" s="4" t="str">
        <f t="shared" si="7"/>
        <v>-000</v>
      </c>
      <c r="O67" s="4">
        <f ca="1">IF(totalElements+COUNTIF(Entities!$C$10,"*")+COUNTIF(B67:C67,"*")+COUNTIF(E67:F67,"*")=9,1,0)</f>
        <v>0</v>
      </c>
      <c r="P67" s="4">
        <f>COUNTIF($C$6:C67,C67)</f>
        <v>0</v>
      </c>
      <c r="Q67" s="4">
        <f ca="1">IF(ISNA(M67),0,COUNTIF($M$6:M67,M67))</f>
        <v>0</v>
      </c>
      <c r="R67" s="4" t="e">
        <f t="shared" ca="1" si="4"/>
        <v>#N/A</v>
      </c>
      <c r="S67" s="4">
        <f ca="1">IF(ISNA(M67),0,COUNTIF($R$6:R67,R67))</f>
        <v>0</v>
      </c>
      <c r="T67" s="4" t="e">
        <f t="shared" ca="1" si="5"/>
        <v>#N/A</v>
      </c>
    </row>
    <row r="68" spans="2:20" x14ac:dyDescent="0.3">
      <c r="B68" s="48"/>
      <c r="C68" s="48"/>
      <c r="D68" s="10" t="str">
        <f t="shared" ca="1" si="9"/>
        <v/>
      </c>
      <c r="E68" s="48"/>
      <c r="F68" s="48"/>
      <c r="G68" s="10" t="str">
        <f t="shared" ca="1" si="8"/>
        <v/>
      </c>
      <c r="I68" s="10" t="str">
        <f t="shared" ca="1" si="10"/>
        <v/>
      </c>
      <c r="K68" s="4" t="e">
        <f t="shared" ca="1" si="3"/>
        <v>#N/A</v>
      </c>
      <c r="L68" s="4" t="e">
        <f>VLOOKUP(C68,_resources!B:D,3,0)</f>
        <v>#N/A</v>
      </c>
      <c r="M68" s="4" t="e" cm="1">
        <f t="array" aca="1" ref="M68" ca="1">IF(abbrAtEnd,"",L68&amp;"-")&amp;E68&amp;"-"&amp;INDIRECT(OFFSET(element3,MATCH($C68,resources,0)-1,0))&amp;"-"&amp;INDIRECT(OFFSET(element4,MATCH($C68,resources,0)-1,0))&amp;"-"&amp;INDIRECT(OFFSET(element5,MATCH($C68,resources,0)-1,0))&amp;IF(OFFSET(element6,MATCH($C68,resources,0)-1,0)="","","-"&amp;INDIRECT(OFFSET(element6,MATCH($C68,resources,0)-1,0)))&amp;IF(abbrAtEnd,"-"&amp;L68,"")</f>
        <v>#N/A</v>
      </c>
      <c r="N68" s="4" t="str">
        <f t="shared" si="7"/>
        <v>-000</v>
      </c>
      <c r="O68" s="4">
        <f ca="1">IF(totalElements+COUNTIF(Entities!$C$10,"*")+COUNTIF(B68:C68,"*")+COUNTIF(E68:F68,"*")=9,1,0)</f>
        <v>0</v>
      </c>
      <c r="P68" s="4">
        <f>COUNTIF($C$6:C68,C68)</f>
        <v>0</v>
      </c>
      <c r="Q68" s="4">
        <f ca="1">IF(ISNA(M68),0,COUNTIF($M$6:M68,M68))</f>
        <v>0</v>
      </c>
      <c r="R68" s="4" t="e">
        <f t="shared" ca="1" si="4"/>
        <v>#N/A</v>
      </c>
      <c r="S68" s="4">
        <f ca="1">IF(ISNA(M68),0,COUNTIF($R$6:R68,R68))</f>
        <v>0</v>
      </c>
      <c r="T68" s="4" t="e">
        <f t="shared" ca="1" si="5"/>
        <v>#N/A</v>
      </c>
    </row>
    <row r="69" spans="2:20" x14ac:dyDescent="0.3">
      <c r="B69" s="48"/>
      <c r="C69" s="48"/>
      <c r="D69" s="10" t="str">
        <f t="shared" ca="1" si="9"/>
        <v/>
      </c>
      <c r="E69" s="48"/>
      <c r="F69" s="48"/>
      <c r="G69" s="10" t="str">
        <f t="shared" ca="1" si="8"/>
        <v/>
      </c>
      <c r="I69" s="10" t="str">
        <f t="shared" ca="1" si="10"/>
        <v/>
      </c>
      <c r="K69" s="4" t="e">
        <f t="shared" ca="1" si="3"/>
        <v>#N/A</v>
      </c>
      <c r="L69" s="4" t="e">
        <f>VLOOKUP(C69,_resources!B:D,3,0)</f>
        <v>#N/A</v>
      </c>
      <c r="M69" s="4" t="e" cm="1">
        <f t="array" aca="1" ref="M69" ca="1">IF(abbrAtEnd,"",L69&amp;"-")&amp;E69&amp;"-"&amp;INDIRECT(OFFSET(element3,MATCH($C69,resources,0)-1,0))&amp;"-"&amp;INDIRECT(OFFSET(element4,MATCH($C69,resources,0)-1,0))&amp;"-"&amp;INDIRECT(OFFSET(element5,MATCH($C69,resources,0)-1,0))&amp;IF(OFFSET(element6,MATCH($C69,resources,0)-1,0)="","","-"&amp;INDIRECT(OFFSET(element6,MATCH($C69,resources,0)-1,0)))&amp;IF(abbrAtEnd,"-"&amp;L69,"")</f>
        <v>#N/A</v>
      </c>
      <c r="N69" s="4" t="str">
        <f t="shared" si="7"/>
        <v>-000</v>
      </c>
      <c r="O69" s="4">
        <f ca="1">IF(totalElements+COUNTIF(Entities!$C$10,"*")+COUNTIF(B69:C69,"*")+COUNTIF(E69:F69,"*")=9,1,0)</f>
        <v>0</v>
      </c>
      <c r="P69" s="4">
        <f>COUNTIF($C$6:C69,C69)</f>
        <v>0</v>
      </c>
      <c r="Q69" s="4">
        <f ca="1">IF(ISNA(M69),0,COUNTIF($M$6:M69,M69))</f>
        <v>0</v>
      </c>
      <c r="R69" s="4" t="e">
        <f t="shared" ca="1" si="4"/>
        <v>#N/A</v>
      </c>
      <c r="S69" s="4">
        <f ca="1">IF(ISNA(M69),0,COUNTIF($R$6:R69,R69))</f>
        <v>0</v>
      </c>
      <c r="T69" s="4" t="e">
        <f t="shared" ca="1" si="5"/>
        <v>#N/A</v>
      </c>
    </row>
    <row r="70" spans="2:20" x14ac:dyDescent="0.3">
      <c r="B70" s="48"/>
      <c r="C70" s="48"/>
      <c r="D70" s="10" t="str">
        <f t="shared" ca="1" si="9"/>
        <v/>
      </c>
      <c r="E70" s="48"/>
      <c r="F70" s="48"/>
      <c r="G70" s="10" t="str">
        <f t="shared" ca="1" si="8"/>
        <v/>
      </c>
      <c r="I70" s="10" t="str">
        <f t="shared" ca="1" si="10"/>
        <v/>
      </c>
      <c r="K70" s="4" t="e">
        <f t="shared" ca="1" si="3"/>
        <v>#N/A</v>
      </c>
      <c r="L70" s="4" t="e">
        <f>VLOOKUP(C70,_resources!B:D,3,0)</f>
        <v>#N/A</v>
      </c>
      <c r="M70" s="4" t="e" cm="1">
        <f t="array" aca="1" ref="M70" ca="1">IF(abbrAtEnd,"",L70&amp;"-")&amp;E70&amp;"-"&amp;INDIRECT(OFFSET(element3,MATCH($C70,resources,0)-1,0))&amp;"-"&amp;INDIRECT(OFFSET(element4,MATCH($C70,resources,0)-1,0))&amp;"-"&amp;INDIRECT(OFFSET(element5,MATCH($C70,resources,0)-1,0))&amp;IF(OFFSET(element6,MATCH($C70,resources,0)-1,0)="","","-"&amp;INDIRECT(OFFSET(element6,MATCH($C70,resources,0)-1,0)))&amp;IF(abbrAtEnd,"-"&amp;L70,"")</f>
        <v>#N/A</v>
      </c>
      <c r="N70" s="4" t="str">
        <f t="shared" si="7"/>
        <v>-000</v>
      </c>
      <c r="O70" s="4">
        <f ca="1">IF(totalElements+COUNTIF(Entities!$C$10,"*")+COUNTIF(B70:C70,"*")+COUNTIF(E70:F70,"*")=9,1,0)</f>
        <v>0</v>
      </c>
      <c r="P70" s="4">
        <f>COUNTIF($C$6:C70,C70)</f>
        <v>0</v>
      </c>
      <c r="Q70" s="4">
        <f ca="1">IF(ISNA(M70),0,COUNTIF($M$6:M70,M70))</f>
        <v>0</v>
      </c>
      <c r="R70" s="4" t="e">
        <f t="shared" ca="1" si="4"/>
        <v>#N/A</v>
      </c>
      <c r="S70" s="4">
        <f ca="1">IF(ISNA(M70),0,COUNTIF($R$6:R70,R70))</f>
        <v>0</v>
      </c>
      <c r="T70" s="4" t="e">
        <f t="shared" ca="1" si="5"/>
        <v>#N/A</v>
      </c>
    </row>
    <row r="71" spans="2:20" x14ac:dyDescent="0.3">
      <c r="B71" s="48"/>
      <c r="C71" s="48"/>
      <c r="D71" s="10" t="str">
        <f t="shared" ca="1" si="9"/>
        <v/>
      </c>
      <c r="E71" s="48"/>
      <c r="F71" s="48"/>
      <c r="G71" s="10" t="str">
        <f t="shared" ca="1" si="8"/>
        <v/>
      </c>
      <c r="I71" s="10" t="str">
        <f t="shared" ca="1" si="10"/>
        <v/>
      </c>
      <c r="K71" s="4" t="e">
        <f t="shared" ca="1" si="3"/>
        <v>#N/A</v>
      </c>
      <c r="L71" s="4" t="e">
        <f>VLOOKUP(C71,_resources!B:D,3,0)</f>
        <v>#N/A</v>
      </c>
      <c r="M71" s="4" t="e" cm="1">
        <f t="array" aca="1" ref="M71" ca="1">IF(abbrAtEnd,"",L71&amp;"-")&amp;E71&amp;"-"&amp;INDIRECT(OFFSET(element3,MATCH($C71,resources,0)-1,0))&amp;"-"&amp;INDIRECT(OFFSET(element4,MATCH($C71,resources,0)-1,0))&amp;"-"&amp;INDIRECT(OFFSET(element5,MATCH($C71,resources,0)-1,0))&amp;IF(OFFSET(element6,MATCH($C71,resources,0)-1,0)="","","-"&amp;INDIRECT(OFFSET(element6,MATCH($C71,resources,0)-1,0)))&amp;IF(abbrAtEnd,"-"&amp;L71,"")</f>
        <v>#N/A</v>
      </c>
      <c r="N71" s="4" t="str">
        <f t="shared" si="7"/>
        <v>-000</v>
      </c>
      <c r="O71" s="4">
        <f ca="1">IF(totalElements+COUNTIF(Entities!$C$10,"*")+COUNTIF(B71:C71,"*")+COUNTIF(E71:F71,"*")=9,1,0)</f>
        <v>0</v>
      </c>
      <c r="P71" s="4">
        <f>COUNTIF($C$6:C71,C71)</f>
        <v>0</v>
      </c>
      <c r="Q71" s="4">
        <f ca="1">IF(ISNA(M71),0,COUNTIF($M$6:M71,M71))</f>
        <v>0</v>
      </c>
      <c r="R71" s="4" t="e">
        <f t="shared" ref="R71:R134" ca="1" si="11">F71&amp;"__"&amp;M71</f>
        <v>#N/A</v>
      </c>
      <c r="S71" s="4">
        <f ca="1">IF(ISNA(M71),0,COUNTIF($R$6:R71,R71))</f>
        <v>0</v>
      </c>
      <c r="T71" s="4" t="e">
        <f t="shared" ca="1" si="5"/>
        <v>#N/A</v>
      </c>
    </row>
    <row r="72" spans="2:20" x14ac:dyDescent="0.3">
      <c r="B72" s="48"/>
      <c r="C72" s="48"/>
      <c r="D72" s="10" t="str">
        <f t="shared" ca="1" si="9"/>
        <v/>
      </c>
      <c r="E72" s="48"/>
      <c r="F72" s="48"/>
      <c r="G72" s="10" t="str">
        <f t="shared" ca="1" si="8"/>
        <v/>
      </c>
      <c r="I72" s="10" t="str">
        <f t="shared" ca="1" si="10"/>
        <v/>
      </c>
      <c r="K72" s="4" t="e">
        <f t="shared" ca="1" si="3"/>
        <v>#N/A</v>
      </c>
      <c r="L72" s="4" t="e">
        <f>VLOOKUP(C72,_resources!B:D,3,0)</f>
        <v>#N/A</v>
      </c>
      <c r="M72" s="4" t="e" cm="1">
        <f t="array" aca="1" ref="M72" ca="1">IF(abbrAtEnd,"",L72&amp;"-")&amp;E72&amp;"-"&amp;INDIRECT(OFFSET(element3,MATCH($C72,resources,0)-1,0))&amp;"-"&amp;INDIRECT(OFFSET(element4,MATCH($C72,resources,0)-1,0))&amp;"-"&amp;INDIRECT(OFFSET(element5,MATCH($C72,resources,0)-1,0))&amp;IF(OFFSET(element6,MATCH($C72,resources,0)-1,0)="","","-"&amp;INDIRECT(OFFSET(element6,MATCH($C72,resources,0)-1,0)))&amp;IF(abbrAtEnd,"-"&amp;L72,"")</f>
        <v>#N/A</v>
      </c>
      <c r="N72" s="4" t="str">
        <f t="shared" si="7"/>
        <v>-000</v>
      </c>
      <c r="O72" s="4">
        <f ca="1">IF(totalElements+COUNTIF(Entities!$C$10,"*")+COUNTIF(B72:C72,"*")+COUNTIF(E72:F72,"*")=9,1,0)</f>
        <v>0</v>
      </c>
      <c r="P72" s="4">
        <f>COUNTIF($C$6:C72,C72)</f>
        <v>0</v>
      </c>
      <c r="Q72" s="4">
        <f ca="1">IF(ISNA(M72),0,COUNTIF($M$6:M72,M72))</f>
        <v>0</v>
      </c>
      <c r="R72" s="4" t="e">
        <f t="shared" ca="1" si="11"/>
        <v>#N/A</v>
      </c>
      <c r="S72" s="4">
        <f ca="1">IF(ISNA(M72),0,COUNTIF($R$6:R72,R72))</f>
        <v>0</v>
      </c>
      <c r="T72" s="4" t="e">
        <f t="shared" ca="1" si="5"/>
        <v>#N/A</v>
      </c>
    </row>
    <row r="73" spans="2:20" x14ac:dyDescent="0.3">
      <c r="B73" s="48"/>
      <c r="C73" s="48"/>
      <c r="D73" s="10" t="str">
        <f t="shared" ca="1" si="9"/>
        <v/>
      </c>
      <c r="E73" s="48"/>
      <c r="F73" s="48"/>
      <c r="G73" s="10" t="str">
        <f t="shared" ca="1" si="8"/>
        <v/>
      </c>
      <c r="I73" s="10" t="str">
        <f t="shared" ca="1" si="10"/>
        <v/>
      </c>
      <c r="K73" s="4" t="e">
        <f t="shared" ca="1" si="3"/>
        <v>#N/A</v>
      </c>
      <c r="L73" s="4" t="e">
        <f>VLOOKUP(C73,_resources!B:D,3,0)</f>
        <v>#N/A</v>
      </c>
      <c r="M73" s="4" t="e" cm="1">
        <f t="array" aca="1" ref="M73" ca="1">IF(abbrAtEnd,"",L73&amp;"-")&amp;E73&amp;"-"&amp;INDIRECT(OFFSET(element3,MATCH($C73,resources,0)-1,0))&amp;"-"&amp;INDIRECT(OFFSET(element4,MATCH($C73,resources,0)-1,0))&amp;"-"&amp;INDIRECT(OFFSET(element5,MATCH($C73,resources,0)-1,0))&amp;IF(OFFSET(element6,MATCH($C73,resources,0)-1,0)="","","-"&amp;INDIRECT(OFFSET(element6,MATCH($C73,resources,0)-1,0)))&amp;IF(abbrAtEnd,"-"&amp;L73,"")</f>
        <v>#N/A</v>
      </c>
      <c r="N73" s="4" t="str">
        <f t="shared" si="7"/>
        <v>-000</v>
      </c>
      <c r="O73" s="4">
        <f ca="1">IF(totalElements+COUNTIF(Entities!$C$10,"*")+COUNTIF(B73:C73,"*")+COUNTIF(E73:F73,"*")=9,1,0)</f>
        <v>0</v>
      </c>
      <c r="P73" s="4">
        <f>COUNTIF($C$6:C73,C73)</f>
        <v>0</v>
      </c>
      <c r="Q73" s="4">
        <f ca="1">IF(ISNA(M73),0,COUNTIF($M$6:M73,M73))</f>
        <v>0</v>
      </c>
      <c r="R73" s="4" t="e">
        <f t="shared" ca="1" si="11"/>
        <v>#N/A</v>
      </c>
      <c r="S73" s="4">
        <f ca="1">IF(ISNA(M73),0,COUNTIF($R$6:R73,R73))</f>
        <v>0</v>
      </c>
      <c r="T73" s="4" t="e">
        <f t="shared" ca="1" si="5"/>
        <v>#N/A</v>
      </c>
    </row>
    <row r="74" spans="2:20" x14ac:dyDescent="0.3">
      <c r="B74" s="48"/>
      <c r="C74" s="48"/>
      <c r="D74" s="10" t="str">
        <f t="shared" ca="1" si="9"/>
        <v/>
      </c>
      <c r="E74" s="48"/>
      <c r="F74" s="48"/>
      <c r="G74" s="10" t="str">
        <f t="shared" ca="1" si="8"/>
        <v/>
      </c>
      <c r="I74" s="10" t="str">
        <f t="shared" ca="1" si="10"/>
        <v/>
      </c>
      <c r="K74" s="4" t="e">
        <f t="shared" ca="1" si="3"/>
        <v>#N/A</v>
      </c>
      <c r="L74" s="4" t="e">
        <f>VLOOKUP(C74,_resources!B:D,3,0)</f>
        <v>#N/A</v>
      </c>
      <c r="M74" s="4" t="e" cm="1">
        <f t="array" aca="1" ref="M74" ca="1">IF(abbrAtEnd,"",L74&amp;"-")&amp;E74&amp;"-"&amp;INDIRECT(OFFSET(element3,MATCH($C74,resources,0)-1,0))&amp;"-"&amp;INDIRECT(OFFSET(element4,MATCH($C74,resources,0)-1,0))&amp;"-"&amp;INDIRECT(OFFSET(element5,MATCH($C74,resources,0)-1,0))&amp;IF(OFFSET(element6,MATCH($C74,resources,0)-1,0)="","","-"&amp;INDIRECT(OFFSET(element6,MATCH($C74,resources,0)-1,0)))&amp;IF(abbrAtEnd,"-"&amp;L74,"")</f>
        <v>#N/A</v>
      </c>
      <c r="N74" s="4" t="str">
        <f t="shared" si="7"/>
        <v>-000</v>
      </c>
      <c r="O74" s="4">
        <f ca="1">IF(totalElements+COUNTIF(Entities!$C$10,"*")+COUNTIF(B74:C74,"*")+COUNTIF(E74:F74,"*")=9,1,0)</f>
        <v>0</v>
      </c>
      <c r="P74" s="4">
        <f>COUNTIF($C$6:C74,C74)</f>
        <v>0</v>
      </c>
      <c r="Q74" s="4">
        <f ca="1">IF(ISNA(M74),0,COUNTIF($M$6:M74,M74))</f>
        <v>0</v>
      </c>
      <c r="R74" s="4" t="e">
        <f t="shared" ca="1" si="11"/>
        <v>#N/A</v>
      </c>
      <c r="S74" s="4">
        <f ca="1">IF(ISNA(M74),0,COUNTIF($R$6:R74,R74))</f>
        <v>0</v>
      </c>
      <c r="T74" s="4" t="e">
        <f t="shared" ca="1" si="5"/>
        <v>#N/A</v>
      </c>
    </row>
    <row r="75" spans="2:20" x14ac:dyDescent="0.3">
      <c r="B75" s="48"/>
      <c r="C75" s="48"/>
      <c r="D75" s="10" t="str">
        <f t="shared" ca="1" si="9"/>
        <v/>
      </c>
      <c r="E75" s="48"/>
      <c r="F75" s="48"/>
      <c r="G75" s="10" t="str">
        <f t="shared" ca="1" si="8"/>
        <v/>
      </c>
      <c r="I75" s="10" t="str">
        <f t="shared" ca="1" si="10"/>
        <v/>
      </c>
      <c r="K75" s="4" t="e">
        <f t="shared" ca="1" si="3"/>
        <v>#N/A</v>
      </c>
      <c r="L75" s="4" t="e">
        <f>VLOOKUP(C75,_resources!B:D,3,0)</f>
        <v>#N/A</v>
      </c>
      <c r="M75" s="4" t="e" cm="1">
        <f t="array" aca="1" ref="M75" ca="1">IF(abbrAtEnd,"",L75&amp;"-")&amp;E75&amp;"-"&amp;INDIRECT(OFFSET(element3,MATCH($C75,resources,0)-1,0))&amp;"-"&amp;INDIRECT(OFFSET(element4,MATCH($C75,resources,0)-1,0))&amp;"-"&amp;INDIRECT(OFFSET(element5,MATCH($C75,resources,0)-1,0))&amp;IF(OFFSET(element6,MATCH($C75,resources,0)-1,0)="","","-"&amp;INDIRECT(OFFSET(element6,MATCH($C75,resources,0)-1,0)))&amp;IF(abbrAtEnd,"-"&amp;L75,"")</f>
        <v>#N/A</v>
      </c>
      <c r="N75" s="4" t="str">
        <f t="shared" si="7"/>
        <v>-000</v>
      </c>
      <c r="O75" s="4">
        <f ca="1">IF(totalElements+COUNTIF(Entities!$C$10,"*")+COUNTIF(B75:C75,"*")+COUNTIF(E75:F75,"*")=9,1,0)</f>
        <v>0</v>
      </c>
      <c r="P75" s="4">
        <f>COUNTIF($C$6:C75,C75)</f>
        <v>0</v>
      </c>
      <c r="Q75" s="4">
        <f ca="1">IF(ISNA(M75),0,COUNTIF($M$6:M75,M75))</f>
        <v>0</v>
      </c>
      <c r="R75" s="4" t="e">
        <f t="shared" ca="1" si="11"/>
        <v>#N/A</v>
      </c>
      <c r="S75" s="4">
        <f ca="1">IF(ISNA(M75),0,COUNTIF($R$6:R75,R75))</f>
        <v>0</v>
      </c>
      <c r="T75" s="4" t="e">
        <f t="shared" ca="1" si="5"/>
        <v>#N/A</v>
      </c>
    </row>
    <row r="76" spans="2:20" x14ac:dyDescent="0.3">
      <c r="B76" s="48"/>
      <c r="C76" s="48"/>
      <c r="D76" s="10" t="str">
        <f t="shared" ca="1" si="9"/>
        <v/>
      </c>
      <c r="E76" s="48"/>
      <c r="F76" s="48"/>
      <c r="G76" s="10" t="str">
        <f t="shared" ca="1" si="8"/>
        <v/>
      </c>
      <c r="I76" s="10" t="str">
        <f t="shared" ca="1" si="10"/>
        <v/>
      </c>
      <c r="K76" s="4" t="e">
        <f t="shared" ca="1" si="3"/>
        <v>#N/A</v>
      </c>
      <c r="L76" s="4" t="e">
        <f>VLOOKUP(C76,_resources!B:D,3,0)</f>
        <v>#N/A</v>
      </c>
      <c r="M76" s="4" t="e" cm="1">
        <f t="array" aca="1" ref="M76" ca="1">IF(abbrAtEnd,"",L76&amp;"-")&amp;E76&amp;"-"&amp;INDIRECT(OFFSET(element3,MATCH($C76,resources,0)-1,0))&amp;"-"&amp;INDIRECT(OFFSET(element4,MATCH($C76,resources,0)-1,0))&amp;"-"&amp;INDIRECT(OFFSET(element5,MATCH($C76,resources,0)-1,0))&amp;IF(OFFSET(element6,MATCH($C76,resources,0)-1,0)="","","-"&amp;INDIRECT(OFFSET(element6,MATCH($C76,resources,0)-1,0)))&amp;IF(abbrAtEnd,"-"&amp;L76,"")</f>
        <v>#N/A</v>
      </c>
      <c r="N76" s="4" t="str">
        <f t="shared" si="7"/>
        <v>-000</v>
      </c>
      <c r="O76" s="4">
        <f ca="1">IF(totalElements+COUNTIF(Entities!$C$10,"*")+COUNTIF(B76:C76,"*")+COUNTIF(E76:F76,"*")=9,1,0)</f>
        <v>0</v>
      </c>
      <c r="P76" s="4">
        <f>COUNTIF($C$6:C76,C76)</f>
        <v>0</v>
      </c>
      <c r="Q76" s="4">
        <f ca="1">IF(ISNA(M76),0,COUNTIF($M$6:M76,M76))</f>
        <v>0</v>
      </c>
      <c r="R76" s="4" t="e">
        <f t="shared" ca="1" si="11"/>
        <v>#N/A</v>
      </c>
      <c r="S76" s="4">
        <f ca="1">IF(ISNA(M76),0,COUNTIF($R$6:R76,R76))</f>
        <v>0</v>
      </c>
      <c r="T76" s="4" t="e">
        <f t="shared" ca="1" si="5"/>
        <v>#N/A</v>
      </c>
    </row>
    <row r="77" spans="2:20" x14ac:dyDescent="0.3">
      <c r="B77" s="48"/>
      <c r="C77" s="48"/>
      <c r="D77" s="10" t="str">
        <f t="shared" ca="1" si="9"/>
        <v/>
      </c>
      <c r="E77" s="48"/>
      <c r="F77" s="48"/>
      <c r="G77" s="10" t="str">
        <f t="shared" ca="1" si="8"/>
        <v/>
      </c>
      <c r="I77" s="10" t="str">
        <f t="shared" ca="1" si="10"/>
        <v/>
      </c>
      <c r="K77" s="4" t="e">
        <f t="shared" ca="1" si="3"/>
        <v>#N/A</v>
      </c>
      <c r="L77" s="4" t="e">
        <f>VLOOKUP(C77,_resources!B:D,3,0)</f>
        <v>#N/A</v>
      </c>
      <c r="M77" s="4" t="e" cm="1">
        <f t="array" aca="1" ref="M77" ca="1">IF(abbrAtEnd,"",L77&amp;"-")&amp;E77&amp;"-"&amp;INDIRECT(OFFSET(element3,MATCH($C77,resources,0)-1,0))&amp;"-"&amp;INDIRECT(OFFSET(element4,MATCH($C77,resources,0)-1,0))&amp;"-"&amp;INDIRECT(OFFSET(element5,MATCH($C77,resources,0)-1,0))&amp;IF(OFFSET(element6,MATCH($C77,resources,0)-1,0)="","","-"&amp;INDIRECT(OFFSET(element6,MATCH($C77,resources,0)-1,0)))&amp;IF(abbrAtEnd,"-"&amp;L77,"")</f>
        <v>#N/A</v>
      </c>
      <c r="N77" s="4" t="str">
        <f t="shared" si="7"/>
        <v>-000</v>
      </c>
      <c r="O77" s="4">
        <f ca="1">IF(totalElements+COUNTIF(Entities!$C$10,"*")+COUNTIF(B77:C77,"*")+COUNTIF(E77:F77,"*")=9,1,0)</f>
        <v>0</v>
      </c>
      <c r="P77" s="4">
        <f>COUNTIF($C$6:C77,C77)</f>
        <v>0</v>
      </c>
      <c r="Q77" s="4">
        <f ca="1">IF(ISNA(M77),0,COUNTIF($M$6:M77,M77))</f>
        <v>0</v>
      </c>
      <c r="R77" s="4" t="e">
        <f t="shared" ca="1" si="11"/>
        <v>#N/A</v>
      </c>
      <c r="S77" s="4">
        <f ca="1">IF(ISNA(M77),0,COUNTIF($R$6:R77,R77))</f>
        <v>0</v>
      </c>
      <c r="T77" s="4" t="e">
        <f t="shared" ca="1" si="5"/>
        <v>#N/A</v>
      </c>
    </row>
    <row r="78" spans="2:20" x14ac:dyDescent="0.3">
      <c r="B78" s="48"/>
      <c r="C78" s="48"/>
      <c r="D78" s="10" t="str">
        <f t="shared" ca="1" si="9"/>
        <v/>
      </c>
      <c r="E78" s="48"/>
      <c r="F78" s="48"/>
      <c r="G78" s="10" t="str">
        <f t="shared" ca="1" si="8"/>
        <v/>
      </c>
      <c r="I78" s="10" t="str">
        <f t="shared" ca="1" si="10"/>
        <v/>
      </c>
      <c r="K78" s="4" t="e">
        <f t="shared" ca="1" si="3"/>
        <v>#N/A</v>
      </c>
      <c r="L78" s="4" t="e">
        <f>VLOOKUP(C78,_resources!B:D,3,0)</f>
        <v>#N/A</v>
      </c>
      <c r="M78" s="4" t="e" cm="1">
        <f t="array" aca="1" ref="M78" ca="1">IF(abbrAtEnd,"",L78&amp;"-")&amp;E78&amp;"-"&amp;INDIRECT(OFFSET(element3,MATCH($C78,resources,0)-1,0))&amp;"-"&amp;INDIRECT(OFFSET(element4,MATCH($C78,resources,0)-1,0))&amp;"-"&amp;INDIRECT(OFFSET(element5,MATCH($C78,resources,0)-1,0))&amp;IF(OFFSET(element6,MATCH($C78,resources,0)-1,0)="","","-"&amp;INDIRECT(OFFSET(element6,MATCH($C78,resources,0)-1,0)))&amp;IF(abbrAtEnd,"-"&amp;L78,"")</f>
        <v>#N/A</v>
      </c>
      <c r="N78" s="4" t="str">
        <f t="shared" ref="N78:N141" si="12">IF($M$4,"-"&amp;TEXT(P78,"000"),"-"&amp;TEXT(Q78,"000"))</f>
        <v>-000</v>
      </c>
      <c r="O78" s="4">
        <f ca="1">IF(totalElements+COUNTIF(Entities!$C$10,"*")+COUNTIF(B78:C78,"*")+COUNTIF(E78:F78,"*")=9,1,0)</f>
        <v>0</v>
      </c>
      <c r="P78" s="4">
        <f>COUNTIF($C$6:C78,C78)</f>
        <v>0</v>
      </c>
      <c r="Q78" s="4">
        <f ca="1">IF(ISNA(M78),0,COUNTIF($M$6:M78,M78))</f>
        <v>0</v>
      </c>
      <c r="R78" s="4" t="e">
        <f t="shared" ca="1" si="11"/>
        <v>#N/A</v>
      </c>
      <c r="S78" s="4">
        <f ca="1">IF(ISNA(M78),0,COUNTIF($R$6:R78,R78))</f>
        <v>0</v>
      </c>
      <c r="T78" s="4" t="e">
        <f t="shared" ca="1" si="5"/>
        <v>#N/A</v>
      </c>
    </row>
    <row r="79" spans="2:20" x14ac:dyDescent="0.3">
      <c r="B79" s="48"/>
      <c r="C79" s="48"/>
      <c r="D79" s="10" t="str">
        <f t="shared" ca="1" si="9"/>
        <v/>
      </c>
      <c r="E79" s="48"/>
      <c r="F79" s="48"/>
      <c r="G79" s="10" t="str">
        <f t="shared" ca="1" si="8"/>
        <v/>
      </c>
      <c r="I79" s="10" t="str">
        <f t="shared" ca="1" si="10"/>
        <v/>
      </c>
      <c r="K79" s="4" t="e">
        <f t="shared" ca="1" si="3"/>
        <v>#N/A</v>
      </c>
      <c r="L79" s="4" t="e">
        <f>VLOOKUP(C79,_resources!B:D,3,0)</f>
        <v>#N/A</v>
      </c>
      <c r="M79" s="4" t="e" cm="1">
        <f t="array" aca="1" ref="M79" ca="1">IF(abbrAtEnd,"",L79&amp;"-")&amp;E79&amp;"-"&amp;INDIRECT(OFFSET(element3,MATCH($C79,resources,0)-1,0))&amp;"-"&amp;INDIRECT(OFFSET(element4,MATCH($C79,resources,0)-1,0))&amp;"-"&amp;INDIRECT(OFFSET(element5,MATCH($C79,resources,0)-1,0))&amp;IF(OFFSET(element6,MATCH($C79,resources,0)-1,0)="","","-"&amp;INDIRECT(OFFSET(element6,MATCH($C79,resources,0)-1,0)))&amp;IF(abbrAtEnd,"-"&amp;L79,"")</f>
        <v>#N/A</v>
      </c>
      <c r="N79" s="4" t="str">
        <f t="shared" si="12"/>
        <v>-000</v>
      </c>
      <c r="O79" s="4">
        <f ca="1">IF(totalElements+COUNTIF(Entities!$C$10,"*")+COUNTIF(B79:C79,"*")+COUNTIF(E79:F79,"*")=9,1,0)</f>
        <v>0</v>
      </c>
      <c r="P79" s="4">
        <f>COUNTIF($C$6:C79,C79)</f>
        <v>0</v>
      </c>
      <c r="Q79" s="4">
        <f ca="1">IF(ISNA(M79),0,COUNTIF($M$6:M79,M79))</f>
        <v>0</v>
      </c>
      <c r="R79" s="4" t="e">
        <f t="shared" ca="1" si="11"/>
        <v>#N/A</v>
      </c>
      <c r="S79" s="4">
        <f ca="1">IF(ISNA(M79),0,COUNTIF($R$6:R79,R79))</f>
        <v>0</v>
      </c>
      <c r="T79" s="4" t="e">
        <f t="shared" ca="1" si="5"/>
        <v>#N/A</v>
      </c>
    </row>
    <row r="80" spans="2:20" x14ac:dyDescent="0.3">
      <c r="B80" s="48"/>
      <c r="C80" s="48"/>
      <c r="D80" s="10" t="str">
        <f t="shared" ca="1" si="9"/>
        <v/>
      </c>
      <c r="E80" s="48"/>
      <c r="F80" s="48"/>
      <c r="G80" s="10" t="str">
        <f t="shared" ca="1" si="8"/>
        <v/>
      </c>
      <c r="I80" s="10" t="str">
        <f t="shared" ca="1" si="10"/>
        <v/>
      </c>
      <c r="K80" s="4" t="e">
        <f t="shared" ca="1" si="3"/>
        <v>#N/A</v>
      </c>
      <c r="L80" s="4" t="e">
        <f>VLOOKUP(C80,_resources!B:D,3,0)</f>
        <v>#N/A</v>
      </c>
      <c r="M80" s="4" t="e" cm="1">
        <f t="array" aca="1" ref="M80" ca="1">IF(abbrAtEnd,"",L80&amp;"-")&amp;E80&amp;"-"&amp;INDIRECT(OFFSET(element3,MATCH($C80,resources,0)-1,0))&amp;"-"&amp;INDIRECT(OFFSET(element4,MATCH($C80,resources,0)-1,0))&amp;"-"&amp;INDIRECT(OFFSET(element5,MATCH($C80,resources,0)-1,0))&amp;IF(OFFSET(element6,MATCH($C80,resources,0)-1,0)="","","-"&amp;INDIRECT(OFFSET(element6,MATCH($C80,resources,0)-1,0)))&amp;IF(abbrAtEnd,"-"&amp;L80,"")</f>
        <v>#N/A</v>
      </c>
      <c r="N80" s="4" t="str">
        <f t="shared" si="12"/>
        <v>-000</v>
      </c>
      <c r="O80" s="4">
        <f ca="1">IF(totalElements+COUNTIF(Entities!$C$10,"*")+COUNTIF(B80:C80,"*")+COUNTIF(E80:F80,"*")=9,1,0)</f>
        <v>0</v>
      </c>
      <c r="P80" s="4">
        <f>COUNTIF($C$6:C80,C80)</f>
        <v>0</v>
      </c>
      <c r="Q80" s="4">
        <f ca="1">IF(ISNA(M80),0,COUNTIF($M$6:M80,M80))</f>
        <v>0</v>
      </c>
      <c r="R80" s="4" t="e">
        <f t="shared" ca="1" si="11"/>
        <v>#N/A</v>
      </c>
      <c r="S80" s="4">
        <f ca="1">IF(ISNA(M80),0,COUNTIF($R$6:R80,R80))</f>
        <v>0</v>
      </c>
      <c r="T80" s="4" t="e">
        <f t="shared" ca="1" si="5"/>
        <v>#N/A</v>
      </c>
    </row>
    <row r="81" spans="2:20" x14ac:dyDescent="0.3">
      <c r="B81" s="48"/>
      <c r="C81" s="48"/>
      <c r="D81" s="10" t="str">
        <f t="shared" ca="1" si="9"/>
        <v/>
      </c>
      <c r="E81" s="48"/>
      <c r="F81" s="48"/>
      <c r="G81" s="10" t="str">
        <f t="shared" ca="1" si="8"/>
        <v/>
      </c>
      <c r="I81" s="10" t="str">
        <f t="shared" ca="1" si="10"/>
        <v/>
      </c>
      <c r="K81" s="4" t="e">
        <f t="shared" ca="1" si="3"/>
        <v>#N/A</v>
      </c>
      <c r="L81" s="4" t="e">
        <f>VLOOKUP(C81,_resources!B:D,3,0)</f>
        <v>#N/A</v>
      </c>
      <c r="M81" s="4" t="e" cm="1">
        <f t="array" aca="1" ref="M81" ca="1">IF(abbrAtEnd,"",L81&amp;"-")&amp;E81&amp;"-"&amp;INDIRECT(OFFSET(element3,MATCH($C81,resources,0)-1,0))&amp;"-"&amp;INDIRECT(OFFSET(element4,MATCH($C81,resources,0)-1,0))&amp;"-"&amp;INDIRECT(OFFSET(element5,MATCH($C81,resources,0)-1,0))&amp;IF(OFFSET(element6,MATCH($C81,resources,0)-1,0)="","","-"&amp;INDIRECT(OFFSET(element6,MATCH($C81,resources,0)-1,0)))&amp;IF(abbrAtEnd,"-"&amp;L81,"")</f>
        <v>#N/A</v>
      </c>
      <c r="N81" s="4" t="str">
        <f t="shared" si="12"/>
        <v>-000</v>
      </c>
      <c r="O81" s="4">
        <f ca="1">IF(totalElements+COUNTIF(Entities!$C$10,"*")+COUNTIF(B81:C81,"*")+COUNTIF(E81:F81,"*")=9,1,0)</f>
        <v>0</v>
      </c>
      <c r="P81" s="4">
        <f>COUNTIF($C$6:C81,C81)</f>
        <v>0</v>
      </c>
      <c r="Q81" s="4">
        <f ca="1">IF(ISNA(M81),0,COUNTIF($M$6:M81,M81))</f>
        <v>0</v>
      </c>
      <c r="R81" s="4" t="e">
        <f t="shared" ca="1" si="11"/>
        <v>#N/A</v>
      </c>
      <c r="S81" s="4">
        <f ca="1">IF(ISNA(M81),0,COUNTIF($R$6:R81,R81))</f>
        <v>0</v>
      </c>
      <c r="T81" s="4" t="e">
        <f t="shared" ca="1" si="5"/>
        <v>#N/A</v>
      </c>
    </row>
    <row r="82" spans="2:20" x14ac:dyDescent="0.3">
      <c r="B82" s="48"/>
      <c r="C82" s="48"/>
      <c r="D82" s="10" t="str">
        <f t="shared" ca="1" si="9"/>
        <v/>
      </c>
      <c r="E82" s="48"/>
      <c r="F82" s="48"/>
      <c r="G82" s="10" t="str">
        <f t="shared" ca="1" si="8"/>
        <v/>
      </c>
      <c r="I82" s="10" t="str">
        <f t="shared" ca="1" si="10"/>
        <v/>
      </c>
      <c r="K82" s="4" t="e">
        <f t="shared" ca="1" si="3"/>
        <v>#N/A</v>
      </c>
      <c r="L82" s="4" t="e">
        <f>VLOOKUP(C82,_resources!B:D,3,0)</f>
        <v>#N/A</v>
      </c>
      <c r="M82" s="4" t="e" cm="1">
        <f t="array" aca="1" ref="M82" ca="1">IF(abbrAtEnd,"",L82&amp;"-")&amp;E82&amp;"-"&amp;INDIRECT(OFFSET(element3,MATCH($C82,resources,0)-1,0))&amp;"-"&amp;INDIRECT(OFFSET(element4,MATCH($C82,resources,0)-1,0))&amp;"-"&amp;INDIRECT(OFFSET(element5,MATCH($C82,resources,0)-1,0))&amp;IF(OFFSET(element6,MATCH($C82,resources,0)-1,0)="","","-"&amp;INDIRECT(OFFSET(element6,MATCH($C82,resources,0)-1,0)))&amp;IF(abbrAtEnd,"-"&amp;L82,"")</f>
        <v>#N/A</v>
      </c>
      <c r="N82" s="4" t="str">
        <f t="shared" si="12"/>
        <v>-000</v>
      </c>
      <c r="O82" s="4">
        <f ca="1">IF(totalElements+COUNTIF(Entities!$C$10,"*")+COUNTIF(B82:C82,"*")+COUNTIF(E82:F82,"*")=9,1,0)</f>
        <v>0</v>
      </c>
      <c r="P82" s="4">
        <f>COUNTIF($C$6:C82,C82)</f>
        <v>0</v>
      </c>
      <c r="Q82" s="4">
        <f ca="1">IF(ISNA(M82),0,COUNTIF($M$6:M82,M82))</f>
        <v>0</v>
      </c>
      <c r="R82" s="4" t="e">
        <f t="shared" ca="1" si="11"/>
        <v>#N/A</v>
      </c>
      <c r="S82" s="4">
        <f ca="1">IF(ISNA(M82),0,COUNTIF($R$6:R82,R82))</f>
        <v>0</v>
      </c>
      <c r="T82" s="4" t="e">
        <f t="shared" ca="1" si="5"/>
        <v>#N/A</v>
      </c>
    </row>
    <row r="83" spans="2:20" x14ac:dyDescent="0.3">
      <c r="B83" s="48"/>
      <c r="C83" s="48"/>
      <c r="D83" s="10" t="str">
        <f t="shared" ca="1" si="9"/>
        <v/>
      </c>
      <c r="E83" s="48"/>
      <c r="F83" s="48"/>
      <c r="G83" s="10" t="str">
        <f t="shared" ref="G83:G146" ca="1" si="13">IF(O83,IF(K83="hyphenated",M83&amp;N83,IF(K83="dnsname",E83,IF(K83="alphanumeric",SUBSTITUTE(M83&amp;N83,"-",""),"unknown or missing resource structure"))),"")</f>
        <v/>
      </c>
      <c r="I83" s="10" t="str">
        <f t="shared" ca="1" si="10"/>
        <v/>
      </c>
      <c r="K83" s="4" t="e">
        <f t="shared" ca="1" si="3"/>
        <v>#N/A</v>
      </c>
      <c r="L83" s="4" t="e">
        <f>VLOOKUP(C83,_resources!B:D,3,0)</f>
        <v>#N/A</v>
      </c>
      <c r="M83" s="4" t="e" cm="1">
        <f t="array" aca="1" ref="M83" ca="1">IF(abbrAtEnd,"",L83&amp;"-")&amp;E83&amp;"-"&amp;INDIRECT(OFFSET(element3,MATCH($C83,resources,0)-1,0))&amp;"-"&amp;INDIRECT(OFFSET(element4,MATCH($C83,resources,0)-1,0))&amp;"-"&amp;INDIRECT(OFFSET(element5,MATCH($C83,resources,0)-1,0))&amp;IF(OFFSET(element6,MATCH($C83,resources,0)-1,0)="","","-"&amp;INDIRECT(OFFSET(element6,MATCH($C83,resources,0)-1,0)))&amp;IF(abbrAtEnd,"-"&amp;L83,"")</f>
        <v>#N/A</v>
      </c>
      <c r="N83" s="4" t="str">
        <f t="shared" si="12"/>
        <v>-000</v>
      </c>
      <c r="O83" s="4">
        <f ca="1">IF(totalElements+COUNTIF(Entities!$C$10,"*")+COUNTIF(B83:C83,"*")+COUNTIF(E83:F83,"*")=9,1,0)</f>
        <v>0</v>
      </c>
      <c r="P83" s="4">
        <f>COUNTIF($C$6:C83,C83)</f>
        <v>0</v>
      </c>
      <c r="Q83" s="4">
        <f ca="1">IF(ISNA(M83),0,COUNTIF($M$6:M83,M83))</f>
        <v>0</v>
      </c>
      <c r="R83" s="4" t="e">
        <f t="shared" ca="1" si="11"/>
        <v>#N/A</v>
      </c>
      <c r="S83" s="4">
        <f ca="1">IF(ISNA(M83),0,COUNTIF($R$6:R83,R83))</f>
        <v>0</v>
      </c>
      <c r="T83" s="4" t="e">
        <f t="shared" ca="1" si="5"/>
        <v>#N/A</v>
      </c>
    </row>
    <row r="84" spans="2:20" x14ac:dyDescent="0.3">
      <c r="B84" s="48"/>
      <c r="C84" s="48"/>
      <c r="D84" s="10" t="str">
        <f t="shared" ca="1" si="9"/>
        <v/>
      </c>
      <c r="E84" s="48"/>
      <c r="F84" s="48"/>
      <c r="G84" s="10" t="str">
        <f t="shared" ca="1" si="13"/>
        <v/>
      </c>
      <c r="I84" s="10" t="str">
        <f t="shared" ca="1" si="10"/>
        <v/>
      </c>
      <c r="K84" s="4" t="e">
        <f t="shared" ca="1" si="3"/>
        <v>#N/A</v>
      </c>
      <c r="L84" s="4" t="e">
        <f>VLOOKUP(C84,_resources!B:D,3,0)</f>
        <v>#N/A</v>
      </c>
      <c r="M84" s="4" t="e" cm="1">
        <f t="array" aca="1" ref="M84" ca="1">IF(abbrAtEnd,"",L84&amp;"-")&amp;E84&amp;"-"&amp;INDIRECT(OFFSET(element3,MATCH($C84,resources,0)-1,0))&amp;"-"&amp;INDIRECT(OFFSET(element4,MATCH($C84,resources,0)-1,0))&amp;"-"&amp;INDIRECT(OFFSET(element5,MATCH($C84,resources,0)-1,0))&amp;IF(OFFSET(element6,MATCH($C84,resources,0)-1,0)="","","-"&amp;INDIRECT(OFFSET(element6,MATCH($C84,resources,0)-1,0)))&amp;IF(abbrAtEnd,"-"&amp;L84,"")</f>
        <v>#N/A</v>
      </c>
      <c r="N84" s="4" t="str">
        <f t="shared" si="12"/>
        <v>-000</v>
      </c>
      <c r="O84" s="4">
        <f ca="1">IF(totalElements+COUNTIF(Entities!$C$10,"*")+COUNTIF(B84:C84,"*")+COUNTIF(E84:F84,"*")=9,1,0)</f>
        <v>0</v>
      </c>
      <c r="P84" s="4">
        <f>COUNTIF($C$6:C84,C84)</f>
        <v>0</v>
      </c>
      <c r="Q84" s="4">
        <f ca="1">IF(ISNA(M84),0,COUNTIF($M$6:M84,M84))</f>
        <v>0</v>
      </c>
      <c r="R84" s="4" t="e">
        <f t="shared" ca="1" si="11"/>
        <v>#N/A</v>
      </c>
      <c r="S84" s="4">
        <f ca="1">IF(ISNA(M84),0,COUNTIF($R$6:R84,R84))</f>
        <v>0</v>
      </c>
      <c r="T84" s="4" t="e">
        <f t="shared" ca="1" si="5"/>
        <v>#N/A</v>
      </c>
    </row>
    <row r="85" spans="2:20" x14ac:dyDescent="0.3">
      <c r="B85" s="48"/>
      <c r="C85" s="48"/>
      <c r="D85" s="10" t="str">
        <f t="shared" ca="1" si="9"/>
        <v/>
      </c>
      <c r="E85" s="48"/>
      <c r="F85" s="48"/>
      <c r="G85" s="10" t="str">
        <f t="shared" ca="1" si="13"/>
        <v/>
      </c>
      <c r="I85" s="10" t="str">
        <f t="shared" ca="1" si="10"/>
        <v/>
      </c>
      <c r="K85" s="4" t="e">
        <f t="shared" ca="1" si="3"/>
        <v>#N/A</v>
      </c>
      <c r="L85" s="4" t="e">
        <f>VLOOKUP(C85,_resources!B:D,3,0)</f>
        <v>#N/A</v>
      </c>
      <c r="M85" s="4" t="e" cm="1">
        <f t="array" aca="1" ref="M85" ca="1">IF(abbrAtEnd,"",L85&amp;"-")&amp;E85&amp;"-"&amp;INDIRECT(OFFSET(element3,MATCH($C85,resources,0)-1,0))&amp;"-"&amp;INDIRECT(OFFSET(element4,MATCH($C85,resources,0)-1,0))&amp;"-"&amp;INDIRECT(OFFSET(element5,MATCH($C85,resources,0)-1,0))&amp;IF(OFFSET(element6,MATCH($C85,resources,0)-1,0)="","","-"&amp;INDIRECT(OFFSET(element6,MATCH($C85,resources,0)-1,0)))&amp;IF(abbrAtEnd,"-"&amp;L85,"")</f>
        <v>#N/A</v>
      </c>
      <c r="N85" s="4" t="str">
        <f t="shared" si="12"/>
        <v>-000</v>
      </c>
      <c r="O85" s="4">
        <f ca="1">IF(totalElements+COUNTIF(Entities!$C$10,"*")+COUNTIF(B85:C85,"*")+COUNTIF(E85:F85,"*")=9,1,0)</f>
        <v>0</v>
      </c>
      <c r="P85" s="4">
        <f>COUNTIF($C$6:C85,C85)</f>
        <v>0</v>
      </c>
      <c r="Q85" s="4">
        <f ca="1">IF(ISNA(M85),0,COUNTIF($M$6:M85,M85))</f>
        <v>0</v>
      </c>
      <c r="R85" s="4" t="e">
        <f t="shared" ca="1" si="11"/>
        <v>#N/A</v>
      </c>
      <c r="S85" s="4">
        <f ca="1">IF(ISNA(M85),0,COUNTIF($R$6:R85,R85))</f>
        <v>0</v>
      </c>
      <c r="T85" s="4" t="e">
        <f t="shared" ca="1" si="5"/>
        <v>#N/A</v>
      </c>
    </row>
    <row r="86" spans="2:20" x14ac:dyDescent="0.3">
      <c r="B86" s="48"/>
      <c r="C86" s="48"/>
      <c r="D86" s="10" t="str">
        <f t="shared" ca="1" si="9"/>
        <v/>
      </c>
      <c r="E86" s="48"/>
      <c r="F86" s="48"/>
      <c r="G86" s="10" t="str">
        <f t="shared" ca="1" si="13"/>
        <v/>
      </c>
      <c r="I86" s="10" t="str">
        <f t="shared" ca="1" si="10"/>
        <v/>
      </c>
      <c r="K86" s="4" t="e">
        <f t="shared" ca="1" si="3"/>
        <v>#N/A</v>
      </c>
      <c r="L86" s="4" t="e">
        <f>VLOOKUP(C86,_resources!B:D,3,0)</f>
        <v>#N/A</v>
      </c>
      <c r="M86" s="4" t="e" cm="1">
        <f t="array" aca="1" ref="M86" ca="1">IF(abbrAtEnd,"",L86&amp;"-")&amp;E86&amp;"-"&amp;INDIRECT(OFFSET(element3,MATCH($C86,resources,0)-1,0))&amp;"-"&amp;INDIRECT(OFFSET(element4,MATCH($C86,resources,0)-1,0))&amp;"-"&amp;INDIRECT(OFFSET(element5,MATCH($C86,resources,0)-1,0))&amp;IF(OFFSET(element6,MATCH($C86,resources,0)-1,0)="","","-"&amp;INDIRECT(OFFSET(element6,MATCH($C86,resources,0)-1,0)))&amp;IF(abbrAtEnd,"-"&amp;L86,"")</f>
        <v>#N/A</v>
      </c>
      <c r="N86" s="4" t="str">
        <f t="shared" si="12"/>
        <v>-000</v>
      </c>
      <c r="O86" s="4">
        <f ca="1">IF(totalElements+COUNTIF(Entities!$C$10,"*")+COUNTIF(B86:C86,"*")+COUNTIF(E86:F86,"*")=9,1,0)</f>
        <v>0</v>
      </c>
      <c r="P86" s="4">
        <f>COUNTIF($C$6:C86,C86)</f>
        <v>0</v>
      </c>
      <c r="Q86" s="4">
        <f ca="1">IF(ISNA(M86),0,COUNTIF($M$6:M86,M86))</f>
        <v>0</v>
      </c>
      <c r="R86" s="4" t="e">
        <f t="shared" ca="1" si="11"/>
        <v>#N/A</v>
      </c>
      <c r="S86" s="4">
        <f ca="1">IF(ISNA(M86),0,COUNTIF($R$6:R86,R86))</f>
        <v>0</v>
      </c>
      <c r="T86" s="4" t="e">
        <f t="shared" ca="1" si="5"/>
        <v>#N/A</v>
      </c>
    </row>
    <row r="87" spans="2:20" x14ac:dyDescent="0.3">
      <c r="B87" s="48"/>
      <c r="C87" s="48"/>
      <c r="D87" s="10" t="str">
        <f t="shared" ca="1" si="9"/>
        <v/>
      </c>
      <c r="E87" s="48"/>
      <c r="F87" s="48"/>
      <c r="G87" s="10" t="str">
        <f t="shared" ca="1" si="13"/>
        <v/>
      </c>
      <c r="I87" s="10" t="str">
        <f t="shared" ca="1" si="10"/>
        <v/>
      </c>
      <c r="K87" s="4" t="e">
        <f t="shared" ca="1" si="3"/>
        <v>#N/A</v>
      </c>
      <c r="L87" s="4" t="e">
        <f>VLOOKUP(C87,_resources!B:D,3,0)</f>
        <v>#N/A</v>
      </c>
      <c r="M87" s="4" t="e" cm="1">
        <f t="array" aca="1" ref="M87" ca="1">IF(abbrAtEnd,"",L87&amp;"-")&amp;E87&amp;"-"&amp;INDIRECT(OFFSET(element3,MATCH($C87,resources,0)-1,0))&amp;"-"&amp;INDIRECT(OFFSET(element4,MATCH($C87,resources,0)-1,0))&amp;"-"&amp;INDIRECT(OFFSET(element5,MATCH($C87,resources,0)-1,0))&amp;IF(OFFSET(element6,MATCH($C87,resources,0)-1,0)="","","-"&amp;INDIRECT(OFFSET(element6,MATCH($C87,resources,0)-1,0)))&amp;IF(abbrAtEnd,"-"&amp;L87,"")</f>
        <v>#N/A</v>
      </c>
      <c r="N87" s="4" t="str">
        <f t="shared" si="12"/>
        <v>-000</v>
      </c>
      <c r="O87" s="4">
        <f ca="1">IF(totalElements+COUNTIF(Entities!$C$10,"*")+COUNTIF(B87:C87,"*")+COUNTIF(E87:F87,"*")=9,1,0)</f>
        <v>0</v>
      </c>
      <c r="P87" s="4">
        <f>COUNTIF($C$6:C87,C87)</f>
        <v>0</v>
      </c>
      <c r="Q87" s="4">
        <f ca="1">IF(ISNA(M87),0,COUNTIF($M$6:M87,M87))</f>
        <v>0</v>
      </c>
      <c r="R87" s="4" t="e">
        <f t="shared" ca="1" si="11"/>
        <v>#N/A</v>
      </c>
      <c r="S87" s="4">
        <f ca="1">IF(ISNA(M87),0,COUNTIF($R$6:R87,R87))</f>
        <v>0</v>
      </c>
      <c r="T87" s="4" t="e">
        <f t="shared" ca="1" si="5"/>
        <v>#N/A</v>
      </c>
    </row>
    <row r="88" spans="2:20" x14ac:dyDescent="0.3">
      <c r="B88" s="48"/>
      <c r="C88" s="48"/>
      <c r="D88" s="10" t="str">
        <f t="shared" ca="1" si="9"/>
        <v/>
      </c>
      <c r="E88" s="48"/>
      <c r="F88" s="48"/>
      <c r="G88" s="10" t="str">
        <f t="shared" ca="1" si="13"/>
        <v/>
      </c>
      <c r="I88" s="10" t="str">
        <f t="shared" ca="1" si="10"/>
        <v/>
      </c>
      <c r="K88" s="4" t="e">
        <f t="shared" ca="1" si="3"/>
        <v>#N/A</v>
      </c>
      <c r="L88" s="4" t="e">
        <f>VLOOKUP(C88,_resources!B:D,3,0)</f>
        <v>#N/A</v>
      </c>
      <c r="M88" s="4" t="e" cm="1">
        <f t="array" aca="1" ref="M88" ca="1">IF(abbrAtEnd,"",L88&amp;"-")&amp;E88&amp;"-"&amp;INDIRECT(OFFSET(element3,MATCH($C88,resources,0)-1,0))&amp;"-"&amp;INDIRECT(OFFSET(element4,MATCH($C88,resources,0)-1,0))&amp;"-"&amp;INDIRECT(OFFSET(element5,MATCH($C88,resources,0)-1,0))&amp;IF(OFFSET(element6,MATCH($C88,resources,0)-1,0)="","","-"&amp;INDIRECT(OFFSET(element6,MATCH($C88,resources,0)-1,0)))&amp;IF(abbrAtEnd,"-"&amp;L88,"")</f>
        <v>#N/A</v>
      </c>
      <c r="N88" s="4" t="str">
        <f t="shared" si="12"/>
        <v>-000</v>
      </c>
      <c r="O88" s="4">
        <f ca="1">IF(totalElements+COUNTIF(Entities!$C$10,"*")+COUNTIF(B88:C88,"*")+COUNTIF(E88:F88,"*")=9,1,0)</f>
        <v>0</v>
      </c>
      <c r="P88" s="4">
        <f>COUNTIF($C$6:C88,C88)</f>
        <v>0</v>
      </c>
      <c r="Q88" s="4">
        <f ca="1">IF(ISNA(M88),0,COUNTIF($M$6:M88,M88))</f>
        <v>0</v>
      </c>
      <c r="R88" s="4" t="e">
        <f t="shared" ca="1" si="11"/>
        <v>#N/A</v>
      </c>
      <c r="S88" s="4">
        <f ca="1">IF(ISNA(M88),0,COUNTIF($R$6:R88,R88))</f>
        <v>0</v>
      </c>
      <c r="T88" s="4" t="e">
        <f t="shared" ca="1" si="5"/>
        <v>#N/A</v>
      </c>
    </row>
    <row r="89" spans="2:20" x14ac:dyDescent="0.3">
      <c r="B89" s="48"/>
      <c r="C89" s="48"/>
      <c r="D89" s="10" t="str">
        <f t="shared" ca="1" si="9"/>
        <v/>
      </c>
      <c r="E89" s="48"/>
      <c r="F89" s="48"/>
      <c r="G89" s="10" t="str">
        <f t="shared" ca="1" si="13"/>
        <v/>
      </c>
      <c r="I89" s="10" t="str">
        <f t="shared" ca="1" si="10"/>
        <v/>
      </c>
      <c r="K89" s="4" t="e">
        <f t="shared" ca="1" si="3"/>
        <v>#N/A</v>
      </c>
      <c r="L89" s="4" t="e">
        <f>VLOOKUP(C89,_resources!B:D,3,0)</f>
        <v>#N/A</v>
      </c>
      <c r="M89" s="4" t="e" cm="1">
        <f t="array" aca="1" ref="M89" ca="1">IF(abbrAtEnd,"",L89&amp;"-")&amp;E89&amp;"-"&amp;INDIRECT(OFFSET(element3,MATCH($C89,resources,0)-1,0))&amp;"-"&amp;INDIRECT(OFFSET(element4,MATCH($C89,resources,0)-1,0))&amp;"-"&amp;INDIRECT(OFFSET(element5,MATCH($C89,resources,0)-1,0))&amp;IF(OFFSET(element6,MATCH($C89,resources,0)-1,0)="","","-"&amp;INDIRECT(OFFSET(element6,MATCH($C89,resources,0)-1,0)))&amp;IF(abbrAtEnd,"-"&amp;L89,"")</f>
        <v>#N/A</v>
      </c>
      <c r="N89" s="4" t="str">
        <f t="shared" si="12"/>
        <v>-000</v>
      </c>
      <c r="O89" s="4">
        <f ca="1">IF(totalElements+COUNTIF(Entities!$C$10,"*")+COUNTIF(B89:C89,"*")+COUNTIF(E89:F89,"*")=9,1,0)</f>
        <v>0</v>
      </c>
      <c r="P89" s="4">
        <f>COUNTIF($C$6:C89,C89)</f>
        <v>0</v>
      </c>
      <c r="Q89" s="4">
        <f ca="1">IF(ISNA(M89),0,COUNTIF($M$6:M89,M89))</f>
        <v>0</v>
      </c>
      <c r="R89" s="4" t="e">
        <f t="shared" ca="1" si="11"/>
        <v>#N/A</v>
      </c>
      <c r="S89" s="4">
        <f ca="1">IF(ISNA(M89),0,COUNTIF($R$6:R89,R89))</f>
        <v>0</v>
      </c>
      <c r="T89" s="4" t="e">
        <f t="shared" ca="1" si="5"/>
        <v>#N/A</v>
      </c>
    </row>
    <row r="90" spans="2:20" x14ac:dyDescent="0.3">
      <c r="B90" s="48"/>
      <c r="C90" s="48"/>
      <c r="D90" s="10" t="str">
        <f t="shared" ca="1" si="9"/>
        <v/>
      </c>
      <c r="E90" s="48"/>
      <c r="F90" s="48"/>
      <c r="G90" s="10" t="str">
        <f t="shared" ca="1" si="13"/>
        <v/>
      </c>
      <c r="I90" s="10" t="str">
        <f t="shared" ca="1" si="10"/>
        <v/>
      </c>
      <c r="K90" s="4" t="e">
        <f t="shared" ca="1" si="3"/>
        <v>#N/A</v>
      </c>
      <c r="L90" s="4" t="e">
        <f>VLOOKUP(C90,_resources!B:D,3,0)</f>
        <v>#N/A</v>
      </c>
      <c r="M90" s="4" t="e" cm="1">
        <f t="array" aca="1" ref="M90" ca="1">IF(abbrAtEnd,"",L90&amp;"-")&amp;E90&amp;"-"&amp;INDIRECT(OFFSET(element3,MATCH($C90,resources,0)-1,0))&amp;"-"&amp;INDIRECT(OFFSET(element4,MATCH($C90,resources,0)-1,0))&amp;"-"&amp;INDIRECT(OFFSET(element5,MATCH($C90,resources,0)-1,0))&amp;IF(OFFSET(element6,MATCH($C90,resources,0)-1,0)="","","-"&amp;INDIRECT(OFFSET(element6,MATCH($C90,resources,0)-1,0)))&amp;IF(abbrAtEnd,"-"&amp;L90,"")</f>
        <v>#N/A</v>
      </c>
      <c r="N90" s="4" t="str">
        <f t="shared" si="12"/>
        <v>-000</v>
      </c>
      <c r="O90" s="4">
        <f ca="1">IF(totalElements+COUNTIF(Entities!$C$10,"*")+COUNTIF(B90:C90,"*")+COUNTIF(E90:F90,"*")=9,1,0)</f>
        <v>0</v>
      </c>
      <c r="P90" s="4">
        <f>COUNTIF($C$6:C90,C90)</f>
        <v>0</v>
      </c>
      <c r="Q90" s="4">
        <f ca="1">IF(ISNA(M90),0,COUNTIF($M$6:M90,M90))</f>
        <v>0</v>
      </c>
      <c r="R90" s="4" t="e">
        <f t="shared" ca="1" si="11"/>
        <v>#N/A</v>
      </c>
      <c r="S90" s="4">
        <f ca="1">IF(ISNA(M90),0,COUNTIF($R$6:R90,R90))</f>
        <v>0</v>
      </c>
      <c r="T90" s="4" t="e">
        <f t="shared" ca="1" si="5"/>
        <v>#N/A</v>
      </c>
    </row>
    <row r="91" spans="2:20" x14ac:dyDescent="0.3">
      <c r="B91" s="48"/>
      <c r="C91" s="48"/>
      <c r="D91" s="10" t="str">
        <f t="shared" ca="1" si="9"/>
        <v/>
      </c>
      <c r="E91" s="48"/>
      <c r="F91" s="48"/>
      <c r="G91" s="10" t="str">
        <f t="shared" ca="1" si="13"/>
        <v/>
      </c>
      <c r="I91" s="10" t="str">
        <f t="shared" ca="1" si="10"/>
        <v/>
      </c>
      <c r="K91" s="4" t="e">
        <f t="shared" ca="1" si="3"/>
        <v>#N/A</v>
      </c>
      <c r="L91" s="4" t="e">
        <f>VLOOKUP(C91,_resources!B:D,3,0)</f>
        <v>#N/A</v>
      </c>
      <c r="M91" s="4" t="e" cm="1">
        <f t="array" aca="1" ref="M91" ca="1">IF(abbrAtEnd,"",L91&amp;"-")&amp;E91&amp;"-"&amp;INDIRECT(OFFSET(element3,MATCH($C91,resources,0)-1,0))&amp;"-"&amp;INDIRECT(OFFSET(element4,MATCH($C91,resources,0)-1,0))&amp;"-"&amp;INDIRECT(OFFSET(element5,MATCH($C91,resources,0)-1,0))&amp;IF(OFFSET(element6,MATCH($C91,resources,0)-1,0)="","","-"&amp;INDIRECT(OFFSET(element6,MATCH($C91,resources,0)-1,0)))&amp;IF(abbrAtEnd,"-"&amp;L91,"")</f>
        <v>#N/A</v>
      </c>
      <c r="N91" s="4" t="str">
        <f t="shared" si="12"/>
        <v>-000</v>
      </c>
      <c r="O91" s="4">
        <f ca="1">IF(totalElements+COUNTIF(Entities!$C$10,"*")+COUNTIF(B91:C91,"*")+COUNTIF(E91:F91,"*")=9,1,0)</f>
        <v>0</v>
      </c>
      <c r="P91" s="4">
        <f>COUNTIF($C$6:C91,C91)</f>
        <v>0</v>
      </c>
      <c r="Q91" s="4">
        <f ca="1">IF(ISNA(M91),0,COUNTIF($M$6:M91,M91))</f>
        <v>0</v>
      </c>
      <c r="R91" s="4" t="e">
        <f t="shared" ca="1" si="11"/>
        <v>#N/A</v>
      </c>
      <c r="S91" s="4">
        <f ca="1">IF(ISNA(M91),0,COUNTIF($R$6:R91,R91))</f>
        <v>0</v>
      </c>
      <c r="T91" s="4" t="e">
        <f t="shared" ca="1" si="5"/>
        <v>#N/A</v>
      </c>
    </row>
    <row r="92" spans="2:20" x14ac:dyDescent="0.3">
      <c r="B92" s="48"/>
      <c r="C92" s="48"/>
      <c r="D92" s="10" t="str">
        <f t="shared" ca="1" si="9"/>
        <v/>
      </c>
      <c r="E92" s="48"/>
      <c r="F92" s="48"/>
      <c r="G92" s="10" t="str">
        <f t="shared" ca="1" si="13"/>
        <v/>
      </c>
      <c r="I92" s="10" t="str">
        <f t="shared" ca="1" si="10"/>
        <v/>
      </c>
      <c r="K92" s="4" t="e">
        <f t="shared" ca="1" si="3"/>
        <v>#N/A</v>
      </c>
      <c r="L92" s="4" t="e">
        <f>VLOOKUP(C92,_resources!B:D,3,0)</f>
        <v>#N/A</v>
      </c>
      <c r="M92" s="4" t="e" cm="1">
        <f t="array" aca="1" ref="M92" ca="1">IF(abbrAtEnd,"",L92&amp;"-")&amp;E92&amp;"-"&amp;INDIRECT(OFFSET(element3,MATCH($C92,resources,0)-1,0))&amp;"-"&amp;INDIRECT(OFFSET(element4,MATCH($C92,resources,0)-1,0))&amp;"-"&amp;INDIRECT(OFFSET(element5,MATCH($C92,resources,0)-1,0))&amp;IF(OFFSET(element6,MATCH($C92,resources,0)-1,0)="","","-"&amp;INDIRECT(OFFSET(element6,MATCH($C92,resources,0)-1,0)))&amp;IF(abbrAtEnd,"-"&amp;L92,"")</f>
        <v>#N/A</v>
      </c>
      <c r="N92" s="4" t="str">
        <f t="shared" si="12"/>
        <v>-000</v>
      </c>
      <c r="O92" s="4">
        <f ca="1">IF(totalElements+COUNTIF(Entities!$C$10,"*")+COUNTIF(B92:C92,"*")+COUNTIF(E92:F92,"*")=9,1,0)</f>
        <v>0</v>
      </c>
      <c r="P92" s="4">
        <f>COUNTIF($C$6:C92,C92)</f>
        <v>0</v>
      </c>
      <c r="Q92" s="4">
        <f ca="1">IF(ISNA(M92),0,COUNTIF($M$6:M92,M92))</f>
        <v>0</v>
      </c>
      <c r="R92" s="4" t="e">
        <f t="shared" ca="1" si="11"/>
        <v>#N/A</v>
      </c>
      <c r="S92" s="4">
        <f ca="1">IF(ISNA(M92),0,COUNTIF($R$6:R92,R92))</f>
        <v>0</v>
      </c>
      <c r="T92" s="4" t="e">
        <f t="shared" ca="1" si="5"/>
        <v>#N/A</v>
      </c>
    </row>
    <row r="93" spans="2:20" x14ac:dyDescent="0.3">
      <c r="B93" s="48"/>
      <c r="C93" s="48"/>
      <c r="D93" s="10" t="str">
        <f t="shared" ca="1" si="9"/>
        <v/>
      </c>
      <c r="E93" s="48"/>
      <c r="F93" s="48"/>
      <c r="G93" s="10" t="str">
        <f t="shared" ca="1" si="13"/>
        <v/>
      </c>
      <c r="I93" s="10" t="str">
        <f t="shared" ca="1" si="10"/>
        <v/>
      </c>
      <c r="K93" s="4" t="e">
        <f t="shared" ca="1" si="3"/>
        <v>#N/A</v>
      </c>
      <c r="L93" s="4" t="e">
        <f>VLOOKUP(C93,_resources!B:D,3,0)</f>
        <v>#N/A</v>
      </c>
      <c r="M93" s="4" t="e" cm="1">
        <f t="array" aca="1" ref="M93" ca="1">IF(abbrAtEnd,"",L93&amp;"-")&amp;E93&amp;"-"&amp;INDIRECT(OFFSET(element3,MATCH($C93,resources,0)-1,0))&amp;"-"&amp;INDIRECT(OFFSET(element4,MATCH($C93,resources,0)-1,0))&amp;"-"&amp;INDIRECT(OFFSET(element5,MATCH($C93,resources,0)-1,0))&amp;IF(OFFSET(element6,MATCH($C93,resources,0)-1,0)="","","-"&amp;INDIRECT(OFFSET(element6,MATCH($C93,resources,0)-1,0)))&amp;IF(abbrAtEnd,"-"&amp;L93,"")</f>
        <v>#N/A</v>
      </c>
      <c r="N93" s="4" t="str">
        <f t="shared" si="12"/>
        <v>-000</v>
      </c>
      <c r="O93" s="4">
        <f ca="1">IF(totalElements+COUNTIF(Entities!$C$10,"*")+COUNTIF(B93:C93,"*")+COUNTIF(E93:F93,"*")=9,1,0)</f>
        <v>0</v>
      </c>
      <c r="P93" s="4">
        <f>COUNTIF($C$6:C93,C93)</f>
        <v>0</v>
      </c>
      <c r="Q93" s="4">
        <f ca="1">IF(ISNA(M93),0,COUNTIF($M$6:M93,M93))</f>
        <v>0</v>
      </c>
      <c r="R93" s="4" t="e">
        <f t="shared" ca="1" si="11"/>
        <v>#N/A</v>
      </c>
      <c r="S93" s="4">
        <f ca="1">IF(ISNA(M93),0,COUNTIF($R$6:R93,R93))</f>
        <v>0</v>
      </c>
      <c r="T93" s="4" t="e">
        <f t="shared" ca="1" si="5"/>
        <v>#N/A</v>
      </c>
    </row>
    <row r="94" spans="2:20" x14ac:dyDescent="0.3">
      <c r="B94" s="48"/>
      <c r="C94" s="48"/>
      <c r="D94" s="10" t="str">
        <f t="shared" ca="1" si="9"/>
        <v/>
      </c>
      <c r="E94" s="48"/>
      <c r="F94" s="48"/>
      <c r="G94" s="10" t="str">
        <f t="shared" ca="1" si="13"/>
        <v/>
      </c>
      <c r="I94" s="10" t="str">
        <f t="shared" ca="1" si="10"/>
        <v/>
      </c>
      <c r="K94" s="4" t="e">
        <f t="shared" ca="1" si="3"/>
        <v>#N/A</v>
      </c>
      <c r="L94" s="4" t="e">
        <f>VLOOKUP(C94,_resources!B:D,3,0)</f>
        <v>#N/A</v>
      </c>
      <c r="M94" s="4" t="e" cm="1">
        <f t="array" aca="1" ref="M94" ca="1">IF(abbrAtEnd,"",L94&amp;"-")&amp;E94&amp;"-"&amp;INDIRECT(OFFSET(element3,MATCH($C94,resources,0)-1,0))&amp;"-"&amp;INDIRECT(OFFSET(element4,MATCH($C94,resources,0)-1,0))&amp;"-"&amp;INDIRECT(OFFSET(element5,MATCH($C94,resources,0)-1,0))&amp;IF(OFFSET(element6,MATCH($C94,resources,0)-1,0)="","","-"&amp;INDIRECT(OFFSET(element6,MATCH($C94,resources,0)-1,0)))&amp;IF(abbrAtEnd,"-"&amp;L94,"")</f>
        <v>#N/A</v>
      </c>
      <c r="N94" s="4" t="str">
        <f t="shared" si="12"/>
        <v>-000</v>
      </c>
      <c r="O94" s="4">
        <f ca="1">IF(totalElements+COUNTIF(Entities!$C$10,"*")+COUNTIF(B94:C94,"*")+COUNTIF(E94:F94,"*")=9,1,0)</f>
        <v>0</v>
      </c>
      <c r="P94" s="4">
        <f>COUNTIF($C$6:C94,C94)</f>
        <v>0</v>
      </c>
      <c r="Q94" s="4">
        <f ca="1">IF(ISNA(M94),0,COUNTIF($M$6:M94,M94))</f>
        <v>0</v>
      </c>
      <c r="R94" s="4" t="e">
        <f t="shared" ca="1" si="11"/>
        <v>#N/A</v>
      </c>
      <c r="S94" s="4">
        <f ca="1">IF(ISNA(M94),0,COUNTIF($R$6:R94,R94))</f>
        <v>0</v>
      </c>
      <c r="T94" s="4" t="e">
        <f t="shared" ca="1" si="5"/>
        <v>#N/A</v>
      </c>
    </row>
    <row r="95" spans="2:20" x14ac:dyDescent="0.3">
      <c r="B95" s="48"/>
      <c r="C95" s="48"/>
      <c r="D95" s="10" t="str">
        <f t="shared" ca="1" si="9"/>
        <v/>
      </c>
      <c r="E95" s="48"/>
      <c r="F95" s="48"/>
      <c r="G95" s="10" t="str">
        <f t="shared" ca="1" si="13"/>
        <v/>
      </c>
      <c r="I95" s="10" t="str">
        <f t="shared" ca="1" si="10"/>
        <v/>
      </c>
      <c r="K95" s="4" t="e">
        <f t="shared" ca="1" si="3"/>
        <v>#N/A</v>
      </c>
      <c r="L95" s="4" t="e">
        <f>VLOOKUP(C95,_resources!B:D,3,0)</f>
        <v>#N/A</v>
      </c>
      <c r="M95" s="4" t="e" cm="1">
        <f t="array" aca="1" ref="M95" ca="1">IF(abbrAtEnd,"",L95&amp;"-")&amp;E95&amp;"-"&amp;INDIRECT(OFFSET(element3,MATCH($C95,resources,0)-1,0))&amp;"-"&amp;INDIRECT(OFFSET(element4,MATCH($C95,resources,0)-1,0))&amp;"-"&amp;INDIRECT(OFFSET(element5,MATCH($C95,resources,0)-1,0))&amp;IF(OFFSET(element6,MATCH($C95,resources,0)-1,0)="","","-"&amp;INDIRECT(OFFSET(element6,MATCH($C95,resources,0)-1,0)))&amp;IF(abbrAtEnd,"-"&amp;L95,"")</f>
        <v>#N/A</v>
      </c>
      <c r="N95" s="4" t="str">
        <f t="shared" si="12"/>
        <v>-000</v>
      </c>
      <c r="O95" s="4">
        <f ca="1">IF(totalElements+COUNTIF(Entities!$C$10,"*")+COUNTIF(B95:C95,"*")+COUNTIF(E95:F95,"*")=9,1,0)</f>
        <v>0</v>
      </c>
      <c r="P95" s="4">
        <f>COUNTIF($C$6:C95,C95)</f>
        <v>0</v>
      </c>
      <c r="Q95" s="4">
        <f ca="1">IF(ISNA(M95),0,COUNTIF($M$6:M95,M95))</f>
        <v>0</v>
      </c>
      <c r="R95" s="4" t="e">
        <f t="shared" ca="1" si="11"/>
        <v>#N/A</v>
      </c>
      <c r="S95" s="4">
        <f ca="1">IF(ISNA(M95),0,COUNTIF($R$6:R95,R95))</f>
        <v>0</v>
      </c>
      <c r="T95" s="4" t="e">
        <f t="shared" ca="1" si="5"/>
        <v>#N/A</v>
      </c>
    </row>
    <row r="96" spans="2:20" x14ac:dyDescent="0.3">
      <c r="B96" s="48"/>
      <c r="C96" s="48"/>
      <c r="D96" s="10" t="str">
        <f t="shared" ca="1" si="9"/>
        <v/>
      </c>
      <c r="E96" s="48"/>
      <c r="F96" s="48"/>
      <c r="G96" s="10" t="str">
        <f t="shared" ca="1" si="13"/>
        <v/>
      </c>
      <c r="I96" s="10" t="str">
        <f t="shared" ca="1" si="10"/>
        <v/>
      </c>
      <c r="K96" s="4" t="e">
        <f t="shared" ca="1" si="3"/>
        <v>#N/A</v>
      </c>
      <c r="L96" s="4" t="e">
        <f>VLOOKUP(C96,_resources!B:D,3,0)</f>
        <v>#N/A</v>
      </c>
      <c r="M96" s="4" t="e" cm="1">
        <f t="array" aca="1" ref="M96" ca="1">IF(abbrAtEnd,"",L96&amp;"-")&amp;E96&amp;"-"&amp;INDIRECT(OFFSET(element3,MATCH($C96,resources,0)-1,0))&amp;"-"&amp;INDIRECT(OFFSET(element4,MATCH($C96,resources,0)-1,0))&amp;"-"&amp;INDIRECT(OFFSET(element5,MATCH($C96,resources,0)-1,0))&amp;IF(OFFSET(element6,MATCH($C96,resources,0)-1,0)="","","-"&amp;INDIRECT(OFFSET(element6,MATCH($C96,resources,0)-1,0)))&amp;IF(abbrAtEnd,"-"&amp;L96,"")</f>
        <v>#N/A</v>
      </c>
      <c r="N96" s="4" t="str">
        <f t="shared" si="12"/>
        <v>-000</v>
      </c>
      <c r="O96" s="4">
        <f ca="1">IF(totalElements+COUNTIF(Entities!$C$10,"*")+COUNTIF(B96:C96,"*")+COUNTIF(E96:F96,"*")=9,1,0)</f>
        <v>0</v>
      </c>
      <c r="P96" s="4">
        <f>COUNTIF($C$6:C96,C96)</f>
        <v>0</v>
      </c>
      <c r="Q96" s="4">
        <f ca="1">IF(ISNA(M96),0,COUNTIF($M$6:M96,M96))</f>
        <v>0</v>
      </c>
      <c r="R96" s="4" t="e">
        <f t="shared" ca="1" si="11"/>
        <v>#N/A</v>
      </c>
      <c r="S96" s="4">
        <f ca="1">IF(ISNA(M96),0,COUNTIF($R$6:R96,R96))</f>
        <v>0</v>
      </c>
      <c r="T96" s="4" t="e">
        <f t="shared" ca="1" si="5"/>
        <v>#N/A</v>
      </c>
    </row>
    <row r="97" spans="2:20" x14ac:dyDescent="0.3">
      <c r="B97" s="48"/>
      <c r="C97" s="48"/>
      <c r="D97" s="10" t="str">
        <f t="shared" ca="1" si="9"/>
        <v/>
      </c>
      <c r="E97" s="48"/>
      <c r="F97" s="48"/>
      <c r="G97" s="10" t="str">
        <f t="shared" ca="1" si="13"/>
        <v/>
      </c>
      <c r="I97" s="10" t="str">
        <f t="shared" ca="1" si="10"/>
        <v/>
      </c>
      <c r="K97" s="4" t="e">
        <f t="shared" ca="1" si="3"/>
        <v>#N/A</v>
      </c>
      <c r="L97" s="4" t="e">
        <f>VLOOKUP(C97,_resources!B:D,3,0)</f>
        <v>#N/A</v>
      </c>
      <c r="M97" s="4" t="e" cm="1">
        <f t="array" aca="1" ref="M97" ca="1">IF(abbrAtEnd,"",L97&amp;"-")&amp;E97&amp;"-"&amp;INDIRECT(OFFSET(element3,MATCH($C97,resources,0)-1,0))&amp;"-"&amp;INDIRECT(OFFSET(element4,MATCH($C97,resources,0)-1,0))&amp;"-"&amp;INDIRECT(OFFSET(element5,MATCH($C97,resources,0)-1,0))&amp;IF(OFFSET(element6,MATCH($C97,resources,0)-1,0)="","","-"&amp;INDIRECT(OFFSET(element6,MATCH($C97,resources,0)-1,0)))&amp;IF(abbrAtEnd,"-"&amp;L97,"")</f>
        <v>#N/A</v>
      </c>
      <c r="N97" s="4" t="str">
        <f t="shared" si="12"/>
        <v>-000</v>
      </c>
      <c r="O97" s="4">
        <f ca="1">IF(totalElements+COUNTIF(Entities!$C$10,"*")+COUNTIF(B97:C97,"*")+COUNTIF(E97:F97,"*")=9,1,0)</f>
        <v>0</v>
      </c>
      <c r="P97" s="4">
        <f>COUNTIF($C$6:C97,C97)</f>
        <v>0</v>
      </c>
      <c r="Q97" s="4">
        <f ca="1">IF(ISNA(M97),0,COUNTIF($M$6:M97,M97))</f>
        <v>0</v>
      </c>
      <c r="R97" s="4" t="e">
        <f t="shared" ca="1" si="11"/>
        <v>#N/A</v>
      </c>
      <c r="S97" s="4">
        <f ca="1">IF(ISNA(M97),0,COUNTIF($R$6:R97,R97))</f>
        <v>0</v>
      </c>
      <c r="T97" s="4" t="e">
        <f t="shared" ca="1" si="5"/>
        <v>#N/A</v>
      </c>
    </row>
    <row r="98" spans="2:20" x14ac:dyDescent="0.3">
      <c r="B98" s="48"/>
      <c r="C98" s="48"/>
      <c r="D98" s="10" t="str">
        <f t="shared" ca="1" si="9"/>
        <v/>
      </c>
      <c r="E98" s="48"/>
      <c r="F98" s="48"/>
      <c r="G98" s="10" t="str">
        <f t="shared" ca="1" si="13"/>
        <v/>
      </c>
      <c r="I98" s="10" t="str">
        <f t="shared" ca="1" si="10"/>
        <v/>
      </c>
      <c r="K98" s="4" t="e">
        <f t="shared" ca="1" si="3"/>
        <v>#N/A</v>
      </c>
      <c r="L98" s="4" t="e">
        <f>VLOOKUP(C98,_resources!B:D,3,0)</f>
        <v>#N/A</v>
      </c>
      <c r="M98" s="4" t="e" cm="1">
        <f t="array" aca="1" ref="M98" ca="1">IF(abbrAtEnd,"",L98&amp;"-")&amp;E98&amp;"-"&amp;INDIRECT(OFFSET(element3,MATCH($C98,resources,0)-1,0))&amp;"-"&amp;INDIRECT(OFFSET(element4,MATCH($C98,resources,0)-1,0))&amp;"-"&amp;INDIRECT(OFFSET(element5,MATCH($C98,resources,0)-1,0))&amp;IF(OFFSET(element6,MATCH($C98,resources,0)-1,0)="","","-"&amp;INDIRECT(OFFSET(element6,MATCH($C98,resources,0)-1,0)))&amp;IF(abbrAtEnd,"-"&amp;L98,"")</f>
        <v>#N/A</v>
      </c>
      <c r="N98" s="4" t="str">
        <f t="shared" si="12"/>
        <v>-000</v>
      </c>
      <c r="O98" s="4">
        <f ca="1">IF(totalElements+COUNTIF(Entities!$C$10,"*")+COUNTIF(B98:C98,"*")+COUNTIF(E98:F98,"*")=9,1,0)</f>
        <v>0</v>
      </c>
      <c r="P98" s="4">
        <f>COUNTIF($C$6:C98,C98)</f>
        <v>0</v>
      </c>
      <c r="Q98" s="4">
        <f ca="1">IF(ISNA(M98),0,COUNTIF($M$6:M98,M98))</f>
        <v>0</v>
      </c>
      <c r="R98" s="4" t="e">
        <f t="shared" ca="1" si="11"/>
        <v>#N/A</v>
      </c>
      <c r="S98" s="4">
        <f ca="1">IF(ISNA(M98),0,COUNTIF($R$6:R98,R98))</f>
        <v>0</v>
      </c>
      <c r="T98" s="4" t="e">
        <f t="shared" ca="1" si="5"/>
        <v>#N/A</v>
      </c>
    </row>
    <row r="99" spans="2:20" x14ac:dyDescent="0.3">
      <c r="B99" s="48"/>
      <c r="C99" s="48"/>
      <c r="D99" s="10" t="str">
        <f t="shared" ca="1" si="9"/>
        <v/>
      </c>
      <c r="E99" s="48"/>
      <c r="F99" s="48"/>
      <c r="G99" s="10" t="str">
        <f t="shared" ca="1" si="13"/>
        <v/>
      </c>
      <c r="I99" s="10" t="str">
        <f t="shared" ca="1" si="10"/>
        <v/>
      </c>
      <c r="K99" s="4" t="e">
        <f t="shared" ca="1" si="3"/>
        <v>#N/A</v>
      </c>
      <c r="L99" s="4" t="e">
        <f>VLOOKUP(C99,_resources!B:D,3,0)</f>
        <v>#N/A</v>
      </c>
      <c r="M99" s="4" t="e" cm="1">
        <f t="array" aca="1" ref="M99" ca="1">IF(abbrAtEnd,"",L99&amp;"-")&amp;E99&amp;"-"&amp;INDIRECT(OFFSET(element3,MATCH($C99,resources,0)-1,0))&amp;"-"&amp;INDIRECT(OFFSET(element4,MATCH($C99,resources,0)-1,0))&amp;"-"&amp;INDIRECT(OFFSET(element5,MATCH($C99,resources,0)-1,0))&amp;IF(OFFSET(element6,MATCH($C99,resources,0)-1,0)="","","-"&amp;INDIRECT(OFFSET(element6,MATCH($C99,resources,0)-1,0)))&amp;IF(abbrAtEnd,"-"&amp;L99,"")</f>
        <v>#N/A</v>
      </c>
      <c r="N99" s="4" t="str">
        <f t="shared" si="12"/>
        <v>-000</v>
      </c>
      <c r="O99" s="4">
        <f ca="1">IF(totalElements+COUNTIF(Entities!$C$10,"*")+COUNTIF(B99:C99,"*")+COUNTIF(E99:F99,"*")=9,1,0)</f>
        <v>0</v>
      </c>
      <c r="P99" s="4">
        <f>COUNTIF($C$6:C99,C99)</f>
        <v>0</v>
      </c>
      <c r="Q99" s="4">
        <f ca="1">IF(ISNA(M99),0,COUNTIF($M$6:M99,M99))</f>
        <v>0</v>
      </c>
      <c r="R99" s="4" t="e">
        <f t="shared" ca="1" si="11"/>
        <v>#N/A</v>
      </c>
      <c r="S99" s="4">
        <f ca="1">IF(ISNA(M99),0,COUNTIF($R$6:R99,R99))</f>
        <v>0</v>
      </c>
      <c r="T99" s="4" t="e">
        <f t="shared" ca="1" si="5"/>
        <v>#N/A</v>
      </c>
    </row>
    <row r="100" spans="2:20" x14ac:dyDescent="0.3">
      <c r="B100" s="48"/>
      <c r="C100" s="48"/>
      <c r="D100" s="10" t="str">
        <f t="shared" ca="1" si="9"/>
        <v/>
      </c>
      <c r="E100" s="48"/>
      <c r="F100" s="48"/>
      <c r="G100" s="10" t="str">
        <f t="shared" ca="1" si="13"/>
        <v/>
      </c>
      <c r="I100" s="10" t="str">
        <f t="shared" ca="1" si="10"/>
        <v/>
      </c>
      <c r="K100" s="4" t="e">
        <f t="shared" ca="1" si="3"/>
        <v>#N/A</v>
      </c>
      <c r="L100" s="4" t="e">
        <f>VLOOKUP(C100,_resources!B:D,3,0)</f>
        <v>#N/A</v>
      </c>
      <c r="M100" s="4" t="e" cm="1">
        <f t="array" aca="1" ref="M100" ca="1">IF(abbrAtEnd,"",L100&amp;"-")&amp;E100&amp;"-"&amp;INDIRECT(OFFSET(element3,MATCH($C100,resources,0)-1,0))&amp;"-"&amp;INDIRECT(OFFSET(element4,MATCH($C100,resources,0)-1,0))&amp;"-"&amp;INDIRECT(OFFSET(element5,MATCH($C100,resources,0)-1,0))&amp;IF(OFFSET(element6,MATCH($C100,resources,0)-1,0)="","","-"&amp;INDIRECT(OFFSET(element6,MATCH($C100,resources,0)-1,0)))&amp;IF(abbrAtEnd,"-"&amp;L100,"")</f>
        <v>#N/A</v>
      </c>
      <c r="N100" s="4" t="str">
        <f t="shared" si="12"/>
        <v>-000</v>
      </c>
      <c r="O100" s="4">
        <f ca="1">IF(totalElements+COUNTIF(Entities!$C$10,"*")+COUNTIF(B100:C100,"*")+COUNTIF(E100:F100,"*")=9,1,0)</f>
        <v>0</v>
      </c>
      <c r="P100" s="4">
        <f>COUNTIF($C$6:C100,C100)</f>
        <v>0</v>
      </c>
      <c r="Q100" s="4">
        <f ca="1">IF(ISNA(M100),0,COUNTIF($M$6:M100,M100))</f>
        <v>0</v>
      </c>
      <c r="R100" s="4" t="e">
        <f t="shared" ca="1" si="11"/>
        <v>#N/A</v>
      </c>
      <c r="S100" s="4">
        <f ca="1">IF(ISNA(M100),0,COUNTIF($R$6:R100,R100))</f>
        <v>0</v>
      </c>
      <c r="T100" s="4" t="e">
        <f t="shared" ca="1" si="5"/>
        <v>#N/A</v>
      </c>
    </row>
    <row r="101" spans="2:20" x14ac:dyDescent="0.3">
      <c r="B101" s="48"/>
      <c r="C101" s="48"/>
      <c r="D101" s="10" t="str">
        <f t="shared" ca="1" si="9"/>
        <v/>
      </c>
      <c r="E101" s="48"/>
      <c r="F101" s="48"/>
      <c r="G101" s="10" t="str">
        <f t="shared" ca="1" si="13"/>
        <v/>
      </c>
      <c r="I101" s="10" t="str">
        <f t="shared" ca="1" si="10"/>
        <v/>
      </c>
      <c r="K101" s="4" t="e">
        <f t="shared" ca="1" si="3"/>
        <v>#N/A</v>
      </c>
      <c r="L101" s="4" t="e">
        <f>VLOOKUP(C101,_resources!B:D,3,0)</f>
        <v>#N/A</v>
      </c>
      <c r="M101" s="4" t="e" cm="1">
        <f t="array" aca="1" ref="M101" ca="1">IF(abbrAtEnd,"",L101&amp;"-")&amp;E101&amp;"-"&amp;INDIRECT(OFFSET(element3,MATCH($C101,resources,0)-1,0))&amp;"-"&amp;INDIRECT(OFFSET(element4,MATCH($C101,resources,0)-1,0))&amp;"-"&amp;INDIRECT(OFFSET(element5,MATCH($C101,resources,0)-1,0))&amp;IF(OFFSET(element6,MATCH($C101,resources,0)-1,0)="","","-"&amp;INDIRECT(OFFSET(element6,MATCH($C101,resources,0)-1,0)))&amp;IF(abbrAtEnd,"-"&amp;L101,"")</f>
        <v>#N/A</v>
      </c>
      <c r="N101" s="4" t="str">
        <f t="shared" si="12"/>
        <v>-000</v>
      </c>
      <c r="O101" s="4">
        <f ca="1">IF(totalElements+COUNTIF(Entities!$C$10,"*")+COUNTIF(B101:C101,"*")+COUNTIF(E101:F101,"*")=9,1,0)</f>
        <v>0</v>
      </c>
      <c r="P101" s="4">
        <f>COUNTIF($C$6:C101,C101)</f>
        <v>0</v>
      </c>
      <c r="Q101" s="4">
        <f ca="1">IF(ISNA(M101),0,COUNTIF($M$6:M101,M101))</f>
        <v>0</v>
      </c>
      <c r="R101" s="4" t="e">
        <f t="shared" ca="1" si="11"/>
        <v>#N/A</v>
      </c>
      <c r="S101" s="4">
        <f ca="1">IF(ISNA(M101),0,COUNTIF($R$6:R101,R101))</f>
        <v>0</v>
      </c>
      <c r="T101" s="4" t="e">
        <f t="shared" ca="1" si="5"/>
        <v>#N/A</v>
      </c>
    </row>
    <row r="102" spans="2:20" x14ac:dyDescent="0.3">
      <c r="B102" s="48"/>
      <c r="C102" s="48"/>
      <c r="D102" s="10" t="str">
        <f t="shared" ca="1" si="9"/>
        <v/>
      </c>
      <c r="E102" s="48"/>
      <c r="F102" s="48"/>
      <c r="G102" s="10" t="str">
        <f t="shared" ca="1" si="13"/>
        <v/>
      </c>
      <c r="I102" s="10" t="str">
        <f t="shared" ca="1" si="10"/>
        <v/>
      </c>
      <c r="K102" s="4" t="e">
        <f t="shared" ca="1" si="3"/>
        <v>#N/A</v>
      </c>
      <c r="L102" s="4" t="e">
        <f>VLOOKUP(C102,_resources!B:D,3,0)</f>
        <v>#N/A</v>
      </c>
      <c r="M102" s="4" t="e" cm="1">
        <f t="array" aca="1" ref="M102" ca="1">IF(abbrAtEnd,"",L102&amp;"-")&amp;E102&amp;"-"&amp;INDIRECT(OFFSET(element3,MATCH($C102,resources,0)-1,0))&amp;"-"&amp;INDIRECT(OFFSET(element4,MATCH($C102,resources,0)-1,0))&amp;"-"&amp;INDIRECT(OFFSET(element5,MATCH($C102,resources,0)-1,0))&amp;IF(OFFSET(element6,MATCH($C102,resources,0)-1,0)="","","-"&amp;INDIRECT(OFFSET(element6,MATCH($C102,resources,0)-1,0)))&amp;IF(abbrAtEnd,"-"&amp;L102,"")</f>
        <v>#N/A</v>
      </c>
      <c r="N102" s="4" t="str">
        <f t="shared" si="12"/>
        <v>-000</v>
      </c>
      <c r="O102" s="4">
        <f ca="1">IF(totalElements+COUNTIF(Entities!$C$10,"*")+COUNTIF(B102:C102,"*")+COUNTIF(E102:F102,"*")=9,1,0)</f>
        <v>0</v>
      </c>
      <c r="P102" s="4">
        <f>COUNTIF($C$6:C102,C102)</f>
        <v>0</v>
      </c>
      <c r="Q102" s="4">
        <f ca="1">IF(ISNA(M102),0,COUNTIF($M$6:M102,M102))</f>
        <v>0</v>
      </c>
      <c r="R102" s="4" t="e">
        <f t="shared" ca="1" si="11"/>
        <v>#N/A</v>
      </c>
      <c r="S102" s="4">
        <f ca="1">IF(ISNA(M102),0,COUNTIF($R$6:R102,R102))</f>
        <v>0</v>
      </c>
      <c r="T102" s="4" t="e">
        <f t="shared" ca="1" si="5"/>
        <v>#N/A</v>
      </c>
    </row>
    <row r="103" spans="2:20" x14ac:dyDescent="0.3">
      <c r="B103" s="48"/>
      <c r="C103" s="48"/>
      <c r="D103" s="10" t="str">
        <f t="shared" ca="1" si="9"/>
        <v/>
      </c>
      <c r="E103" s="48"/>
      <c r="F103" s="48"/>
      <c r="G103" s="10" t="str">
        <f t="shared" ca="1" si="13"/>
        <v/>
      </c>
      <c r="I103" s="10" t="str">
        <f t="shared" ca="1" si="10"/>
        <v/>
      </c>
      <c r="K103" s="4" t="e">
        <f t="shared" ca="1" si="3"/>
        <v>#N/A</v>
      </c>
      <c r="L103" s="4" t="e">
        <f>VLOOKUP(C103,_resources!B:D,3,0)</f>
        <v>#N/A</v>
      </c>
      <c r="M103" s="4" t="e" cm="1">
        <f t="array" aca="1" ref="M103" ca="1">IF(abbrAtEnd,"",L103&amp;"-")&amp;E103&amp;"-"&amp;INDIRECT(OFFSET(element3,MATCH($C103,resources,0)-1,0))&amp;"-"&amp;INDIRECT(OFFSET(element4,MATCH($C103,resources,0)-1,0))&amp;"-"&amp;INDIRECT(OFFSET(element5,MATCH($C103,resources,0)-1,0))&amp;IF(OFFSET(element6,MATCH($C103,resources,0)-1,0)="","","-"&amp;INDIRECT(OFFSET(element6,MATCH($C103,resources,0)-1,0)))&amp;IF(abbrAtEnd,"-"&amp;L103,"")</f>
        <v>#N/A</v>
      </c>
      <c r="N103" s="4" t="str">
        <f t="shared" si="12"/>
        <v>-000</v>
      </c>
      <c r="O103" s="4">
        <f ca="1">IF(totalElements+COUNTIF(Entities!$C$10,"*")+COUNTIF(B103:C103,"*")+COUNTIF(E103:F103,"*")=9,1,0)</f>
        <v>0</v>
      </c>
      <c r="P103" s="4">
        <f>COUNTIF($C$6:C103,C103)</f>
        <v>0</v>
      </c>
      <c r="Q103" s="4">
        <f ca="1">IF(ISNA(M103),0,COUNTIF($M$6:M103,M103))</f>
        <v>0</v>
      </c>
      <c r="R103" s="4" t="e">
        <f t="shared" ca="1" si="11"/>
        <v>#N/A</v>
      </c>
      <c r="S103" s="4">
        <f ca="1">IF(ISNA(M103),0,COUNTIF($R$6:R103,R103))</f>
        <v>0</v>
      </c>
      <c r="T103" s="4" t="e">
        <f t="shared" ca="1" si="5"/>
        <v>#N/A</v>
      </c>
    </row>
    <row r="104" spans="2:20" x14ac:dyDescent="0.3">
      <c r="B104" s="48"/>
      <c r="C104" s="48"/>
      <c r="D104" s="10" t="str">
        <f t="shared" ca="1" si="9"/>
        <v/>
      </c>
      <c r="E104" s="48"/>
      <c r="F104" s="48"/>
      <c r="G104" s="10" t="str">
        <f t="shared" ca="1" si="13"/>
        <v/>
      </c>
      <c r="I104" s="10" t="str">
        <f t="shared" ca="1" si="10"/>
        <v/>
      </c>
      <c r="K104" s="4" t="e">
        <f t="shared" ca="1" si="3"/>
        <v>#N/A</v>
      </c>
      <c r="L104" s="4" t="e">
        <f>VLOOKUP(C104,_resources!B:D,3,0)</f>
        <v>#N/A</v>
      </c>
      <c r="M104" s="4" t="e" cm="1">
        <f t="array" aca="1" ref="M104" ca="1">IF(abbrAtEnd,"",L104&amp;"-")&amp;E104&amp;"-"&amp;INDIRECT(OFFSET(element3,MATCH($C104,resources,0)-1,0))&amp;"-"&amp;INDIRECT(OFFSET(element4,MATCH($C104,resources,0)-1,0))&amp;"-"&amp;INDIRECT(OFFSET(element5,MATCH($C104,resources,0)-1,0))&amp;IF(OFFSET(element6,MATCH($C104,resources,0)-1,0)="","","-"&amp;INDIRECT(OFFSET(element6,MATCH($C104,resources,0)-1,0)))&amp;IF(abbrAtEnd,"-"&amp;L104,"")</f>
        <v>#N/A</v>
      </c>
      <c r="N104" s="4" t="str">
        <f t="shared" si="12"/>
        <v>-000</v>
      </c>
      <c r="O104" s="4">
        <f ca="1">IF(totalElements+COUNTIF(Entities!$C$10,"*")+COUNTIF(B104:C104,"*")+COUNTIF(E104:F104,"*")=9,1,0)</f>
        <v>0</v>
      </c>
      <c r="P104" s="4">
        <f>COUNTIF($C$6:C104,C104)</f>
        <v>0</v>
      </c>
      <c r="Q104" s="4">
        <f ca="1">IF(ISNA(M104),0,COUNTIF($M$6:M104,M104))</f>
        <v>0</v>
      </c>
      <c r="R104" s="4" t="e">
        <f t="shared" ca="1" si="11"/>
        <v>#N/A</v>
      </c>
      <c r="S104" s="4">
        <f ca="1">IF(ISNA(M104),0,COUNTIF($R$6:R104,R104))</f>
        <v>0</v>
      </c>
      <c r="T104" s="4" t="e">
        <f t="shared" ca="1" si="5"/>
        <v>#N/A</v>
      </c>
    </row>
    <row r="105" spans="2:20" x14ac:dyDescent="0.3">
      <c r="B105" s="48"/>
      <c r="C105" s="48"/>
      <c r="D105" s="10" t="str">
        <f t="shared" ca="1" si="9"/>
        <v/>
      </c>
      <c r="E105" s="48"/>
      <c r="F105" s="48"/>
      <c r="G105" s="10" t="str">
        <f t="shared" ca="1" si="13"/>
        <v/>
      </c>
      <c r="I105" s="10" t="str">
        <f t="shared" ca="1" si="10"/>
        <v/>
      </c>
      <c r="K105" s="4" t="e">
        <f t="shared" ca="1" si="3"/>
        <v>#N/A</v>
      </c>
      <c r="L105" s="4" t="e">
        <f>VLOOKUP(C105,_resources!B:D,3,0)</f>
        <v>#N/A</v>
      </c>
      <c r="M105" s="4" t="e" cm="1">
        <f t="array" aca="1" ref="M105" ca="1">IF(abbrAtEnd,"",L105&amp;"-")&amp;E105&amp;"-"&amp;INDIRECT(OFFSET(element3,MATCH($C105,resources,0)-1,0))&amp;"-"&amp;INDIRECT(OFFSET(element4,MATCH($C105,resources,0)-1,0))&amp;"-"&amp;INDIRECT(OFFSET(element5,MATCH($C105,resources,0)-1,0))&amp;IF(OFFSET(element6,MATCH($C105,resources,0)-1,0)="","","-"&amp;INDIRECT(OFFSET(element6,MATCH($C105,resources,0)-1,0)))&amp;IF(abbrAtEnd,"-"&amp;L105,"")</f>
        <v>#N/A</v>
      </c>
      <c r="N105" s="4" t="str">
        <f t="shared" si="12"/>
        <v>-000</v>
      </c>
      <c r="O105" s="4">
        <f ca="1">IF(totalElements+COUNTIF(Entities!$C$10,"*")+COUNTIF(B105:C105,"*")+COUNTIF(E105:F105,"*")=9,1,0)</f>
        <v>0</v>
      </c>
      <c r="P105" s="4">
        <f>COUNTIF($C$6:C105,C105)</f>
        <v>0</v>
      </c>
      <c r="Q105" s="4">
        <f ca="1">IF(ISNA(M105),0,COUNTIF($M$6:M105,M105))</f>
        <v>0</v>
      </c>
      <c r="R105" s="4" t="e">
        <f t="shared" ca="1" si="11"/>
        <v>#N/A</v>
      </c>
      <c r="S105" s="4">
        <f ca="1">IF(ISNA(M105),0,COUNTIF($R$6:R105,R105))</f>
        <v>0</v>
      </c>
      <c r="T105" s="4" t="e">
        <f t="shared" ca="1" si="5"/>
        <v>#N/A</v>
      </c>
    </row>
    <row r="106" spans="2:20" x14ac:dyDescent="0.3">
      <c r="B106" s="48"/>
      <c r="C106" s="48"/>
      <c r="D106" s="10" t="str">
        <f t="shared" ca="1" si="9"/>
        <v/>
      </c>
      <c r="E106" s="48"/>
      <c r="F106" s="48"/>
      <c r="G106" s="10" t="str">
        <f t="shared" ca="1" si="13"/>
        <v/>
      </c>
      <c r="I106" s="10" t="str">
        <f t="shared" ca="1" si="10"/>
        <v/>
      </c>
      <c r="K106" s="4" t="e">
        <f t="shared" ca="1" si="3"/>
        <v>#N/A</v>
      </c>
      <c r="L106" s="4" t="e">
        <f>VLOOKUP(C106,_resources!B:D,3,0)</f>
        <v>#N/A</v>
      </c>
      <c r="M106" s="4" t="e" cm="1">
        <f t="array" aca="1" ref="M106" ca="1">IF(abbrAtEnd,"",L106&amp;"-")&amp;E106&amp;"-"&amp;INDIRECT(OFFSET(element3,MATCH($C106,resources,0)-1,0))&amp;"-"&amp;INDIRECT(OFFSET(element4,MATCH($C106,resources,0)-1,0))&amp;"-"&amp;INDIRECT(OFFSET(element5,MATCH($C106,resources,0)-1,0))&amp;IF(OFFSET(element6,MATCH($C106,resources,0)-1,0)="","","-"&amp;INDIRECT(OFFSET(element6,MATCH($C106,resources,0)-1,0)))&amp;IF(abbrAtEnd,"-"&amp;L106,"")</f>
        <v>#N/A</v>
      </c>
      <c r="N106" s="4" t="str">
        <f t="shared" si="12"/>
        <v>-000</v>
      </c>
      <c r="O106" s="4">
        <f ca="1">IF(totalElements+COUNTIF(Entities!$C$10,"*")+COUNTIF(B106:C106,"*")+COUNTIF(E106:F106,"*")=9,1,0)</f>
        <v>0</v>
      </c>
      <c r="P106" s="4">
        <f>COUNTIF($C$6:C106,C106)</f>
        <v>0</v>
      </c>
      <c r="Q106" s="4">
        <f ca="1">IF(ISNA(M106),0,COUNTIF($M$6:M106,M106))</f>
        <v>0</v>
      </c>
      <c r="R106" s="4" t="e">
        <f t="shared" ca="1" si="11"/>
        <v>#N/A</v>
      </c>
      <c r="S106" s="4">
        <f ca="1">IF(ISNA(M106),0,COUNTIF($R$6:R106,R106))</f>
        <v>0</v>
      </c>
      <c r="T106" s="4" t="e">
        <f t="shared" ca="1" si="5"/>
        <v>#N/A</v>
      </c>
    </row>
    <row r="107" spans="2:20" x14ac:dyDescent="0.3">
      <c r="B107" s="48"/>
      <c r="C107" s="48"/>
      <c r="D107" s="10" t="str">
        <f t="shared" ca="1" si="9"/>
        <v/>
      </c>
      <c r="E107" s="48"/>
      <c r="F107" s="48"/>
      <c r="G107" s="10" t="str">
        <f t="shared" ca="1" si="13"/>
        <v/>
      </c>
      <c r="I107" s="10" t="str">
        <f t="shared" ca="1" si="10"/>
        <v/>
      </c>
      <c r="K107" s="4" t="e">
        <f t="shared" ca="1" si="3"/>
        <v>#N/A</v>
      </c>
      <c r="L107" s="4" t="e">
        <f>VLOOKUP(C107,_resources!B:D,3,0)</f>
        <v>#N/A</v>
      </c>
      <c r="M107" s="4" t="e" cm="1">
        <f t="array" aca="1" ref="M107" ca="1">IF(abbrAtEnd,"",L107&amp;"-")&amp;E107&amp;"-"&amp;INDIRECT(OFFSET(element3,MATCH($C107,resources,0)-1,0))&amp;"-"&amp;INDIRECT(OFFSET(element4,MATCH($C107,resources,0)-1,0))&amp;"-"&amp;INDIRECT(OFFSET(element5,MATCH($C107,resources,0)-1,0))&amp;IF(OFFSET(element6,MATCH($C107,resources,0)-1,0)="","","-"&amp;INDIRECT(OFFSET(element6,MATCH($C107,resources,0)-1,0)))&amp;IF(abbrAtEnd,"-"&amp;L107,"")</f>
        <v>#N/A</v>
      </c>
      <c r="N107" s="4" t="str">
        <f t="shared" si="12"/>
        <v>-000</v>
      </c>
      <c r="O107" s="4">
        <f ca="1">IF(totalElements+COUNTIF(Entities!$C$10,"*")+COUNTIF(B107:C107,"*")+COUNTIF(E107:F107,"*")=9,1,0)</f>
        <v>0</v>
      </c>
      <c r="P107" s="4">
        <f>COUNTIF($C$6:C107,C107)</f>
        <v>0</v>
      </c>
      <c r="Q107" s="4">
        <f ca="1">IF(ISNA(M107),0,COUNTIF($M$6:M107,M107))</f>
        <v>0</v>
      </c>
      <c r="R107" s="4" t="e">
        <f t="shared" ca="1" si="11"/>
        <v>#N/A</v>
      </c>
      <c r="S107" s="4">
        <f ca="1">IF(ISNA(M107),0,COUNTIF($R$6:R107,R107))</f>
        <v>0</v>
      </c>
      <c r="T107" s="4" t="e">
        <f t="shared" ca="1" si="5"/>
        <v>#N/A</v>
      </c>
    </row>
    <row r="108" spans="2:20" x14ac:dyDescent="0.3">
      <c r="B108" s="48"/>
      <c r="C108" s="48"/>
      <c r="D108" s="10" t="str">
        <f t="shared" ca="1" si="9"/>
        <v/>
      </c>
      <c r="E108" s="48"/>
      <c r="F108" s="48"/>
      <c r="G108" s="10" t="str">
        <f t="shared" ca="1" si="13"/>
        <v/>
      </c>
      <c r="I108" s="10" t="str">
        <f t="shared" ca="1" si="10"/>
        <v/>
      </c>
      <c r="K108" s="4" t="e">
        <f t="shared" ca="1" si="3"/>
        <v>#N/A</v>
      </c>
      <c r="L108" s="4" t="e">
        <f>VLOOKUP(C108,_resources!B:D,3,0)</f>
        <v>#N/A</v>
      </c>
      <c r="M108" s="4" t="e" cm="1">
        <f t="array" aca="1" ref="M108" ca="1">IF(abbrAtEnd,"",L108&amp;"-")&amp;E108&amp;"-"&amp;INDIRECT(OFFSET(element3,MATCH($C108,resources,0)-1,0))&amp;"-"&amp;INDIRECT(OFFSET(element4,MATCH($C108,resources,0)-1,0))&amp;"-"&amp;INDIRECT(OFFSET(element5,MATCH($C108,resources,0)-1,0))&amp;IF(OFFSET(element6,MATCH($C108,resources,0)-1,0)="","","-"&amp;INDIRECT(OFFSET(element6,MATCH($C108,resources,0)-1,0)))&amp;IF(abbrAtEnd,"-"&amp;L108,"")</f>
        <v>#N/A</v>
      </c>
      <c r="N108" s="4" t="str">
        <f t="shared" si="12"/>
        <v>-000</v>
      </c>
      <c r="O108" s="4">
        <f ca="1">IF(totalElements+COUNTIF(Entities!$C$10,"*")+COUNTIF(B108:C108,"*")+COUNTIF(E108:F108,"*")=9,1,0)</f>
        <v>0</v>
      </c>
      <c r="P108" s="4">
        <f>COUNTIF($C$6:C108,C108)</f>
        <v>0</v>
      </c>
      <c r="Q108" s="4">
        <f ca="1">IF(ISNA(M108),0,COUNTIF($M$6:M108,M108))</f>
        <v>0</v>
      </c>
      <c r="R108" s="4" t="e">
        <f t="shared" ca="1" si="11"/>
        <v>#N/A</v>
      </c>
      <c r="S108" s="4">
        <f ca="1">IF(ISNA(M108),0,COUNTIF($R$6:R108,R108))</f>
        <v>0</v>
      </c>
      <c r="T108" s="4" t="e">
        <f t="shared" ca="1" si="5"/>
        <v>#N/A</v>
      </c>
    </row>
    <row r="109" spans="2:20" x14ac:dyDescent="0.3">
      <c r="B109" s="48"/>
      <c r="C109" s="48"/>
      <c r="D109" s="10" t="str">
        <f t="shared" ca="1" si="9"/>
        <v/>
      </c>
      <c r="E109" s="48"/>
      <c r="F109" s="48"/>
      <c r="G109" s="10" t="str">
        <f t="shared" ca="1" si="13"/>
        <v/>
      </c>
      <c r="I109" s="10" t="str">
        <f t="shared" ca="1" si="10"/>
        <v/>
      </c>
      <c r="K109" s="4" t="e">
        <f t="shared" ca="1" si="3"/>
        <v>#N/A</v>
      </c>
      <c r="L109" s="4" t="e">
        <f>VLOOKUP(C109,_resources!B:D,3,0)</f>
        <v>#N/A</v>
      </c>
      <c r="M109" s="4" t="e" cm="1">
        <f t="array" aca="1" ref="M109" ca="1">IF(abbrAtEnd,"",L109&amp;"-")&amp;E109&amp;"-"&amp;INDIRECT(OFFSET(element3,MATCH($C109,resources,0)-1,0))&amp;"-"&amp;INDIRECT(OFFSET(element4,MATCH($C109,resources,0)-1,0))&amp;"-"&amp;INDIRECT(OFFSET(element5,MATCH($C109,resources,0)-1,0))&amp;IF(OFFSET(element6,MATCH($C109,resources,0)-1,0)="","","-"&amp;INDIRECT(OFFSET(element6,MATCH($C109,resources,0)-1,0)))&amp;IF(abbrAtEnd,"-"&amp;L109,"")</f>
        <v>#N/A</v>
      </c>
      <c r="N109" s="4" t="str">
        <f t="shared" si="12"/>
        <v>-000</v>
      </c>
      <c r="O109" s="4">
        <f ca="1">IF(totalElements+COUNTIF(Entities!$C$10,"*")+COUNTIF(B109:C109,"*")+COUNTIF(E109:F109,"*")=9,1,0)</f>
        <v>0</v>
      </c>
      <c r="P109" s="4">
        <f>COUNTIF($C$6:C109,C109)</f>
        <v>0</v>
      </c>
      <c r="Q109" s="4">
        <f ca="1">IF(ISNA(M109),0,COUNTIF($M$6:M109,M109))</f>
        <v>0</v>
      </c>
      <c r="R109" s="4" t="e">
        <f t="shared" ca="1" si="11"/>
        <v>#N/A</v>
      </c>
      <c r="S109" s="4">
        <f ca="1">IF(ISNA(M109),0,COUNTIF($R$6:R109,R109))</f>
        <v>0</v>
      </c>
      <c r="T109" s="4" t="e">
        <f t="shared" ca="1" si="5"/>
        <v>#N/A</v>
      </c>
    </row>
    <row r="110" spans="2:20" x14ac:dyDescent="0.3">
      <c r="B110" s="48"/>
      <c r="C110" s="48"/>
      <c r="D110" s="10" t="str">
        <f t="shared" ca="1" si="9"/>
        <v/>
      </c>
      <c r="E110" s="48"/>
      <c r="F110" s="48"/>
      <c r="G110" s="10" t="str">
        <f t="shared" ca="1" si="13"/>
        <v/>
      </c>
      <c r="I110" s="10" t="str">
        <f t="shared" ca="1" si="10"/>
        <v/>
      </c>
      <c r="K110" s="4" t="e">
        <f t="shared" ca="1" si="3"/>
        <v>#N/A</v>
      </c>
      <c r="L110" s="4" t="e">
        <f>VLOOKUP(C110,_resources!B:D,3,0)</f>
        <v>#N/A</v>
      </c>
      <c r="M110" s="4" t="e" cm="1">
        <f t="array" aca="1" ref="M110" ca="1">IF(abbrAtEnd,"",L110&amp;"-")&amp;E110&amp;"-"&amp;INDIRECT(OFFSET(element3,MATCH($C110,resources,0)-1,0))&amp;"-"&amp;INDIRECT(OFFSET(element4,MATCH($C110,resources,0)-1,0))&amp;"-"&amp;INDIRECT(OFFSET(element5,MATCH($C110,resources,0)-1,0))&amp;IF(OFFSET(element6,MATCH($C110,resources,0)-1,0)="","","-"&amp;INDIRECT(OFFSET(element6,MATCH($C110,resources,0)-1,0)))&amp;IF(abbrAtEnd,"-"&amp;L110,"")</f>
        <v>#N/A</v>
      </c>
      <c r="N110" s="4" t="str">
        <f t="shared" si="12"/>
        <v>-000</v>
      </c>
      <c r="O110" s="4">
        <f ca="1">IF(totalElements+COUNTIF(Entities!$C$10,"*")+COUNTIF(B110:C110,"*")+COUNTIF(E110:F110,"*")=9,1,0)</f>
        <v>0</v>
      </c>
      <c r="P110" s="4">
        <f>COUNTIF($C$6:C110,C110)</f>
        <v>0</v>
      </c>
      <c r="Q110" s="4">
        <f ca="1">IF(ISNA(M110),0,COUNTIF($M$6:M110,M110))</f>
        <v>0</v>
      </c>
      <c r="R110" s="4" t="e">
        <f t="shared" ca="1" si="11"/>
        <v>#N/A</v>
      </c>
      <c r="S110" s="4">
        <f ca="1">IF(ISNA(M110),0,COUNTIF($R$6:R110,R110))</f>
        <v>0</v>
      </c>
      <c r="T110" s="4" t="e">
        <f t="shared" ca="1" si="5"/>
        <v>#N/A</v>
      </c>
    </row>
    <row r="111" spans="2:20" x14ac:dyDescent="0.3">
      <c r="B111" s="48"/>
      <c r="C111" s="48"/>
      <c r="D111" s="10" t="str">
        <f t="shared" ca="1" si="9"/>
        <v/>
      </c>
      <c r="E111" s="48"/>
      <c r="F111" s="48"/>
      <c r="G111" s="10" t="str">
        <f t="shared" ca="1" si="13"/>
        <v/>
      </c>
      <c r="I111" s="10" t="str">
        <f t="shared" ca="1" si="10"/>
        <v/>
      </c>
      <c r="K111" s="4" t="e">
        <f t="shared" ca="1" si="3"/>
        <v>#N/A</v>
      </c>
      <c r="L111" s="4" t="e">
        <f>VLOOKUP(C111,_resources!B:D,3,0)</f>
        <v>#N/A</v>
      </c>
      <c r="M111" s="4" t="e" cm="1">
        <f t="array" aca="1" ref="M111" ca="1">IF(abbrAtEnd,"",L111&amp;"-")&amp;E111&amp;"-"&amp;INDIRECT(OFFSET(element3,MATCH($C111,resources,0)-1,0))&amp;"-"&amp;INDIRECT(OFFSET(element4,MATCH($C111,resources,0)-1,0))&amp;"-"&amp;INDIRECT(OFFSET(element5,MATCH($C111,resources,0)-1,0))&amp;IF(OFFSET(element6,MATCH($C111,resources,0)-1,0)="","","-"&amp;INDIRECT(OFFSET(element6,MATCH($C111,resources,0)-1,0)))&amp;IF(abbrAtEnd,"-"&amp;L111,"")</f>
        <v>#N/A</v>
      </c>
      <c r="N111" s="4" t="str">
        <f t="shared" si="12"/>
        <v>-000</v>
      </c>
      <c r="O111" s="4">
        <f ca="1">IF(totalElements+COUNTIF(Entities!$C$10,"*")+COUNTIF(B111:C111,"*")+COUNTIF(E111:F111,"*")=9,1,0)</f>
        <v>0</v>
      </c>
      <c r="P111" s="4">
        <f>COUNTIF($C$6:C111,C111)</f>
        <v>0</v>
      </c>
      <c r="Q111" s="4">
        <f ca="1">IF(ISNA(M111),0,COUNTIF($M$6:M111,M111))</f>
        <v>0</v>
      </c>
      <c r="R111" s="4" t="e">
        <f t="shared" ca="1" si="11"/>
        <v>#N/A</v>
      </c>
      <c r="S111" s="4">
        <f ca="1">IF(ISNA(M111),0,COUNTIF($R$6:R111,R111))</f>
        <v>0</v>
      </c>
      <c r="T111" s="4" t="e">
        <f t="shared" ca="1" si="5"/>
        <v>#N/A</v>
      </c>
    </row>
    <row r="112" spans="2:20" x14ac:dyDescent="0.3">
      <c r="B112" s="48"/>
      <c r="C112" s="48"/>
      <c r="D112" s="10" t="str">
        <f t="shared" ca="1" si="9"/>
        <v/>
      </c>
      <c r="E112" s="48"/>
      <c r="F112" s="48"/>
      <c r="G112" s="10" t="str">
        <f t="shared" ca="1" si="13"/>
        <v/>
      </c>
      <c r="I112" s="10" t="str">
        <f t="shared" ca="1" si="10"/>
        <v/>
      </c>
      <c r="K112" s="4" t="e">
        <f t="shared" ca="1" si="3"/>
        <v>#N/A</v>
      </c>
      <c r="L112" s="4" t="e">
        <f>VLOOKUP(C112,_resources!B:D,3,0)</f>
        <v>#N/A</v>
      </c>
      <c r="M112" s="4" t="e" cm="1">
        <f t="array" aca="1" ref="M112" ca="1">IF(abbrAtEnd,"",L112&amp;"-")&amp;E112&amp;"-"&amp;INDIRECT(OFFSET(element3,MATCH($C112,resources,0)-1,0))&amp;"-"&amp;INDIRECT(OFFSET(element4,MATCH($C112,resources,0)-1,0))&amp;"-"&amp;INDIRECT(OFFSET(element5,MATCH($C112,resources,0)-1,0))&amp;IF(OFFSET(element6,MATCH($C112,resources,0)-1,0)="","","-"&amp;INDIRECT(OFFSET(element6,MATCH($C112,resources,0)-1,0)))&amp;IF(abbrAtEnd,"-"&amp;L112,"")</f>
        <v>#N/A</v>
      </c>
      <c r="N112" s="4" t="str">
        <f t="shared" si="12"/>
        <v>-000</v>
      </c>
      <c r="O112" s="4">
        <f ca="1">IF(totalElements+COUNTIF(Entities!$C$10,"*")+COUNTIF(B112:C112,"*")+COUNTIF(E112:F112,"*")=9,1,0)</f>
        <v>0</v>
      </c>
      <c r="P112" s="4">
        <f>COUNTIF($C$6:C112,C112)</f>
        <v>0</v>
      </c>
      <c r="Q112" s="4">
        <f ca="1">IF(ISNA(M112),0,COUNTIF($M$6:M112,M112))</f>
        <v>0</v>
      </c>
      <c r="R112" s="4" t="e">
        <f t="shared" ca="1" si="11"/>
        <v>#N/A</v>
      </c>
      <c r="S112" s="4">
        <f ca="1">IF(ISNA(M112),0,COUNTIF($R$6:R112,R112))</f>
        <v>0</v>
      </c>
      <c r="T112" s="4" t="e">
        <f t="shared" ca="1" si="5"/>
        <v>#N/A</v>
      </c>
    </row>
    <row r="113" spans="2:20" x14ac:dyDescent="0.3">
      <c r="B113" s="48"/>
      <c r="C113" s="48"/>
      <c r="D113" s="10" t="str">
        <f t="shared" ref="D113:D176" ca="1" si="14">IF(ISBLANK(C113),"",OFFSET(element2,MATCH($C113,resources,0)-1,0))</f>
        <v/>
      </c>
      <c r="E113" s="48"/>
      <c r="F113" s="48"/>
      <c r="G113" s="10" t="str">
        <f t="shared" ca="1" si="13"/>
        <v/>
      </c>
      <c r="I113" s="10" t="str">
        <f t="shared" ref="I113:I176" ca="1" si="15">IF(O113,IF(LEN(G113)&gt;T113,"Name too Long (length: "&amp;LEN(G113)&amp;", max. "&amp;T113&amp;")","None"),"")</f>
        <v/>
      </c>
      <c r="K113" s="4" t="e">
        <f t="shared" ca="1" si="3"/>
        <v>#N/A</v>
      </c>
      <c r="L113" s="4" t="e">
        <f>VLOOKUP(C113,_resources!B:D,3,0)</f>
        <v>#N/A</v>
      </c>
      <c r="M113" s="4" t="e" cm="1">
        <f t="array" aca="1" ref="M113" ca="1">IF(abbrAtEnd,"",L113&amp;"-")&amp;E113&amp;"-"&amp;INDIRECT(OFFSET(element3,MATCH($C113,resources,0)-1,0))&amp;"-"&amp;INDIRECT(OFFSET(element4,MATCH($C113,resources,0)-1,0))&amp;"-"&amp;INDIRECT(OFFSET(element5,MATCH($C113,resources,0)-1,0))&amp;IF(OFFSET(element6,MATCH($C113,resources,0)-1,0)="","","-"&amp;INDIRECT(OFFSET(element6,MATCH($C113,resources,0)-1,0)))&amp;IF(abbrAtEnd,"-"&amp;L113,"")</f>
        <v>#N/A</v>
      </c>
      <c r="N113" s="4" t="str">
        <f t="shared" si="12"/>
        <v>-000</v>
      </c>
      <c r="O113" s="4">
        <f ca="1">IF(totalElements+COUNTIF(Entities!$C$10,"*")+COUNTIF(B113:C113,"*")+COUNTIF(E113:F113,"*")=9,1,0)</f>
        <v>0</v>
      </c>
      <c r="P113" s="4">
        <f>COUNTIF($C$6:C113,C113)</f>
        <v>0</v>
      </c>
      <c r="Q113" s="4">
        <f ca="1">IF(ISNA(M113),0,COUNTIF($M$6:M113,M113))</f>
        <v>0</v>
      </c>
      <c r="R113" s="4" t="e">
        <f t="shared" ca="1" si="11"/>
        <v>#N/A</v>
      </c>
      <c r="S113" s="4">
        <f ca="1">IF(ISNA(M113),0,COUNTIF($R$6:R113,R113))</f>
        <v>0</v>
      </c>
      <c r="T113" s="4" t="e">
        <f t="shared" ca="1" si="5"/>
        <v>#N/A</v>
      </c>
    </row>
    <row r="114" spans="2:20" x14ac:dyDescent="0.3">
      <c r="B114" s="48"/>
      <c r="C114" s="48"/>
      <c r="D114" s="10" t="str">
        <f t="shared" ca="1" si="14"/>
        <v/>
      </c>
      <c r="E114" s="48"/>
      <c r="F114" s="48"/>
      <c r="G114" s="10" t="str">
        <f t="shared" ca="1" si="13"/>
        <v/>
      </c>
      <c r="I114" s="10" t="str">
        <f t="shared" ca="1" si="15"/>
        <v/>
      </c>
      <c r="K114" s="4" t="e">
        <f t="shared" ca="1" si="3"/>
        <v>#N/A</v>
      </c>
      <c r="L114" s="4" t="e">
        <f>VLOOKUP(C114,_resources!B:D,3,0)</f>
        <v>#N/A</v>
      </c>
      <c r="M114" s="4" t="e" cm="1">
        <f t="array" aca="1" ref="M114" ca="1">IF(abbrAtEnd,"",L114&amp;"-")&amp;E114&amp;"-"&amp;INDIRECT(OFFSET(element3,MATCH($C114,resources,0)-1,0))&amp;"-"&amp;INDIRECT(OFFSET(element4,MATCH($C114,resources,0)-1,0))&amp;"-"&amp;INDIRECT(OFFSET(element5,MATCH($C114,resources,0)-1,0))&amp;IF(OFFSET(element6,MATCH($C114,resources,0)-1,0)="","","-"&amp;INDIRECT(OFFSET(element6,MATCH($C114,resources,0)-1,0)))&amp;IF(abbrAtEnd,"-"&amp;L114,"")</f>
        <v>#N/A</v>
      </c>
      <c r="N114" s="4" t="str">
        <f t="shared" si="12"/>
        <v>-000</v>
      </c>
      <c r="O114" s="4">
        <f ca="1">IF(totalElements+COUNTIF(Entities!$C$10,"*")+COUNTIF(B114:C114,"*")+COUNTIF(E114:F114,"*")=9,1,0)</f>
        <v>0</v>
      </c>
      <c r="P114" s="4">
        <f>COUNTIF($C$6:C114,C114)</f>
        <v>0</v>
      </c>
      <c r="Q114" s="4">
        <f ca="1">IF(ISNA(M114),0,COUNTIF($M$6:M114,M114))</f>
        <v>0</v>
      </c>
      <c r="R114" s="4" t="e">
        <f t="shared" ca="1" si="11"/>
        <v>#N/A</v>
      </c>
      <c r="S114" s="4">
        <f ca="1">IF(ISNA(M114),0,COUNTIF($R$6:R114,R114))</f>
        <v>0</v>
      </c>
      <c r="T114" s="4" t="e">
        <f t="shared" ca="1" si="5"/>
        <v>#N/A</v>
      </c>
    </row>
    <row r="115" spans="2:20" x14ac:dyDescent="0.3">
      <c r="B115" s="48"/>
      <c r="C115" s="48"/>
      <c r="D115" s="10" t="str">
        <f t="shared" ca="1" si="14"/>
        <v/>
      </c>
      <c r="E115" s="48"/>
      <c r="F115" s="48"/>
      <c r="G115" s="10" t="str">
        <f t="shared" ca="1" si="13"/>
        <v/>
      </c>
      <c r="I115" s="10" t="str">
        <f t="shared" ca="1" si="15"/>
        <v/>
      </c>
      <c r="K115" s="4" t="e">
        <f t="shared" ca="1" si="3"/>
        <v>#N/A</v>
      </c>
      <c r="L115" s="4" t="e">
        <f>VLOOKUP(C115,_resources!B:D,3,0)</f>
        <v>#N/A</v>
      </c>
      <c r="M115" s="4" t="e" cm="1">
        <f t="array" aca="1" ref="M115" ca="1">IF(abbrAtEnd,"",L115&amp;"-")&amp;E115&amp;"-"&amp;INDIRECT(OFFSET(element3,MATCH($C115,resources,0)-1,0))&amp;"-"&amp;INDIRECT(OFFSET(element4,MATCH($C115,resources,0)-1,0))&amp;"-"&amp;INDIRECT(OFFSET(element5,MATCH($C115,resources,0)-1,0))&amp;IF(OFFSET(element6,MATCH($C115,resources,0)-1,0)="","","-"&amp;INDIRECT(OFFSET(element6,MATCH($C115,resources,0)-1,0)))&amp;IF(abbrAtEnd,"-"&amp;L115,"")</f>
        <v>#N/A</v>
      </c>
      <c r="N115" s="4" t="str">
        <f t="shared" si="12"/>
        <v>-000</v>
      </c>
      <c r="O115" s="4">
        <f ca="1">IF(totalElements+COUNTIF(Entities!$C$10,"*")+COUNTIF(B115:C115,"*")+COUNTIF(E115:F115,"*")=9,1,0)</f>
        <v>0</v>
      </c>
      <c r="P115" s="4">
        <f>COUNTIF($C$6:C115,C115)</f>
        <v>0</v>
      </c>
      <c r="Q115" s="4">
        <f ca="1">IF(ISNA(M115),0,COUNTIF($M$6:M115,M115))</f>
        <v>0</v>
      </c>
      <c r="R115" s="4" t="e">
        <f t="shared" ca="1" si="11"/>
        <v>#N/A</v>
      </c>
      <c r="S115" s="4">
        <f ca="1">IF(ISNA(M115),0,COUNTIF($R$6:R115,R115))</f>
        <v>0</v>
      </c>
      <c r="T115" s="4" t="e">
        <f t="shared" ca="1" si="5"/>
        <v>#N/A</v>
      </c>
    </row>
    <row r="116" spans="2:20" x14ac:dyDescent="0.3">
      <c r="B116" s="48"/>
      <c r="C116" s="48"/>
      <c r="D116" s="10" t="str">
        <f t="shared" ca="1" si="14"/>
        <v/>
      </c>
      <c r="E116" s="48"/>
      <c r="F116" s="48"/>
      <c r="G116" s="10" t="str">
        <f t="shared" ca="1" si="13"/>
        <v/>
      </c>
      <c r="I116" s="10" t="str">
        <f t="shared" ca="1" si="15"/>
        <v/>
      </c>
      <c r="K116" s="4" t="e">
        <f t="shared" ca="1" si="3"/>
        <v>#N/A</v>
      </c>
      <c r="L116" s="4" t="e">
        <f>VLOOKUP(C116,_resources!B:D,3,0)</f>
        <v>#N/A</v>
      </c>
      <c r="M116" s="4" t="e" cm="1">
        <f t="array" aca="1" ref="M116" ca="1">IF(abbrAtEnd,"",L116&amp;"-")&amp;E116&amp;"-"&amp;INDIRECT(OFFSET(element3,MATCH($C116,resources,0)-1,0))&amp;"-"&amp;INDIRECT(OFFSET(element4,MATCH($C116,resources,0)-1,0))&amp;"-"&amp;INDIRECT(OFFSET(element5,MATCH($C116,resources,0)-1,0))&amp;IF(OFFSET(element6,MATCH($C116,resources,0)-1,0)="","","-"&amp;INDIRECT(OFFSET(element6,MATCH($C116,resources,0)-1,0)))&amp;IF(abbrAtEnd,"-"&amp;L116,"")</f>
        <v>#N/A</v>
      </c>
      <c r="N116" s="4" t="str">
        <f t="shared" si="12"/>
        <v>-000</v>
      </c>
      <c r="O116" s="4">
        <f ca="1">IF(totalElements+COUNTIF(Entities!$C$10,"*")+COUNTIF(B116:C116,"*")+COUNTIF(E116:F116,"*")=9,1,0)</f>
        <v>0</v>
      </c>
      <c r="P116" s="4">
        <f>COUNTIF($C$6:C116,C116)</f>
        <v>0</v>
      </c>
      <c r="Q116" s="4">
        <f ca="1">IF(ISNA(M116),0,COUNTIF($M$6:M116,M116))</f>
        <v>0</v>
      </c>
      <c r="R116" s="4" t="e">
        <f t="shared" ca="1" si="11"/>
        <v>#N/A</v>
      </c>
      <c r="S116" s="4">
        <f ca="1">IF(ISNA(M116),0,COUNTIF($R$6:R116,R116))</f>
        <v>0</v>
      </c>
      <c r="T116" s="4" t="e">
        <f t="shared" ca="1" si="5"/>
        <v>#N/A</v>
      </c>
    </row>
    <row r="117" spans="2:20" x14ac:dyDescent="0.3">
      <c r="B117" s="48"/>
      <c r="C117" s="48"/>
      <c r="D117" s="10" t="str">
        <f t="shared" ca="1" si="14"/>
        <v/>
      </c>
      <c r="E117" s="48"/>
      <c r="F117" s="48"/>
      <c r="G117" s="10" t="str">
        <f t="shared" ca="1" si="13"/>
        <v/>
      </c>
      <c r="I117" s="10" t="str">
        <f t="shared" ca="1" si="15"/>
        <v/>
      </c>
      <c r="K117" s="4" t="e">
        <f t="shared" ca="1" si="3"/>
        <v>#N/A</v>
      </c>
      <c r="L117" s="4" t="e">
        <f>VLOOKUP(C117,_resources!B:D,3,0)</f>
        <v>#N/A</v>
      </c>
      <c r="M117" s="4" t="e" cm="1">
        <f t="array" aca="1" ref="M117" ca="1">IF(abbrAtEnd,"",L117&amp;"-")&amp;E117&amp;"-"&amp;INDIRECT(OFFSET(element3,MATCH($C117,resources,0)-1,0))&amp;"-"&amp;INDIRECT(OFFSET(element4,MATCH($C117,resources,0)-1,0))&amp;"-"&amp;INDIRECT(OFFSET(element5,MATCH($C117,resources,0)-1,0))&amp;IF(OFFSET(element6,MATCH($C117,resources,0)-1,0)="","","-"&amp;INDIRECT(OFFSET(element6,MATCH($C117,resources,0)-1,0)))&amp;IF(abbrAtEnd,"-"&amp;L117,"")</f>
        <v>#N/A</v>
      </c>
      <c r="N117" s="4" t="str">
        <f t="shared" si="12"/>
        <v>-000</v>
      </c>
      <c r="O117" s="4">
        <f ca="1">IF(totalElements+COUNTIF(Entities!$C$10,"*")+COUNTIF(B117:C117,"*")+COUNTIF(E117:F117,"*")=9,1,0)</f>
        <v>0</v>
      </c>
      <c r="P117" s="4">
        <f>COUNTIF($C$6:C117,C117)</f>
        <v>0</v>
      </c>
      <c r="Q117" s="4">
        <f ca="1">IF(ISNA(M117),0,COUNTIF($M$6:M117,M117))</f>
        <v>0</v>
      </c>
      <c r="R117" s="4" t="e">
        <f t="shared" ca="1" si="11"/>
        <v>#N/A</v>
      </c>
      <c r="S117" s="4">
        <f ca="1">IF(ISNA(M117),0,COUNTIF($R$6:R117,R117))</f>
        <v>0</v>
      </c>
      <c r="T117" s="4" t="e">
        <f t="shared" ca="1" si="5"/>
        <v>#N/A</v>
      </c>
    </row>
    <row r="118" spans="2:20" x14ac:dyDescent="0.3">
      <c r="B118" s="48"/>
      <c r="C118" s="48"/>
      <c r="D118" s="10" t="str">
        <f t="shared" ca="1" si="14"/>
        <v/>
      </c>
      <c r="E118" s="48"/>
      <c r="F118" s="48"/>
      <c r="G118" s="10" t="str">
        <f t="shared" ca="1" si="13"/>
        <v/>
      </c>
      <c r="I118" s="10" t="str">
        <f t="shared" ca="1" si="15"/>
        <v/>
      </c>
      <c r="K118" s="4" t="e">
        <f t="shared" ca="1" si="3"/>
        <v>#N/A</v>
      </c>
      <c r="L118" s="4" t="e">
        <f>VLOOKUP(C118,_resources!B:D,3,0)</f>
        <v>#N/A</v>
      </c>
      <c r="M118" s="4" t="e" cm="1">
        <f t="array" aca="1" ref="M118" ca="1">IF(abbrAtEnd,"",L118&amp;"-")&amp;E118&amp;"-"&amp;INDIRECT(OFFSET(element3,MATCH($C118,resources,0)-1,0))&amp;"-"&amp;INDIRECT(OFFSET(element4,MATCH($C118,resources,0)-1,0))&amp;"-"&amp;INDIRECT(OFFSET(element5,MATCH($C118,resources,0)-1,0))&amp;IF(OFFSET(element6,MATCH($C118,resources,0)-1,0)="","","-"&amp;INDIRECT(OFFSET(element6,MATCH($C118,resources,0)-1,0)))&amp;IF(abbrAtEnd,"-"&amp;L118,"")</f>
        <v>#N/A</v>
      </c>
      <c r="N118" s="4" t="str">
        <f t="shared" si="12"/>
        <v>-000</v>
      </c>
      <c r="O118" s="4">
        <f ca="1">IF(totalElements+COUNTIF(Entities!$C$10,"*")+COUNTIF(B118:C118,"*")+COUNTIF(E118:F118,"*")=9,1,0)</f>
        <v>0</v>
      </c>
      <c r="P118" s="4">
        <f>COUNTIF($C$6:C118,C118)</f>
        <v>0</v>
      </c>
      <c r="Q118" s="4">
        <f ca="1">IF(ISNA(M118),0,COUNTIF($M$6:M118,M118))</f>
        <v>0</v>
      </c>
      <c r="R118" s="4" t="e">
        <f t="shared" ca="1" si="11"/>
        <v>#N/A</v>
      </c>
      <c r="S118" s="4">
        <f ca="1">IF(ISNA(M118),0,COUNTIF($R$6:R118,R118))</f>
        <v>0</v>
      </c>
      <c r="T118" s="4" t="e">
        <f t="shared" ca="1" si="5"/>
        <v>#N/A</v>
      </c>
    </row>
    <row r="119" spans="2:20" x14ac:dyDescent="0.3">
      <c r="B119" s="48"/>
      <c r="C119" s="48"/>
      <c r="D119" s="10" t="str">
        <f t="shared" ca="1" si="14"/>
        <v/>
      </c>
      <c r="E119" s="48"/>
      <c r="F119" s="48"/>
      <c r="G119" s="10" t="str">
        <f t="shared" ca="1" si="13"/>
        <v/>
      </c>
      <c r="I119" s="10" t="str">
        <f t="shared" ca="1" si="15"/>
        <v/>
      </c>
      <c r="K119" s="4" t="e">
        <f t="shared" ca="1" si="3"/>
        <v>#N/A</v>
      </c>
      <c r="L119" s="4" t="e">
        <f>VLOOKUP(C119,_resources!B:D,3,0)</f>
        <v>#N/A</v>
      </c>
      <c r="M119" s="4" t="e" cm="1">
        <f t="array" aca="1" ref="M119" ca="1">IF(abbrAtEnd,"",L119&amp;"-")&amp;E119&amp;"-"&amp;INDIRECT(OFFSET(element3,MATCH($C119,resources,0)-1,0))&amp;"-"&amp;INDIRECT(OFFSET(element4,MATCH($C119,resources,0)-1,0))&amp;"-"&amp;INDIRECT(OFFSET(element5,MATCH($C119,resources,0)-1,0))&amp;IF(OFFSET(element6,MATCH($C119,resources,0)-1,0)="","","-"&amp;INDIRECT(OFFSET(element6,MATCH($C119,resources,0)-1,0)))&amp;IF(abbrAtEnd,"-"&amp;L119,"")</f>
        <v>#N/A</v>
      </c>
      <c r="N119" s="4" t="str">
        <f t="shared" si="12"/>
        <v>-000</v>
      </c>
      <c r="O119" s="4">
        <f ca="1">IF(totalElements+COUNTIF(Entities!$C$10,"*")+COUNTIF(B119:C119,"*")+COUNTIF(E119:F119,"*")=9,1,0)</f>
        <v>0</v>
      </c>
      <c r="P119" s="4">
        <f>COUNTIF($C$6:C119,C119)</f>
        <v>0</v>
      </c>
      <c r="Q119" s="4">
        <f ca="1">IF(ISNA(M119),0,COUNTIF($M$6:M119,M119))</f>
        <v>0</v>
      </c>
      <c r="R119" s="4" t="e">
        <f t="shared" ca="1" si="11"/>
        <v>#N/A</v>
      </c>
      <c r="S119" s="4">
        <f ca="1">IF(ISNA(M119),0,COUNTIF($R$6:R119,R119))</f>
        <v>0</v>
      </c>
      <c r="T119" s="4" t="e">
        <f t="shared" ca="1" si="5"/>
        <v>#N/A</v>
      </c>
    </row>
    <row r="120" spans="2:20" x14ac:dyDescent="0.3">
      <c r="B120" s="48"/>
      <c r="C120" s="48"/>
      <c r="D120" s="10" t="str">
        <f t="shared" ca="1" si="14"/>
        <v/>
      </c>
      <c r="E120" s="48"/>
      <c r="F120" s="48"/>
      <c r="G120" s="10" t="str">
        <f t="shared" ca="1" si="13"/>
        <v/>
      </c>
      <c r="I120" s="10" t="str">
        <f t="shared" ca="1" si="15"/>
        <v/>
      </c>
      <c r="K120" s="4" t="e">
        <f t="shared" ca="1" si="3"/>
        <v>#N/A</v>
      </c>
      <c r="L120" s="4" t="e">
        <f>VLOOKUP(C120,_resources!B:D,3,0)</f>
        <v>#N/A</v>
      </c>
      <c r="M120" s="4" t="e" cm="1">
        <f t="array" aca="1" ref="M120" ca="1">IF(abbrAtEnd,"",L120&amp;"-")&amp;E120&amp;"-"&amp;INDIRECT(OFFSET(element3,MATCH($C120,resources,0)-1,0))&amp;"-"&amp;INDIRECT(OFFSET(element4,MATCH($C120,resources,0)-1,0))&amp;"-"&amp;INDIRECT(OFFSET(element5,MATCH($C120,resources,0)-1,0))&amp;IF(OFFSET(element6,MATCH($C120,resources,0)-1,0)="","","-"&amp;INDIRECT(OFFSET(element6,MATCH($C120,resources,0)-1,0)))&amp;IF(abbrAtEnd,"-"&amp;L120,"")</f>
        <v>#N/A</v>
      </c>
      <c r="N120" s="4" t="str">
        <f t="shared" si="12"/>
        <v>-000</v>
      </c>
      <c r="O120" s="4">
        <f ca="1">IF(totalElements+COUNTIF(Entities!$C$10,"*")+COUNTIF(B120:C120,"*")+COUNTIF(E120:F120,"*")=9,1,0)</f>
        <v>0</v>
      </c>
      <c r="P120" s="4">
        <f>COUNTIF($C$6:C120,C120)</f>
        <v>0</v>
      </c>
      <c r="Q120" s="4">
        <f ca="1">IF(ISNA(M120),0,COUNTIF($M$6:M120,M120))</f>
        <v>0</v>
      </c>
      <c r="R120" s="4" t="e">
        <f t="shared" ca="1" si="11"/>
        <v>#N/A</v>
      </c>
      <c r="S120" s="4">
        <f ca="1">IF(ISNA(M120),0,COUNTIF($R$6:R120,R120))</f>
        <v>0</v>
      </c>
      <c r="T120" s="4" t="e">
        <f t="shared" ca="1" si="5"/>
        <v>#N/A</v>
      </c>
    </row>
    <row r="121" spans="2:20" x14ac:dyDescent="0.3">
      <c r="B121" s="48"/>
      <c r="C121" s="48"/>
      <c r="D121" s="10" t="str">
        <f t="shared" ca="1" si="14"/>
        <v/>
      </c>
      <c r="E121" s="48"/>
      <c r="F121" s="48"/>
      <c r="G121" s="10" t="str">
        <f t="shared" ca="1" si="13"/>
        <v/>
      </c>
      <c r="I121" s="10" t="str">
        <f t="shared" ca="1" si="15"/>
        <v/>
      </c>
      <c r="K121" s="4" t="e">
        <f t="shared" ca="1" si="3"/>
        <v>#N/A</v>
      </c>
      <c r="L121" s="4" t="e">
        <f>VLOOKUP(C121,_resources!B:D,3,0)</f>
        <v>#N/A</v>
      </c>
      <c r="M121" s="4" t="e" cm="1">
        <f t="array" aca="1" ref="M121" ca="1">IF(abbrAtEnd,"",L121&amp;"-")&amp;E121&amp;"-"&amp;INDIRECT(OFFSET(element3,MATCH($C121,resources,0)-1,0))&amp;"-"&amp;INDIRECT(OFFSET(element4,MATCH($C121,resources,0)-1,0))&amp;"-"&amp;INDIRECT(OFFSET(element5,MATCH($C121,resources,0)-1,0))&amp;IF(OFFSET(element6,MATCH($C121,resources,0)-1,0)="","","-"&amp;INDIRECT(OFFSET(element6,MATCH($C121,resources,0)-1,0)))&amp;IF(abbrAtEnd,"-"&amp;L121,"")</f>
        <v>#N/A</v>
      </c>
      <c r="N121" s="4" t="str">
        <f t="shared" si="12"/>
        <v>-000</v>
      </c>
      <c r="O121" s="4">
        <f ca="1">IF(totalElements+COUNTIF(Entities!$C$10,"*")+COUNTIF(B121:C121,"*")+COUNTIF(E121:F121,"*")=9,1,0)</f>
        <v>0</v>
      </c>
      <c r="P121" s="4">
        <f>COUNTIF($C$6:C121,C121)</f>
        <v>0</v>
      </c>
      <c r="Q121" s="4">
        <f ca="1">IF(ISNA(M121),0,COUNTIF($M$6:M121,M121))</f>
        <v>0</v>
      </c>
      <c r="R121" s="4" t="e">
        <f t="shared" ca="1" si="11"/>
        <v>#N/A</v>
      </c>
      <c r="S121" s="4">
        <f ca="1">IF(ISNA(M121),0,COUNTIF($R$6:R121,R121))</f>
        <v>0</v>
      </c>
      <c r="T121" s="4" t="e">
        <f t="shared" ca="1" si="5"/>
        <v>#N/A</v>
      </c>
    </row>
    <row r="122" spans="2:20" x14ac:dyDescent="0.3">
      <c r="B122" s="48"/>
      <c r="C122" s="48"/>
      <c r="D122" s="10" t="str">
        <f t="shared" ca="1" si="14"/>
        <v/>
      </c>
      <c r="E122" s="48"/>
      <c r="F122" s="48"/>
      <c r="G122" s="10" t="str">
        <f t="shared" ca="1" si="13"/>
        <v/>
      </c>
      <c r="I122" s="10" t="str">
        <f t="shared" ca="1" si="15"/>
        <v/>
      </c>
      <c r="K122" s="4" t="e">
        <f t="shared" ca="1" si="3"/>
        <v>#N/A</v>
      </c>
      <c r="L122" s="4" t="e">
        <f>VLOOKUP(C122,_resources!B:D,3,0)</f>
        <v>#N/A</v>
      </c>
      <c r="M122" s="4" t="e" cm="1">
        <f t="array" aca="1" ref="M122" ca="1">IF(abbrAtEnd,"",L122&amp;"-")&amp;E122&amp;"-"&amp;INDIRECT(OFFSET(element3,MATCH($C122,resources,0)-1,0))&amp;"-"&amp;INDIRECT(OFFSET(element4,MATCH($C122,resources,0)-1,0))&amp;"-"&amp;INDIRECT(OFFSET(element5,MATCH($C122,resources,0)-1,0))&amp;IF(OFFSET(element6,MATCH($C122,resources,0)-1,0)="","","-"&amp;INDIRECT(OFFSET(element6,MATCH($C122,resources,0)-1,0)))&amp;IF(abbrAtEnd,"-"&amp;L122,"")</f>
        <v>#N/A</v>
      </c>
      <c r="N122" s="4" t="str">
        <f t="shared" si="12"/>
        <v>-000</v>
      </c>
      <c r="O122" s="4">
        <f ca="1">IF(totalElements+COUNTIF(Entities!$C$10,"*")+COUNTIF(B122:C122,"*")+COUNTIF(E122:F122,"*")=9,1,0)</f>
        <v>0</v>
      </c>
      <c r="P122" s="4">
        <f>COUNTIF($C$6:C122,C122)</f>
        <v>0</v>
      </c>
      <c r="Q122" s="4">
        <f ca="1">IF(ISNA(M122),0,COUNTIF($M$6:M122,M122))</f>
        <v>0</v>
      </c>
      <c r="R122" s="4" t="e">
        <f t="shared" ca="1" si="11"/>
        <v>#N/A</v>
      </c>
      <c r="S122" s="4">
        <f ca="1">IF(ISNA(M122),0,COUNTIF($R$6:R122,R122))</f>
        <v>0</v>
      </c>
      <c r="T122" s="4" t="e">
        <f t="shared" ca="1" si="5"/>
        <v>#N/A</v>
      </c>
    </row>
    <row r="123" spans="2:20" x14ac:dyDescent="0.3">
      <c r="B123" s="48"/>
      <c r="C123" s="48"/>
      <c r="D123" s="10" t="str">
        <f t="shared" ca="1" si="14"/>
        <v/>
      </c>
      <c r="E123" s="48"/>
      <c r="F123" s="48"/>
      <c r="G123" s="10" t="str">
        <f t="shared" ca="1" si="13"/>
        <v/>
      </c>
      <c r="I123" s="10" t="str">
        <f t="shared" ca="1" si="15"/>
        <v/>
      </c>
      <c r="K123" s="4" t="e">
        <f t="shared" ca="1" si="3"/>
        <v>#N/A</v>
      </c>
      <c r="L123" s="4" t="e">
        <f>VLOOKUP(C123,_resources!B:D,3,0)</f>
        <v>#N/A</v>
      </c>
      <c r="M123" s="4" t="e" cm="1">
        <f t="array" aca="1" ref="M123" ca="1">IF(abbrAtEnd,"",L123&amp;"-")&amp;E123&amp;"-"&amp;INDIRECT(OFFSET(element3,MATCH($C123,resources,0)-1,0))&amp;"-"&amp;INDIRECT(OFFSET(element4,MATCH($C123,resources,0)-1,0))&amp;"-"&amp;INDIRECT(OFFSET(element5,MATCH($C123,resources,0)-1,0))&amp;IF(OFFSET(element6,MATCH($C123,resources,0)-1,0)="","","-"&amp;INDIRECT(OFFSET(element6,MATCH($C123,resources,0)-1,0)))&amp;IF(abbrAtEnd,"-"&amp;L123,"")</f>
        <v>#N/A</v>
      </c>
      <c r="N123" s="4" t="str">
        <f t="shared" si="12"/>
        <v>-000</v>
      </c>
      <c r="O123" s="4">
        <f ca="1">IF(totalElements+COUNTIF(Entities!$C$10,"*")+COUNTIF(B123:C123,"*")+COUNTIF(E123:F123,"*")=9,1,0)</f>
        <v>0</v>
      </c>
      <c r="P123" s="4">
        <f>COUNTIF($C$6:C123,C123)</f>
        <v>0</v>
      </c>
      <c r="Q123" s="4">
        <f ca="1">IF(ISNA(M123),0,COUNTIF($M$6:M123,M123))</f>
        <v>0</v>
      </c>
      <c r="R123" s="4" t="e">
        <f t="shared" ca="1" si="11"/>
        <v>#N/A</v>
      </c>
      <c r="S123" s="4">
        <f ca="1">IF(ISNA(M123),0,COUNTIF($R$6:R123,R123))</f>
        <v>0</v>
      </c>
      <c r="T123" s="4" t="e">
        <f t="shared" ca="1" si="5"/>
        <v>#N/A</v>
      </c>
    </row>
    <row r="124" spans="2:20" x14ac:dyDescent="0.3">
      <c r="B124" s="48"/>
      <c r="C124" s="48"/>
      <c r="D124" s="10" t="str">
        <f t="shared" ca="1" si="14"/>
        <v/>
      </c>
      <c r="E124" s="48"/>
      <c r="F124" s="48"/>
      <c r="G124" s="10" t="str">
        <f t="shared" ca="1" si="13"/>
        <v/>
      </c>
      <c r="I124" s="10" t="str">
        <f t="shared" ca="1" si="15"/>
        <v/>
      </c>
      <c r="K124" s="4" t="e">
        <f t="shared" ca="1" si="3"/>
        <v>#N/A</v>
      </c>
      <c r="L124" s="4" t="e">
        <f>VLOOKUP(C124,_resources!B:D,3,0)</f>
        <v>#N/A</v>
      </c>
      <c r="M124" s="4" t="e" cm="1">
        <f t="array" aca="1" ref="M124" ca="1">IF(abbrAtEnd,"",L124&amp;"-")&amp;E124&amp;"-"&amp;INDIRECT(OFFSET(element3,MATCH($C124,resources,0)-1,0))&amp;"-"&amp;INDIRECT(OFFSET(element4,MATCH($C124,resources,0)-1,0))&amp;"-"&amp;INDIRECT(OFFSET(element5,MATCH($C124,resources,0)-1,0))&amp;IF(OFFSET(element6,MATCH($C124,resources,0)-1,0)="","","-"&amp;INDIRECT(OFFSET(element6,MATCH($C124,resources,0)-1,0)))&amp;IF(abbrAtEnd,"-"&amp;L124,"")</f>
        <v>#N/A</v>
      </c>
      <c r="N124" s="4" t="str">
        <f t="shared" si="12"/>
        <v>-000</v>
      </c>
      <c r="O124" s="4">
        <f ca="1">IF(totalElements+COUNTIF(Entities!$C$10,"*")+COUNTIF(B124:C124,"*")+COUNTIF(E124:F124,"*")=9,1,0)</f>
        <v>0</v>
      </c>
      <c r="P124" s="4">
        <f>COUNTIF($C$6:C124,C124)</f>
        <v>0</v>
      </c>
      <c r="Q124" s="4">
        <f ca="1">IF(ISNA(M124),0,COUNTIF($M$6:M124,M124))</f>
        <v>0</v>
      </c>
      <c r="R124" s="4" t="e">
        <f t="shared" ca="1" si="11"/>
        <v>#N/A</v>
      </c>
      <c r="S124" s="4">
        <f ca="1">IF(ISNA(M124),0,COUNTIF($R$6:R124,R124))</f>
        <v>0</v>
      </c>
      <c r="T124" s="4" t="e">
        <f t="shared" ca="1" si="5"/>
        <v>#N/A</v>
      </c>
    </row>
    <row r="125" spans="2:20" x14ac:dyDescent="0.3">
      <c r="B125" s="48"/>
      <c r="C125" s="48"/>
      <c r="D125" s="10" t="str">
        <f t="shared" ca="1" si="14"/>
        <v/>
      </c>
      <c r="E125" s="48"/>
      <c r="F125" s="48"/>
      <c r="G125" s="10" t="str">
        <f t="shared" ca="1" si="13"/>
        <v/>
      </c>
      <c r="I125" s="10" t="str">
        <f t="shared" ca="1" si="15"/>
        <v/>
      </c>
      <c r="K125" s="4" t="e">
        <f t="shared" ca="1" si="3"/>
        <v>#N/A</v>
      </c>
      <c r="L125" s="4" t="e">
        <f>VLOOKUP(C125,_resources!B:D,3,0)</f>
        <v>#N/A</v>
      </c>
      <c r="M125" s="4" t="e" cm="1">
        <f t="array" aca="1" ref="M125" ca="1">IF(abbrAtEnd,"",L125&amp;"-")&amp;E125&amp;"-"&amp;INDIRECT(OFFSET(element3,MATCH($C125,resources,0)-1,0))&amp;"-"&amp;INDIRECT(OFFSET(element4,MATCH($C125,resources,0)-1,0))&amp;"-"&amp;INDIRECT(OFFSET(element5,MATCH($C125,resources,0)-1,0))&amp;IF(OFFSET(element6,MATCH($C125,resources,0)-1,0)="","","-"&amp;INDIRECT(OFFSET(element6,MATCH($C125,resources,0)-1,0)))&amp;IF(abbrAtEnd,"-"&amp;L125,"")</f>
        <v>#N/A</v>
      </c>
      <c r="N125" s="4" t="str">
        <f t="shared" si="12"/>
        <v>-000</v>
      </c>
      <c r="O125" s="4">
        <f ca="1">IF(totalElements+COUNTIF(Entities!$C$10,"*")+COUNTIF(B125:C125,"*")+COUNTIF(E125:F125,"*")=9,1,0)</f>
        <v>0</v>
      </c>
      <c r="P125" s="4">
        <f>COUNTIF($C$6:C125,C125)</f>
        <v>0</v>
      </c>
      <c r="Q125" s="4">
        <f ca="1">IF(ISNA(M125),0,COUNTIF($M$6:M125,M125))</f>
        <v>0</v>
      </c>
      <c r="R125" s="4" t="e">
        <f t="shared" ca="1" si="11"/>
        <v>#N/A</v>
      </c>
      <c r="S125" s="4">
        <f ca="1">IF(ISNA(M125),0,COUNTIF($R$6:R125,R125))</f>
        <v>0</v>
      </c>
      <c r="T125" s="4" t="e">
        <f t="shared" ca="1" si="5"/>
        <v>#N/A</v>
      </c>
    </row>
    <row r="126" spans="2:20" x14ac:dyDescent="0.3">
      <c r="B126" s="48"/>
      <c r="C126" s="48"/>
      <c r="D126" s="10" t="str">
        <f t="shared" ca="1" si="14"/>
        <v/>
      </c>
      <c r="E126" s="48"/>
      <c r="F126" s="48"/>
      <c r="G126" s="10" t="str">
        <f t="shared" ca="1" si="13"/>
        <v/>
      </c>
      <c r="I126" s="10" t="str">
        <f t="shared" ca="1" si="15"/>
        <v/>
      </c>
      <c r="K126" s="4" t="e">
        <f t="shared" ca="1" si="3"/>
        <v>#N/A</v>
      </c>
      <c r="L126" s="4" t="e">
        <f>VLOOKUP(C126,_resources!B:D,3,0)</f>
        <v>#N/A</v>
      </c>
      <c r="M126" s="4" t="e" cm="1">
        <f t="array" aca="1" ref="M126" ca="1">IF(abbrAtEnd,"",L126&amp;"-")&amp;E126&amp;"-"&amp;INDIRECT(OFFSET(element3,MATCH($C126,resources,0)-1,0))&amp;"-"&amp;INDIRECT(OFFSET(element4,MATCH($C126,resources,0)-1,0))&amp;"-"&amp;INDIRECT(OFFSET(element5,MATCH($C126,resources,0)-1,0))&amp;IF(OFFSET(element6,MATCH($C126,resources,0)-1,0)="","","-"&amp;INDIRECT(OFFSET(element6,MATCH($C126,resources,0)-1,0)))&amp;IF(abbrAtEnd,"-"&amp;L126,"")</f>
        <v>#N/A</v>
      </c>
      <c r="N126" s="4" t="str">
        <f t="shared" si="12"/>
        <v>-000</v>
      </c>
      <c r="O126" s="4">
        <f ca="1">IF(totalElements+COUNTIF(Entities!$C$10,"*")+COUNTIF(B126:C126,"*")+COUNTIF(E126:F126,"*")=9,1,0)</f>
        <v>0</v>
      </c>
      <c r="P126" s="4">
        <f>COUNTIF($C$6:C126,C126)</f>
        <v>0</v>
      </c>
      <c r="Q126" s="4">
        <f ca="1">IF(ISNA(M126),0,COUNTIF($M$6:M126,M126))</f>
        <v>0</v>
      </c>
      <c r="R126" s="4" t="e">
        <f t="shared" ca="1" si="11"/>
        <v>#N/A</v>
      </c>
      <c r="S126" s="4">
        <f ca="1">IF(ISNA(M126),0,COUNTIF($R$6:R126,R126))</f>
        <v>0</v>
      </c>
      <c r="T126" s="4" t="e">
        <f t="shared" ca="1" si="5"/>
        <v>#N/A</v>
      </c>
    </row>
    <row r="127" spans="2:20" x14ac:dyDescent="0.3">
      <c r="B127" s="48"/>
      <c r="C127" s="48"/>
      <c r="D127" s="10" t="str">
        <f t="shared" ca="1" si="14"/>
        <v/>
      </c>
      <c r="E127" s="48"/>
      <c r="F127" s="48"/>
      <c r="G127" s="10" t="str">
        <f t="shared" ca="1" si="13"/>
        <v/>
      </c>
      <c r="I127" s="10" t="str">
        <f t="shared" ca="1" si="15"/>
        <v/>
      </c>
      <c r="K127" s="4" t="e">
        <f t="shared" ca="1" si="3"/>
        <v>#N/A</v>
      </c>
      <c r="L127" s="4" t="e">
        <f>VLOOKUP(C127,_resources!B:D,3,0)</f>
        <v>#N/A</v>
      </c>
      <c r="M127" s="4" t="e" cm="1">
        <f t="array" aca="1" ref="M127" ca="1">IF(abbrAtEnd,"",L127&amp;"-")&amp;E127&amp;"-"&amp;INDIRECT(OFFSET(element3,MATCH($C127,resources,0)-1,0))&amp;"-"&amp;INDIRECT(OFFSET(element4,MATCH($C127,resources,0)-1,0))&amp;"-"&amp;INDIRECT(OFFSET(element5,MATCH($C127,resources,0)-1,0))&amp;IF(OFFSET(element6,MATCH($C127,resources,0)-1,0)="","","-"&amp;INDIRECT(OFFSET(element6,MATCH($C127,resources,0)-1,0)))&amp;IF(abbrAtEnd,"-"&amp;L127,"")</f>
        <v>#N/A</v>
      </c>
      <c r="N127" s="4" t="str">
        <f t="shared" si="12"/>
        <v>-000</v>
      </c>
      <c r="O127" s="4">
        <f ca="1">IF(totalElements+COUNTIF(Entities!$C$10,"*")+COUNTIF(B127:C127,"*")+COUNTIF(E127:F127,"*")=9,1,0)</f>
        <v>0</v>
      </c>
      <c r="P127" s="4">
        <f>COUNTIF($C$6:C127,C127)</f>
        <v>0</v>
      </c>
      <c r="Q127" s="4">
        <f ca="1">IF(ISNA(M127),0,COUNTIF($M$6:M127,M127))</f>
        <v>0</v>
      </c>
      <c r="R127" s="4" t="e">
        <f t="shared" ca="1" si="11"/>
        <v>#N/A</v>
      </c>
      <c r="S127" s="4">
        <f ca="1">IF(ISNA(M127),0,COUNTIF($R$6:R127,R127))</f>
        <v>0</v>
      </c>
      <c r="T127" s="4" t="e">
        <f t="shared" ca="1" si="5"/>
        <v>#N/A</v>
      </c>
    </row>
    <row r="128" spans="2:20" x14ac:dyDescent="0.3">
      <c r="B128" s="48"/>
      <c r="C128" s="48"/>
      <c r="D128" s="10" t="str">
        <f t="shared" ca="1" si="14"/>
        <v/>
      </c>
      <c r="E128" s="48"/>
      <c r="F128" s="48"/>
      <c r="G128" s="10" t="str">
        <f t="shared" ca="1" si="13"/>
        <v/>
      </c>
      <c r="I128" s="10" t="str">
        <f t="shared" ca="1" si="15"/>
        <v/>
      </c>
      <c r="K128" s="4" t="e">
        <f t="shared" ca="1" si="3"/>
        <v>#N/A</v>
      </c>
      <c r="L128" s="4" t="e">
        <f>VLOOKUP(C128,_resources!B:D,3,0)</f>
        <v>#N/A</v>
      </c>
      <c r="M128" s="4" t="e" cm="1">
        <f t="array" aca="1" ref="M128" ca="1">IF(abbrAtEnd,"",L128&amp;"-")&amp;E128&amp;"-"&amp;INDIRECT(OFFSET(element3,MATCH($C128,resources,0)-1,0))&amp;"-"&amp;INDIRECT(OFFSET(element4,MATCH($C128,resources,0)-1,0))&amp;"-"&amp;INDIRECT(OFFSET(element5,MATCH($C128,resources,0)-1,0))&amp;IF(OFFSET(element6,MATCH($C128,resources,0)-1,0)="","","-"&amp;INDIRECT(OFFSET(element6,MATCH($C128,resources,0)-1,0)))&amp;IF(abbrAtEnd,"-"&amp;L128,"")</f>
        <v>#N/A</v>
      </c>
      <c r="N128" s="4" t="str">
        <f t="shared" si="12"/>
        <v>-000</v>
      </c>
      <c r="O128" s="4">
        <f ca="1">IF(totalElements+COUNTIF(Entities!$C$10,"*")+COUNTIF(B128:C128,"*")+COUNTIF(E128:F128,"*")=9,1,0)</f>
        <v>0</v>
      </c>
      <c r="P128" s="4">
        <f>COUNTIF($C$6:C128,C128)</f>
        <v>0</v>
      </c>
      <c r="Q128" s="4">
        <f ca="1">IF(ISNA(M128),0,COUNTIF($M$6:M128,M128))</f>
        <v>0</v>
      </c>
      <c r="R128" s="4" t="e">
        <f t="shared" ca="1" si="11"/>
        <v>#N/A</v>
      </c>
      <c r="S128" s="4">
        <f ca="1">IF(ISNA(M128),0,COUNTIF($R$6:R128,R128))</f>
        <v>0</v>
      </c>
      <c r="T128" s="4" t="e">
        <f t="shared" ca="1" si="5"/>
        <v>#N/A</v>
      </c>
    </row>
    <row r="129" spans="2:20" x14ac:dyDescent="0.3">
      <c r="B129" s="48"/>
      <c r="C129" s="48"/>
      <c r="D129" s="10" t="str">
        <f t="shared" ca="1" si="14"/>
        <v/>
      </c>
      <c r="E129" s="48"/>
      <c r="F129" s="48"/>
      <c r="G129" s="10" t="str">
        <f t="shared" ca="1" si="13"/>
        <v/>
      </c>
      <c r="I129" s="10" t="str">
        <f t="shared" ca="1" si="15"/>
        <v/>
      </c>
      <c r="K129" s="4" t="e">
        <f t="shared" ca="1" si="3"/>
        <v>#N/A</v>
      </c>
      <c r="L129" s="4" t="e">
        <f>VLOOKUP(C129,_resources!B:D,3,0)</f>
        <v>#N/A</v>
      </c>
      <c r="M129" s="4" t="e" cm="1">
        <f t="array" aca="1" ref="M129" ca="1">IF(abbrAtEnd,"",L129&amp;"-")&amp;E129&amp;"-"&amp;INDIRECT(OFFSET(element3,MATCH($C129,resources,0)-1,0))&amp;"-"&amp;INDIRECT(OFFSET(element4,MATCH($C129,resources,0)-1,0))&amp;"-"&amp;INDIRECT(OFFSET(element5,MATCH($C129,resources,0)-1,0))&amp;IF(OFFSET(element6,MATCH($C129,resources,0)-1,0)="","","-"&amp;INDIRECT(OFFSET(element6,MATCH($C129,resources,0)-1,0)))&amp;IF(abbrAtEnd,"-"&amp;L129,"")</f>
        <v>#N/A</v>
      </c>
      <c r="N129" s="4" t="str">
        <f t="shared" si="12"/>
        <v>-000</v>
      </c>
      <c r="O129" s="4">
        <f ca="1">IF(totalElements+COUNTIF(Entities!$C$10,"*")+COUNTIF(B129:C129,"*")+COUNTIF(E129:F129,"*")=9,1,0)</f>
        <v>0</v>
      </c>
      <c r="P129" s="4">
        <f>COUNTIF($C$6:C129,C129)</f>
        <v>0</v>
      </c>
      <c r="Q129" s="4">
        <f ca="1">IF(ISNA(M129),0,COUNTIF($M$6:M129,M129))</f>
        <v>0</v>
      </c>
      <c r="R129" s="4" t="e">
        <f t="shared" ca="1" si="11"/>
        <v>#N/A</v>
      </c>
      <c r="S129" s="4">
        <f ca="1">IF(ISNA(M129),0,COUNTIF($R$6:R129,R129))</f>
        <v>0</v>
      </c>
      <c r="T129" s="4" t="e">
        <f t="shared" ca="1" si="5"/>
        <v>#N/A</v>
      </c>
    </row>
    <row r="130" spans="2:20" x14ac:dyDescent="0.3">
      <c r="B130" s="48"/>
      <c r="C130" s="48"/>
      <c r="D130" s="10" t="str">
        <f t="shared" ca="1" si="14"/>
        <v/>
      </c>
      <c r="E130" s="48"/>
      <c r="F130" s="48"/>
      <c r="G130" s="10" t="str">
        <f t="shared" ca="1" si="13"/>
        <v/>
      </c>
      <c r="I130" s="10" t="str">
        <f t="shared" ca="1" si="15"/>
        <v/>
      </c>
      <c r="K130" s="4" t="e">
        <f t="shared" ca="1" si="3"/>
        <v>#N/A</v>
      </c>
      <c r="L130" s="4" t="e">
        <f>VLOOKUP(C130,_resources!B:D,3,0)</f>
        <v>#N/A</v>
      </c>
      <c r="M130" s="4" t="e" cm="1">
        <f t="array" aca="1" ref="M130" ca="1">IF(abbrAtEnd,"",L130&amp;"-")&amp;E130&amp;"-"&amp;INDIRECT(OFFSET(element3,MATCH($C130,resources,0)-1,0))&amp;"-"&amp;INDIRECT(OFFSET(element4,MATCH($C130,resources,0)-1,0))&amp;"-"&amp;INDIRECT(OFFSET(element5,MATCH($C130,resources,0)-1,0))&amp;IF(OFFSET(element6,MATCH($C130,resources,0)-1,0)="","","-"&amp;INDIRECT(OFFSET(element6,MATCH($C130,resources,0)-1,0)))&amp;IF(abbrAtEnd,"-"&amp;L130,"")</f>
        <v>#N/A</v>
      </c>
      <c r="N130" s="4" t="str">
        <f t="shared" si="12"/>
        <v>-000</v>
      </c>
      <c r="O130" s="4">
        <f ca="1">IF(totalElements+COUNTIF(Entities!$C$10,"*")+COUNTIF(B130:C130,"*")+COUNTIF(E130:F130,"*")=9,1,0)</f>
        <v>0</v>
      </c>
      <c r="P130" s="4">
        <f>COUNTIF($C$6:C130,C130)</f>
        <v>0</v>
      </c>
      <c r="Q130" s="4">
        <f ca="1">IF(ISNA(M130),0,COUNTIF($M$6:M130,M130))</f>
        <v>0</v>
      </c>
      <c r="R130" s="4" t="e">
        <f t="shared" ca="1" si="11"/>
        <v>#N/A</v>
      </c>
      <c r="S130" s="4">
        <f ca="1">IF(ISNA(M130),0,COUNTIF($R$6:R130,R130))</f>
        <v>0</v>
      </c>
      <c r="T130" s="4" t="e">
        <f t="shared" ca="1" si="5"/>
        <v>#N/A</v>
      </c>
    </row>
    <row r="131" spans="2:20" x14ac:dyDescent="0.3">
      <c r="B131" s="48"/>
      <c r="C131" s="48"/>
      <c r="D131" s="10" t="str">
        <f t="shared" ca="1" si="14"/>
        <v/>
      </c>
      <c r="E131" s="48"/>
      <c r="F131" s="48"/>
      <c r="G131" s="10" t="str">
        <f t="shared" ca="1" si="13"/>
        <v/>
      </c>
      <c r="I131" s="10" t="str">
        <f t="shared" ca="1" si="15"/>
        <v/>
      </c>
      <c r="K131" s="4" t="e">
        <f t="shared" ca="1" si="3"/>
        <v>#N/A</v>
      </c>
      <c r="L131" s="4" t="e">
        <f>VLOOKUP(C131,_resources!B:D,3,0)</f>
        <v>#N/A</v>
      </c>
      <c r="M131" s="4" t="e" cm="1">
        <f t="array" aca="1" ref="M131" ca="1">IF(abbrAtEnd,"",L131&amp;"-")&amp;E131&amp;"-"&amp;INDIRECT(OFFSET(element3,MATCH($C131,resources,0)-1,0))&amp;"-"&amp;INDIRECT(OFFSET(element4,MATCH($C131,resources,0)-1,0))&amp;"-"&amp;INDIRECT(OFFSET(element5,MATCH($C131,resources,0)-1,0))&amp;IF(OFFSET(element6,MATCH($C131,resources,0)-1,0)="","","-"&amp;INDIRECT(OFFSET(element6,MATCH($C131,resources,0)-1,0)))&amp;IF(abbrAtEnd,"-"&amp;L131,"")</f>
        <v>#N/A</v>
      </c>
      <c r="N131" s="4" t="str">
        <f t="shared" si="12"/>
        <v>-000</v>
      </c>
      <c r="O131" s="4">
        <f ca="1">IF(totalElements+COUNTIF(Entities!$C$10,"*")+COUNTIF(B131:C131,"*")+COUNTIF(E131:F131,"*")=9,1,0)</f>
        <v>0</v>
      </c>
      <c r="P131" s="4">
        <f>COUNTIF($C$6:C131,C131)</f>
        <v>0</v>
      </c>
      <c r="Q131" s="4">
        <f ca="1">IF(ISNA(M131),0,COUNTIF($M$6:M131,M131))</f>
        <v>0</v>
      </c>
      <c r="R131" s="4" t="e">
        <f t="shared" ca="1" si="11"/>
        <v>#N/A</v>
      </c>
      <c r="S131" s="4">
        <f ca="1">IF(ISNA(M131),0,COUNTIF($R$6:R131,R131))</f>
        <v>0</v>
      </c>
      <c r="T131" s="4" t="e">
        <f t="shared" ca="1" si="5"/>
        <v>#N/A</v>
      </c>
    </row>
    <row r="132" spans="2:20" x14ac:dyDescent="0.3">
      <c r="B132" s="48"/>
      <c r="C132" s="48"/>
      <c r="D132" s="10" t="str">
        <f t="shared" ca="1" si="14"/>
        <v/>
      </c>
      <c r="E132" s="48"/>
      <c r="F132" s="48"/>
      <c r="G132" s="10" t="str">
        <f t="shared" ca="1" si="13"/>
        <v/>
      </c>
      <c r="I132" s="10" t="str">
        <f t="shared" ca="1" si="15"/>
        <v/>
      </c>
      <c r="K132" s="4" t="e">
        <f t="shared" ca="1" si="3"/>
        <v>#N/A</v>
      </c>
      <c r="L132" s="4" t="e">
        <f>VLOOKUP(C132,_resources!B:D,3,0)</f>
        <v>#N/A</v>
      </c>
      <c r="M132" s="4" t="e" cm="1">
        <f t="array" aca="1" ref="M132" ca="1">IF(abbrAtEnd,"",L132&amp;"-")&amp;E132&amp;"-"&amp;INDIRECT(OFFSET(element3,MATCH($C132,resources,0)-1,0))&amp;"-"&amp;INDIRECT(OFFSET(element4,MATCH($C132,resources,0)-1,0))&amp;"-"&amp;INDIRECT(OFFSET(element5,MATCH($C132,resources,0)-1,0))&amp;IF(OFFSET(element6,MATCH($C132,resources,0)-1,0)="","","-"&amp;INDIRECT(OFFSET(element6,MATCH($C132,resources,0)-1,0)))&amp;IF(abbrAtEnd,"-"&amp;L132,"")</f>
        <v>#N/A</v>
      </c>
      <c r="N132" s="4" t="str">
        <f t="shared" si="12"/>
        <v>-000</v>
      </c>
      <c r="O132" s="4">
        <f ca="1">IF(totalElements+COUNTIF(Entities!$C$10,"*")+COUNTIF(B132:C132,"*")+COUNTIF(E132:F132,"*")=9,1,0)</f>
        <v>0</v>
      </c>
      <c r="P132" s="4">
        <f>COUNTIF($C$6:C132,C132)</f>
        <v>0</v>
      </c>
      <c r="Q132" s="4">
        <f ca="1">IF(ISNA(M132),0,COUNTIF($M$6:M132,M132))</f>
        <v>0</v>
      </c>
      <c r="R132" s="4" t="e">
        <f t="shared" ca="1" si="11"/>
        <v>#N/A</v>
      </c>
      <c r="S132" s="4">
        <f ca="1">IF(ISNA(M132),0,COUNTIF($R$6:R132,R132))</f>
        <v>0</v>
      </c>
      <c r="T132" s="4" t="e">
        <f t="shared" ca="1" si="5"/>
        <v>#N/A</v>
      </c>
    </row>
    <row r="133" spans="2:20" x14ac:dyDescent="0.3">
      <c r="B133" s="48"/>
      <c r="C133" s="48"/>
      <c r="D133" s="10" t="str">
        <f t="shared" ca="1" si="14"/>
        <v/>
      </c>
      <c r="E133" s="48"/>
      <c r="F133" s="48"/>
      <c r="G133" s="10" t="str">
        <f t="shared" ca="1" si="13"/>
        <v/>
      </c>
      <c r="I133" s="10" t="str">
        <f t="shared" ca="1" si="15"/>
        <v/>
      </c>
      <c r="K133" s="4" t="e">
        <f t="shared" ca="1" si="3"/>
        <v>#N/A</v>
      </c>
      <c r="L133" s="4" t="e">
        <f>VLOOKUP(C133,_resources!B:D,3,0)</f>
        <v>#N/A</v>
      </c>
      <c r="M133" s="4" t="e" cm="1">
        <f t="array" aca="1" ref="M133" ca="1">IF(abbrAtEnd,"",L133&amp;"-")&amp;E133&amp;"-"&amp;INDIRECT(OFFSET(element3,MATCH($C133,resources,0)-1,0))&amp;"-"&amp;INDIRECT(OFFSET(element4,MATCH($C133,resources,0)-1,0))&amp;"-"&amp;INDIRECT(OFFSET(element5,MATCH($C133,resources,0)-1,0))&amp;IF(OFFSET(element6,MATCH($C133,resources,0)-1,0)="","","-"&amp;INDIRECT(OFFSET(element6,MATCH($C133,resources,0)-1,0)))&amp;IF(abbrAtEnd,"-"&amp;L133,"")</f>
        <v>#N/A</v>
      </c>
      <c r="N133" s="4" t="str">
        <f t="shared" si="12"/>
        <v>-000</v>
      </c>
      <c r="O133" s="4">
        <f ca="1">IF(totalElements+COUNTIF(Entities!$C$10,"*")+COUNTIF(B133:C133,"*")+COUNTIF(E133:F133,"*")=9,1,0)</f>
        <v>0</v>
      </c>
      <c r="P133" s="4">
        <f>COUNTIF($C$6:C133,C133)</f>
        <v>0</v>
      </c>
      <c r="Q133" s="4">
        <f ca="1">IF(ISNA(M133),0,COUNTIF($M$6:M133,M133))</f>
        <v>0</v>
      </c>
      <c r="R133" s="4" t="e">
        <f t="shared" ca="1" si="11"/>
        <v>#N/A</v>
      </c>
      <c r="S133" s="4">
        <f ca="1">IF(ISNA(M133),0,COUNTIF($R$6:R133,R133))</f>
        <v>0</v>
      </c>
      <c r="T133" s="4" t="e">
        <f t="shared" ca="1" si="5"/>
        <v>#N/A</v>
      </c>
    </row>
    <row r="134" spans="2:20" x14ac:dyDescent="0.3">
      <c r="B134" s="48"/>
      <c r="C134" s="48"/>
      <c r="D134" s="10" t="str">
        <f t="shared" ca="1" si="14"/>
        <v/>
      </c>
      <c r="E134" s="48"/>
      <c r="F134" s="48"/>
      <c r="G134" s="10" t="str">
        <f t="shared" ca="1" si="13"/>
        <v/>
      </c>
      <c r="I134" s="10" t="str">
        <f t="shared" ca="1" si="15"/>
        <v/>
      </c>
      <c r="K134" s="4" t="e">
        <f t="shared" ca="1" si="3"/>
        <v>#N/A</v>
      </c>
      <c r="L134" s="4" t="e">
        <f>VLOOKUP(C134,_resources!B:D,3,0)</f>
        <v>#N/A</v>
      </c>
      <c r="M134" s="4" t="e" cm="1">
        <f t="array" aca="1" ref="M134" ca="1">IF(abbrAtEnd,"",L134&amp;"-")&amp;E134&amp;"-"&amp;INDIRECT(OFFSET(element3,MATCH($C134,resources,0)-1,0))&amp;"-"&amp;INDIRECT(OFFSET(element4,MATCH($C134,resources,0)-1,0))&amp;"-"&amp;INDIRECT(OFFSET(element5,MATCH($C134,resources,0)-1,0))&amp;IF(OFFSET(element6,MATCH($C134,resources,0)-1,0)="","","-"&amp;INDIRECT(OFFSET(element6,MATCH($C134,resources,0)-1,0)))&amp;IF(abbrAtEnd,"-"&amp;L134,"")</f>
        <v>#N/A</v>
      </c>
      <c r="N134" s="4" t="str">
        <f t="shared" si="12"/>
        <v>-000</v>
      </c>
      <c r="O134" s="4">
        <f ca="1">IF(totalElements+COUNTIF(Entities!$C$10,"*")+COUNTIF(B134:C134,"*")+COUNTIF(E134:F134,"*")=9,1,0)</f>
        <v>0</v>
      </c>
      <c r="P134" s="4">
        <f>COUNTIF($C$6:C134,C134)</f>
        <v>0</v>
      </c>
      <c r="Q134" s="4">
        <f ca="1">IF(ISNA(M134),0,COUNTIF($M$6:M134,M134))</f>
        <v>0</v>
      </c>
      <c r="R134" s="4" t="e">
        <f t="shared" ca="1" si="11"/>
        <v>#N/A</v>
      </c>
      <c r="S134" s="4">
        <f ca="1">IF(ISNA(M134),0,COUNTIF($R$6:R134,R134))</f>
        <v>0</v>
      </c>
      <c r="T134" s="4" t="e">
        <f t="shared" ca="1" si="5"/>
        <v>#N/A</v>
      </c>
    </row>
    <row r="135" spans="2:20" x14ac:dyDescent="0.3">
      <c r="B135" s="48"/>
      <c r="C135" s="48"/>
      <c r="D135" s="10" t="str">
        <f t="shared" ca="1" si="14"/>
        <v/>
      </c>
      <c r="E135" s="48"/>
      <c r="F135" s="48"/>
      <c r="G135" s="10" t="str">
        <f t="shared" ca="1" si="13"/>
        <v/>
      </c>
      <c r="I135" s="10" t="str">
        <f t="shared" ca="1" si="15"/>
        <v/>
      </c>
      <c r="K135" s="4" t="e">
        <f t="shared" ca="1" si="3"/>
        <v>#N/A</v>
      </c>
      <c r="L135" s="4" t="e">
        <f>VLOOKUP(C135,_resources!B:D,3,0)</f>
        <v>#N/A</v>
      </c>
      <c r="M135" s="4" t="e" cm="1">
        <f t="array" aca="1" ref="M135" ca="1">IF(abbrAtEnd,"",L135&amp;"-")&amp;E135&amp;"-"&amp;INDIRECT(OFFSET(element3,MATCH($C135,resources,0)-1,0))&amp;"-"&amp;INDIRECT(OFFSET(element4,MATCH($C135,resources,0)-1,0))&amp;"-"&amp;INDIRECT(OFFSET(element5,MATCH($C135,resources,0)-1,0))&amp;IF(OFFSET(element6,MATCH($C135,resources,0)-1,0)="","","-"&amp;INDIRECT(OFFSET(element6,MATCH($C135,resources,0)-1,0)))&amp;IF(abbrAtEnd,"-"&amp;L135,"")</f>
        <v>#N/A</v>
      </c>
      <c r="N135" s="4" t="str">
        <f t="shared" si="12"/>
        <v>-000</v>
      </c>
      <c r="O135" s="4">
        <f ca="1">IF(totalElements+COUNTIF(Entities!$C$10,"*")+COUNTIF(B135:C135,"*")+COUNTIF(E135:F135,"*")=9,1,0)</f>
        <v>0</v>
      </c>
      <c r="P135" s="4">
        <f>COUNTIF($C$6:C135,C135)</f>
        <v>0</v>
      </c>
      <c r="Q135" s="4">
        <f ca="1">IF(ISNA(M135),0,COUNTIF($M$6:M135,M135))</f>
        <v>0</v>
      </c>
      <c r="R135" s="4" t="e">
        <f t="shared" ref="R135:R198" ca="1" si="16">F135&amp;"__"&amp;M135</f>
        <v>#N/A</v>
      </c>
      <c r="S135" s="4">
        <f ca="1">IF(ISNA(M135),0,COUNTIF($R$6:R135,R135))</f>
        <v>0</v>
      </c>
      <c r="T135" s="4" t="e">
        <f t="shared" ca="1" si="5"/>
        <v>#N/A</v>
      </c>
    </row>
    <row r="136" spans="2:20" x14ac:dyDescent="0.3">
      <c r="B136" s="48"/>
      <c r="C136" s="48"/>
      <c r="D136" s="10" t="str">
        <f t="shared" ca="1" si="14"/>
        <v/>
      </c>
      <c r="E136" s="48"/>
      <c r="F136" s="48"/>
      <c r="G136" s="10" t="str">
        <f t="shared" ca="1" si="13"/>
        <v/>
      </c>
      <c r="I136" s="10" t="str">
        <f t="shared" ca="1" si="15"/>
        <v/>
      </c>
      <c r="K136" s="4" t="e">
        <f t="shared" ca="1" si="3"/>
        <v>#N/A</v>
      </c>
      <c r="L136" s="4" t="e">
        <f>VLOOKUP(C136,_resources!B:D,3,0)</f>
        <v>#N/A</v>
      </c>
      <c r="M136" s="4" t="e" cm="1">
        <f t="array" aca="1" ref="M136" ca="1">IF(abbrAtEnd,"",L136&amp;"-")&amp;E136&amp;"-"&amp;INDIRECT(OFFSET(element3,MATCH($C136,resources,0)-1,0))&amp;"-"&amp;INDIRECT(OFFSET(element4,MATCH($C136,resources,0)-1,0))&amp;"-"&amp;INDIRECT(OFFSET(element5,MATCH($C136,resources,0)-1,0))&amp;IF(OFFSET(element6,MATCH($C136,resources,0)-1,0)="","","-"&amp;INDIRECT(OFFSET(element6,MATCH($C136,resources,0)-1,0)))&amp;IF(abbrAtEnd,"-"&amp;L136,"")</f>
        <v>#N/A</v>
      </c>
      <c r="N136" s="4" t="str">
        <f t="shared" si="12"/>
        <v>-000</v>
      </c>
      <c r="O136" s="4">
        <f ca="1">IF(totalElements+COUNTIF(Entities!$C$10,"*")+COUNTIF(B136:C136,"*")+COUNTIF(E136:F136,"*")=9,1,0)</f>
        <v>0</v>
      </c>
      <c r="P136" s="4">
        <f>COUNTIF($C$6:C136,C136)</f>
        <v>0</v>
      </c>
      <c r="Q136" s="4">
        <f ca="1">IF(ISNA(M136),0,COUNTIF($M$6:M136,M136))</f>
        <v>0</v>
      </c>
      <c r="R136" s="4" t="e">
        <f t="shared" ca="1" si="16"/>
        <v>#N/A</v>
      </c>
      <c r="S136" s="4">
        <f ca="1">IF(ISNA(M136),0,COUNTIF($R$6:R136,R136))</f>
        <v>0</v>
      </c>
      <c r="T136" s="4" t="e">
        <f t="shared" ca="1" si="5"/>
        <v>#N/A</v>
      </c>
    </row>
    <row r="137" spans="2:20" x14ac:dyDescent="0.3">
      <c r="B137" s="48"/>
      <c r="C137" s="48"/>
      <c r="D137" s="10" t="str">
        <f t="shared" ca="1" si="14"/>
        <v/>
      </c>
      <c r="E137" s="48"/>
      <c r="F137" s="48"/>
      <c r="G137" s="10" t="str">
        <f t="shared" ca="1" si="13"/>
        <v/>
      </c>
      <c r="I137" s="10" t="str">
        <f t="shared" ca="1" si="15"/>
        <v/>
      </c>
      <c r="K137" s="4" t="e">
        <f t="shared" ca="1" si="3"/>
        <v>#N/A</v>
      </c>
      <c r="L137" s="4" t="e">
        <f>VLOOKUP(C137,_resources!B:D,3,0)</f>
        <v>#N/A</v>
      </c>
      <c r="M137" s="4" t="e" cm="1">
        <f t="array" aca="1" ref="M137" ca="1">IF(abbrAtEnd,"",L137&amp;"-")&amp;E137&amp;"-"&amp;INDIRECT(OFFSET(element3,MATCH($C137,resources,0)-1,0))&amp;"-"&amp;INDIRECT(OFFSET(element4,MATCH($C137,resources,0)-1,0))&amp;"-"&amp;INDIRECT(OFFSET(element5,MATCH($C137,resources,0)-1,0))&amp;IF(OFFSET(element6,MATCH($C137,resources,0)-1,0)="","","-"&amp;INDIRECT(OFFSET(element6,MATCH($C137,resources,0)-1,0)))&amp;IF(abbrAtEnd,"-"&amp;L137,"")</f>
        <v>#N/A</v>
      </c>
      <c r="N137" s="4" t="str">
        <f t="shared" si="12"/>
        <v>-000</v>
      </c>
      <c r="O137" s="4">
        <f ca="1">IF(totalElements+COUNTIF(Entities!$C$10,"*")+COUNTIF(B137:C137,"*")+COUNTIF(E137:F137,"*")=9,1,0)</f>
        <v>0</v>
      </c>
      <c r="P137" s="4">
        <f>COUNTIF($C$6:C137,C137)</f>
        <v>0</v>
      </c>
      <c r="Q137" s="4">
        <f ca="1">IF(ISNA(M137),0,COUNTIF($M$6:M137,M137))</f>
        <v>0</v>
      </c>
      <c r="R137" s="4" t="e">
        <f t="shared" ca="1" si="16"/>
        <v>#N/A</v>
      </c>
      <c r="S137" s="4">
        <f ca="1">IF(ISNA(M137),0,COUNTIF($R$6:R137,R137))</f>
        <v>0</v>
      </c>
      <c r="T137" s="4" t="e">
        <f t="shared" ca="1" si="5"/>
        <v>#N/A</v>
      </c>
    </row>
    <row r="138" spans="2:20" x14ac:dyDescent="0.3">
      <c r="B138" s="48"/>
      <c r="C138" s="48"/>
      <c r="D138" s="10" t="str">
        <f t="shared" ca="1" si="14"/>
        <v/>
      </c>
      <c r="E138" s="48"/>
      <c r="F138" s="48"/>
      <c r="G138" s="10" t="str">
        <f t="shared" ca="1" si="13"/>
        <v/>
      </c>
      <c r="I138" s="10" t="str">
        <f t="shared" ca="1" si="15"/>
        <v/>
      </c>
      <c r="K138" s="4" t="e">
        <f t="shared" ca="1" si="3"/>
        <v>#N/A</v>
      </c>
      <c r="L138" s="4" t="e">
        <f>VLOOKUP(C138,_resources!B:D,3,0)</f>
        <v>#N/A</v>
      </c>
      <c r="M138" s="4" t="e" cm="1">
        <f t="array" aca="1" ref="M138" ca="1">IF(abbrAtEnd,"",L138&amp;"-")&amp;E138&amp;"-"&amp;INDIRECT(OFFSET(element3,MATCH($C138,resources,0)-1,0))&amp;"-"&amp;INDIRECT(OFFSET(element4,MATCH($C138,resources,0)-1,0))&amp;"-"&amp;INDIRECT(OFFSET(element5,MATCH($C138,resources,0)-1,0))&amp;IF(OFFSET(element6,MATCH($C138,resources,0)-1,0)="","","-"&amp;INDIRECT(OFFSET(element6,MATCH($C138,resources,0)-1,0)))&amp;IF(abbrAtEnd,"-"&amp;L138,"")</f>
        <v>#N/A</v>
      </c>
      <c r="N138" s="4" t="str">
        <f t="shared" si="12"/>
        <v>-000</v>
      </c>
      <c r="O138" s="4">
        <f ca="1">IF(totalElements+COUNTIF(Entities!$C$10,"*")+COUNTIF(B138:C138,"*")+COUNTIF(E138:F138,"*")=9,1,0)</f>
        <v>0</v>
      </c>
      <c r="P138" s="4">
        <f>COUNTIF($C$6:C138,C138)</f>
        <v>0</v>
      </c>
      <c r="Q138" s="4">
        <f ca="1">IF(ISNA(M138),0,COUNTIF($M$6:M138,M138))</f>
        <v>0</v>
      </c>
      <c r="R138" s="4" t="e">
        <f t="shared" ca="1" si="16"/>
        <v>#N/A</v>
      </c>
      <c r="S138" s="4">
        <f ca="1">IF(ISNA(M138),0,COUNTIF($R$6:R138,R138))</f>
        <v>0</v>
      </c>
      <c r="T138" s="4" t="e">
        <f t="shared" ca="1" si="5"/>
        <v>#N/A</v>
      </c>
    </row>
    <row r="139" spans="2:20" x14ac:dyDescent="0.3">
      <c r="B139" s="48"/>
      <c r="C139" s="48"/>
      <c r="D139" s="10" t="str">
        <f t="shared" ca="1" si="14"/>
        <v/>
      </c>
      <c r="E139" s="48"/>
      <c r="F139" s="48"/>
      <c r="G139" s="10" t="str">
        <f t="shared" ca="1" si="13"/>
        <v/>
      </c>
      <c r="I139" s="10" t="str">
        <f t="shared" ca="1" si="15"/>
        <v/>
      </c>
      <c r="K139" s="4" t="e">
        <f t="shared" ca="1" si="3"/>
        <v>#N/A</v>
      </c>
      <c r="L139" s="4" t="e">
        <f>VLOOKUP(C139,_resources!B:D,3,0)</f>
        <v>#N/A</v>
      </c>
      <c r="M139" s="4" t="e" cm="1">
        <f t="array" aca="1" ref="M139" ca="1">IF(abbrAtEnd,"",L139&amp;"-")&amp;E139&amp;"-"&amp;INDIRECT(OFFSET(element3,MATCH($C139,resources,0)-1,0))&amp;"-"&amp;INDIRECT(OFFSET(element4,MATCH($C139,resources,0)-1,0))&amp;"-"&amp;INDIRECT(OFFSET(element5,MATCH($C139,resources,0)-1,0))&amp;IF(OFFSET(element6,MATCH($C139,resources,0)-1,0)="","","-"&amp;INDIRECT(OFFSET(element6,MATCH($C139,resources,0)-1,0)))&amp;IF(abbrAtEnd,"-"&amp;L139,"")</f>
        <v>#N/A</v>
      </c>
      <c r="N139" s="4" t="str">
        <f t="shared" si="12"/>
        <v>-000</v>
      </c>
      <c r="O139" s="4">
        <f ca="1">IF(totalElements+COUNTIF(Entities!$C$10,"*")+COUNTIF(B139:C139,"*")+COUNTIF(E139:F139,"*")=9,1,0)</f>
        <v>0</v>
      </c>
      <c r="P139" s="4">
        <f>COUNTIF($C$6:C139,C139)</f>
        <v>0</v>
      </c>
      <c r="Q139" s="4">
        <f ca="1">IF(ISNA(M139),0,COUNTIF($M$6:M139,M139))</f>
        <v>0</v>
      </c>
      <c r="R139" s="4" t="e">
        <f t="shared" ca="1" si="16"/>
        <v>#N/A</v>
      </c>
      <c r="S139" s="4">
        <f ca="1">IF(ISNA(M139),0,COUNTIF($R$6:R139,R139))</f>
        <v>0</v>
      </c>
      <c r="T139" s="4" t="e">
        <f t="shared" ca="1" si="5"/>
        <v>#N/A</v>
      </c>
    </row>
    <row r="140" spans="2:20" x14ac:dyDescent="0.3">
      <c r="B140" s="48"/>
      <c r="C140" s="48"/>
      <c r="D140" s="10" t="str">
        <f t="shared" ca="1" si="14"/>
        <v/>
      </c>
      <c r="E140" s="48"/>
      <c r="F140" s="48"/>
      <c r="G140" s="10" t="str">
        <f t="shared" ca="1" si="13"/>
        <v/>
      </c>
      <c r="I140" s="10" t="str">
        <f t="shared" ca="1" si="15"/>
        <v/>
      </c>
      <c r="K140" s="4" t="e">
        <f t="shared" ca="1" si="3"/>
        <v>#N/A</v>
      </c>
      <c r="L140" s="4" t="e">
        <f>VLOOKUP(C140,_resources!B:D,3,0)</f>
        <v>#N/A</v>
      </c>
      <c r="M140" s="4" t="e" cm="1">
        <f t="array" aca="1" ref="M140" ca="1">IF(abbrAtEnd,"",L140&amp;"-")&amp;E140&amp;"-"&amp;INDIRECT(OFFSET(element3,MATCH($C140,resources,0)-1,0))&amp;"-"&amp;INDIRECT(OFFSET(element4,MATCH($C140,resources,0)-1,0))&amp;"-"&amp;INDIRECT(OFFSET(element5,MATCH($C140,resources,0)-1,0))&amp;IF(OFFSET(element6,MATCH($C140,resources,0)-1,0)="","","-"&amp;INDIRECT(OFFSET(element6,MATCH($C140,resources,0)-1,0)))&amp;IF(abbrAtEnd,"-"&amp;L140,"")</f>
        <v>#N/A</v>
      </c>
      <c r="N140" s="4" t="str">
        <f t="shared" si="12"/>
        <v>-000</v>
      </c>
      <c r="O140" s="4">
        <f ca="1">IF(totalElements+COUNTIF(Entities!$C$10,"*")+COUNTIF(B140:C140,"*")+COUNTIF(E140:F140,"*")=9,1,0)</f>
        <v>0</v>
      </c>
      <c r="P140" s="4">
        <f>COUNTIF($C$6:C140,C140)</f>
        <v>0</v>
      </c>
      <c r="Q140" s="4">
        <f ca="1">IF(ISNA(M140),0,COUNTIF($M$6:M140,M140))</f>
        <v>0</v>
      </c>
      <c r="R140" s="4" t="e">
        <f t="shared" ca="1" si="16"/>
        <v>#N/A</v>
      </c>
      <c r="S140" s="4">
        <f ca="1">IF(ISNA(M140),0,COUNTIF($R$6:R140,R140))</f>
        <v>0</v>
      </c>
      <c r="T140" s="4" t="e">
        <f t="shared" ca="1" si="5"/>
        <v>#N/A</v>
      </c>
    </row>
    <row r="141" spans="2:20" x14ac:dyDescent="0.3">
      <c r="B141" s="48"/>
      <c r="C141" s="48"/>
      <c r="D141" s="10" t="str">
        <f t="shared" ca="1" si="14"/>
        <v/>
      </c>
      <c r="E141" s="48"/>
      <c r="F141" s="48"/>
      <c r="G141" s="10" t="str">
        <f t="shared" ca="1" si="13"/>
        <v/>
      </c>
      <c r="I141" s="10" t="str">
        <f t="shared" ca="1" si="15"/>
        <v/>
      </c>
      <c r="K141" s="4" t="e">
        <f t="shared" ca="1" si="3"/>
        <v>#N/A</v>
      </c>
      <c r="L141" s="4" t="e">
        <f>VLOOKUP(C141,_resources!B:D,3,0)</f>
        <v>#N/A</v>
      </c>
      <c r="M141" s="4" t="e" cm="1">
        <f t="array" aca="1" ref="M141" ca="1">IF(abbrAtEnd,"",L141&amp;"-")&amp;E141&amp;"-"&amp;INDIRECT(OFFSET(element3,MATCH($C141,resources,0)-1,0))&amp;"-"&amp;INDIRECT(OFFSET(element4,MATCH($C141,resources,0)-1,0))&amp;"-"&amp;INDIRECT(OFFSET(element5,MATCH($C141,resources,0)-1,0))&amp;IF(OFFSET(element6,MATCH($C141,resources,0)-1,0)="","","-"&amp;INDIRECT(OFFSET(element6,MATCH($C141,resources,0)-1,0)))&amp;IF(abbrAtEnd,"-"&amp;L141,"")</f>
        <v>#N/A</v>
      </c>
      <c r="N141" s="4" t="str">
        <f t="shared" si="12"/>
        <v>-000</v>
      </c>
      <c r="O141" s="4">
        <f ca="1">IF(totalElements+COUNTIF(Entities!$C$10,"*")+COUNTIF(B141:C141,"*")+COUNTIF(E141:F141,"*")=9,1,0)</f>
        <v>0</v>
      </c>
      <c r="P141" s="4">
        <f>COUNTIF($C$6:C141,C141)</f>
        <v>0</v>
      </c>
      <c r="Q141" s="4">
        <f ca="1">IF(ISNA(M141),0,COUNTIF($M$6:M141,M141))</f>
        <v>0</v>
      </c>
      <c r="R141" s="4" t="e">
        <f t="shared" ca="1" si="16"/>
        <v>#N/A</v>
      </c>
      <c r="S141" s="4">
        <f ca="1">IF(ISNA(M141),0,COUNTIF($R$6:R141,R141))</f>
        <v>0</v>
      </c>
      <c r="T141" s="4" t="e">
        <f t="shared" ca="1" si="5"/>
        <v>#N/A</v>
      </c>
    </row>
    <row r="142" spans="2:20" x14ac:dyDescent="0.3">
      <c r="B142" s="48"/>
      <c r="C142" s="48"/>
      <c r="D142" s="10" t="str">
        <f t="shared" ca="1" si="14"/>
        <v/>
      </c>
      <c r="E142" s="48"/>
      <c r="F142" s="48"/>
      <c r="G142" s="10" t="str">
        <f t="shared" ca="1" si="13"/>
        <v/>
      </c>
      <c r="I142" s="10" t="str">
        <f t="shared" ca="1" si="15"/>
        <v/>
      </c>
      <c r="K142" s="4" t="e">
        <f t="shared" ca="1" si="3"/>
        <v>#N/A</v>
      </c>
      <c r="L142" s="4" t="e">
        <f>VLOOKUP(C142,_resources!B:D,3,0)</f>
        <v>#N/A</v>
      </c>
      <c r="M142" s="4" t="e" cm="1">
        <f t="array" aca="1" ref="M142" ca="1">IF(abbrAtEnd,"",L142&amp;"-")&amp;E142&amp;"-"&amp;INDIRECT(OFFSET(element3,MATCH($C142,resources,0)-1,0))&amp;"-"&amp;INDIRECT(OFFSET(element4,MATCH($C142,resources,0)-1,0))&amp;"-"&amp;INDIRECT(OFFSET(element5,MATCH($C142,resources,0)-1,0))&amp;IF(OFFSET(element6,MATCH($C142,resources,0)-1,0)="","","-"&amp;INDIRECT(OFFSET(element6,MATCH($C142,resources,0)-1,0)))&amp;IF(abbrAtEnd,"-"&amp;L142,"")</f>
        <v>#N/A</v>
      </c>
      <c r="N142" s="4" t="str">
        <f t="shared" ref="N142:N205" si="17">IF($M$4,"-"&amp;TEXT(P142,"000"),"-"&amp;TEXT(Q142,"000"))</f>
        <v>-000</v>
      </c>
      <c r="O142" s="4">
        <f ca="1">IF(totalElements+COUNTIF(Entities!$C$10,"*")+COUNTIF(B142:C142,"*")+COUNTIF(E142:F142,"*")=9,1,0)</f>
        <v>0</v>
      </c>
      <c r="P142" s="4">
        <f>COUNTIF($C$6:C142,C142)</f>
        <v>0</v>
      </c>
      <c r="Q142" s="4">
        <f ca="1">IF(ISNA(M142),0,COUNTIF($M$6:M142,M142))</f>
        <v>0</v>
      </c>
      <c r="R142" s="4" t="e">
        <f t="shared" ca="1" si="16"/>
        <v>#N/A</v>
      </c>
      <c r="S142" s="4">
        <f ca="1">IF(ISNA(M142),0,COUNTIF($R$6:R142,R142))</f>
        <v>0</v>
      </c>
      <c r="T142" s="4" t="e">
        <f t="shared" ca="1" si="5"/>
        <v>#N/A</v>
      </c>
    </row>
    <row r="143" spans="2:20" x14ac:dyDescent="0.3">
      <c r="B143" s="48"/>
      <c r="C143" s="48"/>
      <c r="D143" s="10" t="str">
        <f t="shared" ca="1" si="14"/>
        <v/>
      </c>
      <c r="E143" s="48"/>
      <c r="F143" s="48"/>
      <c r="G143" s="10" t="str">
        <f t="shared" ca="1" si="13"/>
        <v/>
      </c>
      <c r="I143" s="10" t="str">
        <f t="shared" ca="1" si="15"/>
        <v/>
      </c>
      <c r="K143" s="4" t="e">
        <f t="shared" ca="1" si="3"/>
        <v>#N/A</v>
      </c>
      <c r="L143" s="4" t="e">
        <f>VLOOKUP(C143,_resources!B:D,3,0)</f>
        <v>#N/A</v>
      </c>
      <c r="M143" s="4" t="e" cm="1">
        <f t="array" aca="1" ref="M143" ca="1">IF(abbrAtEnd,"",L143&amp;"-")&amp;E143&amp;"-"&amp;INDIRECT(OFFSET(element3,MATCH($C143,resources,0)-1,0))&amp;"-"&amp;INDIRECT(OFFSET(element4,MATCH($C143,resources,0)-1,0))&amp;"-"&amp;INDIRECT(OFFSET(element5,MATCH($C143,resources,0)-1,0))&amp;IF(OFFSET(element6,MATCH($C143,resources,0)-1,0)="","","-"&amp;INDIRECT(OFFSET(element6,MATCH($C143,resources,0)-1,0)))&amp;IF(abbrAtEnd,"-"&amp;L143,"")</f>
        <v>#N/A</v>
      </c>
      <c r="N143" s="4" t="str">
        <f t="shared" si="17"/>
        <v>-000</v>
      </c>
      <c r="O143" s="4">
        <f ca="1">IF(totalElements+COUNTIF(Entities!$C$10,"*")+COUNTIF(B143:C143,"*")+COUNTIF(E143:F143,"*")=9,1,0)</f>
        <v>0</v>
      </c>
      <c r="P143" s="4">
        <f>COUNTIF($C$6:C143,C143)</f>
        <v>0</v>
      </c>
      <c r="Q143" s="4">
        <f ca="1">IF(ISNA(M143),0,COUNTIF($M$6:M143,M143))</f>
        <v>0</v>
      </c>
      <c r="R143" s="4" t="e">
        <f t="shared" ca="1" si="16"/>
        <v>#N/A</v>
      </c>
      <c r="S143" s="4">
        <f ca="1">IF(ISNA(M143),0,COUNTIF($R$6:R143,R143))</f>
        <v>0</v>
      </c>
      <c r="T143" s="4" t="e">
        <f t="shared" ca="1" si="5"/>
        <v>#N/A</v>
      </c>
    </row>
    <row r="144" spans="2:20" x14ac:dyDescent="0.3">
      <c r="B144" s="48"/>
      <c r="C144" s="48"/>
      <c r="D144" s="10" t="str">
        <f t="shared" ca="1" si="14"/>
        <v/>
      </c>
      <c r="E144" s="48"/>
      <c r="F144" s="48"/>
      <c r="G144" s="10" t="str">
        <f t="shared" ca="1" si="13"/>
        <v/>
      </c>
      <c r="I144" s="10" t="str">
        <f t="shared" ca="1" si="15"/>
        <v/>
      </c>
      <c r="K144" s="4" t="e">
        <f t="shared" ca="1" si="3"/>
        <v>#N/A</v>
      </c>
      <c r="L144" s="4" t="e">
        <f>VLOOKUP(C144,_resources!B:D,3,0)</f>
        <v>#N/A</v>
      </c>
      <c r="M144" s="4" t="e" cm="1">
        <f t="array" aca="1" ref="M144" ca="1">IF(abbrAtEnd,"",L144&amp;"-")&amp;E144&amp;"-"&amp;INDIRECT(OFFSET(element3,MATCH($C144,resources,0)-1,0))&amp;"-"&amp;INDIRECT(OFFSET(element4,MATCH($C144,resources,0)-1,0))&amp;"-"&amp;INDIRECT(OFFSET(element5,MATCH($C144,resources,0)-1,0))&amp;IF(OFFSET(element6,MATCH($C144,resources,0)-1,0)="","","-"&amp;INDIRECT(OFFSET(element6,MATCH($C144,resources,0)-1,0)))&amp;IF(abbrAtEnd,"-"&amp;L144,"")</f>
        <v>#N/A</v>
      </c>
      <c r="N144" s="4" t="str">
        <f t="shared" si="17"/>
        <v>-000</v>
      </c>
      <c r="O144" s="4">
        <f ca="1">IF(totalElements+COUNTIF(Entities!$C$10,"*")+COUNTIF(B144:C144,"*")+COUNTIF(E144:F144,"*")=9,1,0)</f>
        <v>0</v>
      </c>
      <c r="P144" s="4">
        <f>COUNTIF($C$6:C144,C144)</f>
        <v>0</v>
      </c>
      <c r="Q144" s="4">
        <f ca="1">IF(ISNA(M144),0,COUNTIF($M$6:M144,M144))</f>
        <v>0</v>
      </c>
      <c r="R144" s="4" t="e">
        <f t="shared" ca="1" si="16"/>
        <v>#N/A</v>
      </c>
      <c r="S144" s="4">
        <f ca="1">IF(ISNA(M144),0,COUNTIF($R$6:R144,R144))</f>
        <v>0</v>
      </c>
      <c r="T144" s="4" t="e">
        <f t="shared" ca="1" si="5"/>
        <v>#N/A</v>
      </c>
    </row>
    <row r="145" spans="2:20" x14ac:dyDescent="0.3">
      <c r="B145" s="48"/>
      <c r="C145" s="48"/>
      <c r="D145" s="10" t="str">
        <f t="shared" ca="1" si="14"/>
        <v/>
      </c>
      <c r="E145" s="48"/>
      <c r="F145" s="48"/>
      <c r="G145" s="10" t="str">
        <f t="shared" ca="1" si="13"/>
        <v/>
      </c>
      <c r="I145" s="10" t="str">
        <f t="shared" ca="1" si="15"/>
        <v/>
      </c>
      <c r="K145" s="4" t="e">
        <f t="shared" ca="1" si="3"/>
        <v>#N/A</v>
      </c>
      <c r="L145" s="4" t="e">
        <f>VLOOKUP(C145,_resources!B:D,3,0)</f>
        <v>#N/A</v>
      </c>
      <c r="M145" s="4" t="e" cm="1">
        <f t="array" aca="1" ref="M145" ca="1">IF(abbrAtEnd,"",L145&amp;"-")&amp;E145&amp;"-"&amp;INDIRECT(OFFSET(element3,MATCH($C145,resources,0)-1,0))&amp;"-"&amp;INDIRECT(OFFSET(element4,MATCH($C145,resources,0)-1,0))&amp;"-"&amp;INDIRECT(OFFSET(element5,MATCH($C145,resources,0)-1,0))&amp;IF(OFFSET(element6,MATCH($C145,resources,0)-1,0)="","","-"&amp;INDIRECT(OFFSET(element6,MATCH($C145,resources,0)-1,0)))&amp;IF(abbrAtEnd,"-"&amp;L145,"")</f>
        <v>#N/A</v>
      </c>
      <c r="N145" s="4" t="str">
        <f t="shared" si="17"/>
        <v>-000</v>
      </c>
      <c r="O145" s="4">
        <f ca="1">IF(totalElements+COUNTIF(Entities!$C$10,"*")+COUNTIF(B145:C145,"*")+COUNTIF(E145:F145,"*")=9,1,0)</f>
        <v>0</v>
      </c>
      <c r="P145" s="4">
        <f>COUNTIF($C$6:C145,C145)</f>
        <v>0</v>
      </c>
      <c r="Q145" s="4">
        <f ca="1">IF(ISNA(M145),0,COUNTIF($M$6:M145,M145))</f>
        <v>0</v>
      </c>
      <c r="R145" s="4" t="e">
        <f t="shared" ca="1" si="16"/>
        <v>#N/A</v>
      </c>
      <c r="S145" s="4">
        <f ca="1">IF(ISNA(M145),0,COUNTIF($R$6:R145,R145))</f>
        <v>0</v>
      </c>
      <c r="T145" s="4" t="e">
        <f t="shared" ca="1" si="5"/>
        <v>#N/A</v>
      </c>
    </row>
    <row r="146" spans="2:20" x14ac:dyDescent="0.3">
      <c r="B146" s="48"/>
      <c r="C146" s="48"/>
      <c r="D146" s="10" t="str">
        <f t="shared" ca="1" si="14"/>
        <v/>
      </c>
      <c r="E146" s="48"/>
      <c r="F146" s="48"/>
      <c r="G146" s="10" t="str">
        <f t="shared" ca="1" si="13"/>
        <v/>
      </c>
      <c r="I146" s="10" t="str">
        <f t="shared" ca="1" si="15"/>
        <v/>
      </c>
      <c r="K146" s="4" t="e">
        <f t="shared" ca="1" si="3"/>
        <v>#N/A</v>
      </c>
      <c r="L146" s="4" t="e">
        <f>VLOOKUP(C146,_resources!B:D,3,0)</f>
        <v>#N/A</v>
      </c>
      <c r="M146" s="4" t="e" cm="1">
        <f t="array" aca="1" ref="M146" ca="1">IF(abbrAtEnd,"",L146&amp;"-")&amp;E146&amp;"-"&amp;INDIRECT(OFFSET(element3,MATCH($C146,resources,0)-1,0))&amp;"-"&amp;INDIRECT(OFFSET(element4,MATCH($C146,resources,0)-1,0))&amp;"-"&amp;INDIRECT(OFFSET(element5,MATCH($C146,resources,0)-1,0))&amp;IF(OFFSET(element6,MATCH($C146,resources,0)-1,0)="","","-"&amp;INDIRECT(OFFSET(element6,MATCH($C146,resources,0)-1,0)))&amp;IF(abbrAtEnd,"-"&amp;L146,"")</f>
        <v>#N/A</v>
      </c>
      <c r="N146" s="4" t="str">
        <f t="shared" si="17"/>
        <v>-000</v>
      </c>
      <c r="O146" s="4">
        <f ca="1">IF(totalElements+COUNTIF(Entities!$C$10,"*")+COUNTIF(B146:C146,"*")+COUNTIF(E146:F146,"*")=9,1,0)</f>
        <v>0</v>
      </c>
      <c r="P146" s="4">
        <f>COUNTIF($C$6:C146,C146)</f>
        <v>0</v>
      </c>
      <c r="Q146" s="4">
        <f ca="1">IF(ISNA(M146),0,COUNTIF($M$6:M146,M146))</f>
        <v>0</v>
      </c>
      <c r="R146" s="4" t="e">
        <f t="shared" ca="1" si="16"/>
        <v>#N/A</v>
      </c>
      <c r="S146" s="4">
        <f ca="1">IF(ISNA(M146),0,COUNTIF($R$6:R146,R146))</f>
        <v>0</v>
      </c>
      <c r="T146" s="4" t="e">
        <f t="shared" ca="1" si="5"/>
        <v>#N/A</v>
      </c>
    </row>
    <row r="147" spans="2:20" x14ac:dyDescent="0.3">
      <c r="B147" s="48"/>
      <c r="C147" s="48"/>
      <c r="D147" s="10" t="str">
        <f t="shared" ca="1" si="14"/>
        <v/>
      </c>
      <c r="E147" s="48"/>
      <c r="F147" s="48"/>
      <c r="G147" s="10" t="str">
        <f t="shared" ref="G147:G210" ca="1" si="18">IF(O147,IF(K147="hyphenated",M147&amp;N147,IF(K147="dnsname",E147,IF(K147="alphanumeric",SUBSTITUTE(M147&amp;N147,"-",""),"unknown or missing resource structure"))),"")</f>
        <v/>
      </c>
      <c r="I147" s="10" t="str">
        <f t="shared" ca="1" si="15"/>
        <v/>
      </c>
      <c r="K147" s="4" t="e">
        <f t="shared" ca="1" si="3"/>
        <v>#N/A</v>
      </c>
      <c r="L147" s="4" t="e">
        <f>VLOOKUP(C147,_resources!B:D,3,0)</f>
        <v>#N/A</v>
      </c>
      <c r="M147" s="4" t="e" cm="1">
        <f t="array" aca="1" ref="M147" ca="1">IF(abbrAtEnd,"",L147&amp;"-")&amp;E147&amp;"-"&amp;INDIRECT(OFFSET(element3,MATCH($C147,resources,0)-1,0))&amp;"-"&amp;INDIRECT(OFFSET(element4,MATCH($C147,resources,0)-1,0))&amp;"-"&amp;INDIRECT(OFFSET(element5,MATCH($C147,resources,0)-1,0))&amp;IF(OFFSET(element6,MATCH($C147,resources,0)-1,0)="","","-"&amp;INDIRECT(OFFSET(element6,MATCH($C147,resources,0)-1,0)))&amp;IF(abbrAtEnd,"-"&amp;L147,"")</f>
        <v>#N/A</v>
      </c>
      <c r="N147" s="4" t="str">
        <f t="shared" si="17"/>
        <v>-000</v>
      </c>
      <c r="O147" s="4">
        <f ca="1">IF(totalElements+COUNTIF(Entities!$C$10,"*")+COUNTIF(B147:C147,"*")+COUNTIF(E147:F147,"*")=9,1,0)</f>
        <v>0</v>
      </c>
      <c r="P147" s="4">
        <f>COUNTIF($C$6:C147,C147)</f>
        <v>0</v>
      </c>
      <c r="Q147" s="4">
        <f ca="1">IF(ISNA(M147),0,COUNTIF($M$6:M147,M147))</f>
        <v>0</v>
      </c>
      <c r="R147" s="4" t="e">
        <f t="shared" ca="1" si="16"/>
        <v>#N/A</v>
      </c>
      <c r="S147" s="4">
        <f ca="1">IF(ISNA(M147),0,COUNTIF($R$6:R147,R147))</f>
        <v>0</v>
      </c>
      <c r="T147" s="4" t="e">
        <f t="shared" ca="1" si="5"/>
        <v>#N/A</v>
      </c>
    </row>
    <row r="148" spans="2:20" x14ac:dyDescent="0.3">
      <c r="B148" s="48"/>
      <c r="C148" s="48"/>
      <c r="D148" s="10" t="str">
        <f t="shared" ca="1" si="14"/>
        <v/>
      </c>
      <c r="E148" s="48"/>
      <c r="F148" s="48"/>
      <c r="G148" s="10" t="str">
        <f t="shared" ca="1" si="18"/>
        <v/>
      </c>
      <c r="I148" s="10" t="str">
        <f t="shared" ca="1" si="15"/>
        <v/>
      </c>
      <c r="K148" s="4" t="e">
        <f t="shared" ca="1" si="3"/>
        <v>#N/A</v>
      </c>
      <c r="L148" s="4" t="e">
        <f>VLOOKUP(C148,_resources!B:D,3,0)</f>
        <v>#N/A</v>
      </c>
      <c r="M148" s="4" t="e" cm="1">
        <f t="array" aca="1" ref="M148" ca="1">IF(abbrAtEnd,"",L148&amp;"-")&amp;E148&amp;"-"&amp;INDIRECT(OFFSET(element3,MATCH($C148,resources,0)-1,0))&amp;"-"&amp;INDIRECT(OFFSET(element4,MATCH($C148,resources,0)-1,0))&amp;"-"&amp;INDIRECT(OFFSET(element5,MATCH($C148,resources,0)-1,0))&amp;IF(OFFSET(element6,MATCH($C148,resources,0)-1,0)="","","-"&amp;INDIRECT(OFFSET(element6,MATCH($C148,resources,0)-1,0)))&amp;IF(abbrAtEnd,"-"&amp;L148,"")</f>
        <v>#N/A</v>
      </c>
      <c r="N148" s="4" t="str">
        <f t="shared" si="17"/>
        <v>-000</v>
      </c>
      <c r="O148" s="4">
        <f ca="1">IF(totalElements+COUNTIF(Entities!$C$10,"*")+COUNTIF(B148:C148,"*")+COUNTIF(E148:F148,"*")=9,1,0)</f>
        <v>0</v>
      </c>
      <c r="P148" s="4">
        <f>COUNTIF($C$6:C148,C148)</f>
        <v>0</v>
      </c>
      <c r="Q148" s="4">
        <f ca="1">IF(ISNA(M148),0,COUNTIF($M$6:M148,M148))</f>
        <v>0</v>
      </c>
      <c r="R148" s="4" t="e">
        <f t="shared" ca="1" si="16"/>
        <v>#N/A</v>
      </c>
      <c r="S148" s="4">
        <f ca="1">IF(ISNA(M148),0,COUNTIF($R$6:R148,R148))</f>
        <v>0</v>
      </c>
      <c r="T148" s="4" t="e">
        <f t="shared" ca="1" si="5"/>
        <v>#N/A</v>
      </c>
    </row>
    <row r="149" spans="2:20" x14ac:dyDescent="0.3">
      <c r="B149" s="48"/>
      <c r="C149" s="48"/>
      <c r="D149" s="10" t="str">
        <f t="shared" ca="1" si="14"/>
        <v/>
      </c>
      <c r="E149" s="48"/>
      <c r="F149" s="48"/>
      <c r="G149" s="10" t="str">
        <f t="shared" ca="1" si="18"/>
        <v/>
      </c>
      <c r="I149" s="10" t="str">
        <f t="shared" ca="1" si="15"/>
        <v/>
      </c>
      <c r="K149" s="4" t="e">
        <f t="shared" ca="1" si="3"/>
        <v>#N/A</v>
      </c>
      <c r="L149" s="4" t="e">
        <f>VLOOKUP(C149,_resources!B:D,3,0)</f>
        <v>#N/A</v>
      </c>
      <c r="M149" s="4" t="e" cm="1">
        <f t="array" aca="1" ref="M149" ca="1">IF(abbrAtEnd,"",L149&amp;"-")&amp;E149&amp;"-"&amp;INDIRECT(OFFSET(element3,MATCH($C149,resources,0)-1,0))&amp;"-"&amp;INDIRECT(OFFSET(element4,MATCH($C149,resources,0)-1,0))&amp;"-"&amp;INDIRECT(OFFSET(element5,MATCH($C149,resources,0)-1,0))&amp;IF(OFFSET(element6,MATCH($C149,resources,0)-1,0)="","","-"&amp;INDIRECT(OFFSET(element6,MATCH($C149,resources,0)-1,0)))&amp;IF(abbrAtEnd,"-"&amp;L149,"")</f>
        <v>#N/A</v>
      </c>
      <c r="N149" s="4" t="str">
        <f t="shared" si="17"/>
        <v>-000</v>
      </c>
      <c r="O149" s="4">
        <f ca="1">IF(totalElements+COUNTIF(Entities!$C$10,"*")+COUNTIF(B149:C149,"*")+COUNTIF(E149:F149,"*")=9,1,0)</f>
        <v>0</v>
      </c>
      <c r="P149" s="4">
        <f>COUNTIF($C$6:C149,C149)</f>
        <v>0</v>
      </c>
      <c r="Q149" s="4">
        <f ca="1">IF(ISNA(M149),0,COUNTIF($M$6:M149,M149))</f>
        <v>0</v>
      </c>
      <c r="R149" s="4" t="e">
        <f t="shared" ca="1" si="16"/>
        <v>#N/A</v>
      </c>
      <c r="S149" s="4">
        <f ca="1">IF(ISNA(M149),0,COUNTIF($R$6:R149,R149))</f>
        <v>0</v>
      </c>
      <c r="T149" s="4" t="e">
        <f t="shared" ca="1" si="5"/>
        <v>#N/A</v>
      </c>
    </row>
    <row r="150" spans="2:20" x14ac:dyDescent="0.3">
      <c r="B150" s="48"/>
      <c r="C150" s="48"/>
      <c r="D150" s="10" t="str">
        <f t="shared" ca="1" si="14"/>
        <v/>
      </c>
      <c r="E150" s="48"/>
      <c r="F150" s="48"/>
      <c r="G150" s="10" t="str">
        <f t="shared" ca="1" si="18"/>
        <v/>
      </c>
      <c r="I150" s="10" t="str">
        <f t="shared" ca="1" si="15"/>
        <v/>
      </c>
      <c r="K150" s="4" t="e">
        <f t="shared" ca="1" si="3"/>
        <v>#N/A</v>
      </c>
      <c r="L150" s="4" t="e">
        <f>VLOOKUP(C150,_resources!B:D,3,0)</f>
        <v>#N/A</v>
      </c>
      <c r="M150" s="4" t="e" cm="1">
        <f t="array" aca="1" ref="M150" ca="1">IF(abbrAtEnd,"",L150&amp;"-")&amp;E150&amp;"-"&amp;INDIRECT(OFFSET(element3,MATCH($C150,resources,0)-1,0))&amp;"-"&amp;INDIRECT(OFFSET(element4,MATCH($C150,resources,0)-1,0))&amp;"-"&amp;INDIRECT(OFFSET(element5,MATCH($C150,resources,0)-1,0))&amp;IF(OFFSET(element6,MATCH($C150,resources,0)-1,0)="","","-"&amp;INDIRECT(OFFSET(element6,MATCH($C150,resources,0)-1,0)))&amp;IF(abbrAtEnd,"-"&amp;L150,"")</f>
        <v>#N/A</v>
      </c>
      <c r="N150" s="4" t="str">
        <f t="shared" si="17"/>
        <v>-000</v>
      </c>
      <c r="O150" s="4">
        <f ca="1">IF(totalElements+COUNTIF(Entities!$C$10,"*")+COUNTIF(B150:C150,"*")+COUNTIF(E150:F150,"*")=9,1,0)</f>
        <v>0</v>
      </c>
      <c r="P150" s="4">
        <f>COUNTIF($C$6:C150,C150)</f>
        <v>0</v>
      </c>
      <c r="Q150" s="4">
        <f ca="1">IF(ISNA(M150),0,COUNTIF($M$6:M150,M150))</f>
        <v>0</v>
      </c>
      <c r="R150" s="4" t="e">
        <f t="shared" ca="1" si="16"/>
        <v>#N/A</v>
      </c>
      <c r="S150" s="4">
        <f ca="1">IF(ISNA(M150),0,COUNTIF($R$6:R150,R150))</f>
        <v>0</v>
      </c>
      <c r="T150" s="4" t="e">
        <f t="shared" ca="1" si="5"/>
        <v>#N/A</v>
      </c>
    </row>
    <row r="151" spans="2:20" x14ac:dyDescent="0.3">
      <c r="B151" s="48"/>
      <c r="C151" s="48"/>
      <c r="D151" s="10" t="str">
        <f t="shared" ca="1" si="14"/>
        <v/>
      </c>
      <c r="E151" s="48"/>
      <c r="F151" s="48"/>
      <c r="G151" s="10" t="str">
        <f t="shared" ca="1" si="18"/>
        <v/>
      </c>
      <c r="I151" s="10" t="str">
        <f t="shared" ca="1" si="15"/>
        <v/>
      </c>
      <c r="K151" s="4" t="e">
        <f t="shared" ca="1" si="3"/>
        <v>#N/A</v>
      </c>
      <c r="L151" s="4" t="e">
        <f>VLOOKUP(C151,_resources!B:D,3,0)</f>
        <v>#N/A</v>
      </c>
      <c r="M151" s="4" t="e" cm="1">
        <f t="array" aca="1" ref="M151" ca="1">IF(abbrAtEnd,"",L151&amp;"-")&amp;E151&amp;"-"&amp;INDIRECT(OFFSET(element3,MATCH($C151,resources,0)-1,0))&amp;"-"&amp;INDIRECT(OFFSET(element4,MATCH($C151,resources,0)-1,0))&amp;"-"&amp;INDIRECT(OFFSET(element5,MATCH($C151,resources,0)-1,0))&amp;IF(OFFSET(element6,MATCH($C151,resources,0)-1,0)="","","-"&amp;INDIRECT(OFFSET(element6,MATCH($C151,resources,0)-1,0)))&amp;IF(abbrAtEnd,"-"&amp;L151,"")</f>
        <v>#N/A</v>
      </c>
      <c r="N151" s="4" t="str">
        <f t="shared" si="17"/>
        <v>-000</v>
      </c>
      <c r="O151" s="4">
        <f ca="1">IF(totalElements+COUNTIF(Entities!$C$10,"*")+COUNTIF(B151:C151,"*")+COUNTIF(E151:F151,"*")=9,1,0)</f>
        <v>0</v>
      </c>
      <c r="P151" s="4">
        <f>COUNTIF($C$6:C151,C151)</f>
        <v>0</v>
      </c>
      <c r="Q151" s="4">
        <f ca="1">IF(ISNA(M151),0,COUNTIF($M$6:M151,M151))</f>
        <v>0</v>
      </c>
      <c r="R151" s="4" t="e">
        <f t="shared" ca="1" si="16"/>
        <v>#N/A</v>
      </c>
      <c r="S151" s="4">
        <f ca="1">IF(ISNA(M151),0,COUNTIF($R$6:R151,R151))</f>
        <v>0</v>
      </c>
      <c r="T151" s="4" t="e">
        <f t="shared" ca="1" si="5"/>
        <v>#N/A</v>
      </c>
    </row>
    <row r="152" spans="2:20" x14ac:dyDescent="0.3">
      <c r="B152" s="48"/>
      <c r="C152" s="48"/>
      <c r="D152" s="10" t="str">
        <f t="shared" ca="1" si="14"/>
        <v/>
      </c>
      <c r="E152" s="48"/>
      <c r="F152" s="48"/>
      <c r="G152" s="10" t="str">
        <f t="shared" ca="1" si="18"/>
        <v/>
      </c>
      <c r="I152" s="10" t="str">
        <f t="shared" ca="1" si="15"/>
        <v/>
      </c>
      <c r="K152" s="4" t="e">
        <f t="shared" ca="1" si="3"/>
        <v>#N/A</v>
      </c>
      <c r="L152" s="4" t="e">
        <f>VLOOKUP(C152,_resources!B:D,3,0)</f>
        <v>#N/A</v>
      </c>
      <c r="M152" s="4" t="e" cm="1">
        <f t="array" aca="1" ref="M152" ca="1">IF(abbrAtEnd,"",L152&amp;"-")&amp;E152&amp;"-"&amp;INDIRECT(OFFSET(element3,MATCH($C152,resources,0)-1,0))&amp;"-"&amp;INDIRECT(OFFSET(element4,MATCH($C152,resources,0)-1,0))&amp;"-"&amp;INDIRECT(OFFSET(element5,MATCH($C152,resources,0)-1,0))&amp;IF(OFFSET(element6,MATCH($C152,resources,0)-1,0)="","","-"&amp;INDIRECT(OFFSET(element6,MATCH($C152,resources,0)-1,0)))&amp;IF(abbrAtEnd,"-"&amp;L152,"")</f>
        <v>#N/A</v>
      </c>
      <c r="N152" s="4" t="str">
        <f t="shared" si="17"/>
        <v>-000</v>
      </c>
      <c r="O152" s="4">
        <f ca="1">IF(totalElements+COUNTIF(Entities!$C$10,"*")+COUNTIF(B152:C152,"*")+COUNTIF(E152:F152,"*")=9,1,0)</f>
        <v>0</v>
      </c>
      <c r="P152" s="4">
        <f>COUNTIF($C$6:C152,C152)</f>
        <v>0</v>
      </c>
      <c r="Q152" s="4">
        <f ca="1">IF(ISNA(M152),0,COUNTIF($M$6:M152,M152))</f>
        <v>0</v>
      </c>
      <c r="R152" s="4" t="e">
        <f t="shared" ca="1" si="16"/>
        <v>#N/A</v>
      </c>
      <c r="S152" s="4">
        <f ca="1">IF(ISNA(M152),0,COUNTIF($R$6:R152,R152))</f>
        <v>0</v>
      </c>
      <c r="T152" s="4" t="e">
        <f t="shared" ca="1" si="5"/>
        <v>#N/A</v>
      </c>
    </row>
    <row r="153" spans="2:20" x14ac:dyDescent="0.3">
      <c r="B153" s="48"/>
      <c r="C153" s="48"/>
      <c r="D153" s="10" t="str">
        <f t="shared" ca="1" si="14"/>
        <v/>
      </c>
      <c r="E153" s="48"/>
      <c r="F153" s="48"/>
      <c r="G153" s="10" t="str">
        <f t="shared" ca="1" si="18"/>
        <v/>
      </c>
      <c r="I153" s="10" t="str">
        <f t="shared" ca="1" si="15"/>
        <v/>
      </c>
      <c r="K153" s="4" t="e">
        <f t="shared" ca="1" si="3"/>
        <v>#N/A</v>
      </c>
      <c r="L153" s="4" t="e">
        <f>VLOOKUP(C153,_resources!B:D,3,0)</f>
        <v>#N/A</v>
      </c>
      <c r="M153" s="4" t="e" cm="1">
        <f t="array" aca="1" ref="M153" ca="1">IF(abbrAtEnd,"",L153&amp;"-")&amp;E153&amp;"-"&amp;INDIRECT(OFFSET(element3,MATCH($C153,resources,0)-1,0))&amp;"-"&amp;INDIRECT(OFFSET(element4,MATCH($C153,resources,0)-1,0))&amp;"-"&amp;INDIRECT(OFFSET(element5,MATCH($C153,resources,0)-1,0))&amp;IF(OFFSET(element6,MATCH($C153,resources,0)-1,0)="","","-"&amp;INDIRECT(OFFSET(element6,MATCH($C153,resources,0)-1,0)))&amp;IF(abbrAtEnd,"-"&amp;L153,"")</f>
        <v>#N/A</v>
      </c>
      <c r="N153" s="4" t="str">
        <f t="shared" si="17"/>
        <v>-000</v>
      </c>
      <c r="O153" s="4">
        <f ca="1">IF(totalElements+COUNTIF(Entities!$C$10,"*")+COUNTIF(B153:C153,"*")+COUNTIF(E153:F153,"*")=9,1,0)</f>
        <v>0</v>
      </c>
      <c r="P153" s="4">
        <f>COUNTIF($C$6:C153,C153)</f>
        <v>0</v>
      </c>
      <c r="Q153" s="4">
        <f ca="1">IF(ISNA(M153),0,COUNTIF($M$6:M153,M153))</f>
        <v>0</v>
      </c>
      <c r="R153" s="4" t="e">
        <f t="shared" ca="1" si="16"/>
        <v>#N/A</v>
      </c>
      <c r="S153" s="4">
        <f ca="1">IF(ISNA(M153),0,COUNTIF($R$6:R153,R153))</f>
        <v>0</v>
      </c>
      <c r="T153" s="4" t="e">
        <f t="shared" ca="1" si="5"/>
        <v>#N/A</v>
      </c>
    </row>
    <row r="154" spans="2:20" x14ac:dyDescent="0.3">
      <c r="B154" s="48"/>
      <c r="C154" s="48"/>
      <c r="D154" s="10" t="str">
        <f t="shared" ca="1" si="14"/>
        <v/>
      </c>
      <c r="E154" s="48"/>
      <c r="F154" s="48"/>
      <c r="G154" s="10" t="str">
        <f t="shared" ca="1" si="18"/>
        <v/>
      </c>
      <c r="I154" s="10" t="str">
        <f t="shared" ca="1" si="15"/>
        <v/>
      </c>
      <c r="K154" s="4" t="e">
        <f t="shared" ca="1" si="3"/>
        <v>#N/A</v>
      </c>
      <c r="L154" s="4" t="e">
        <f>VLOOKUP(C154,_resources!B:D,3,0)</f>
        <v>#N/A</v>
      </c>
      <c r="M154" s="4" t="e" cm="1">
        <f t="array" aca="1" ref="M154" ca="1">IF(abbrAtEnd,"",L154&amp;"-")&amp;E154&amp;"-"&amp;INDIRECT(OFFSET(element3,MATCH($C154,resources,0)-1,0))&amp;"-"&amp;INDIRECT(OFFSET(element4,MATCH($C154,resources,0)-1,0))&amp;"-"&amp;INDIRECT(OFFSET(element5,MATCH($C154,resources,0)-1,0))&amp;IF(OFFSET(element6,MATCH($C154,resources,0)-1,0)="","","-"&amp;INDIRECT(OFFSET(element6,MATCH($C154,resources,0)-1,0)))&amp;IF(abbrAtEnd,"-"&amp;L154,"")</f>
        <v>#N/A</v>
      </c>
      <c r="N154" s="4" t="str">
        <f t="shared" si="17"/>
        <v>-000</v>
      </c>
      <c r="O154" s="4">
        <f ca="1">IF(totalElements+COUNTIF(Entities!$C$10,"*")+COUNTIF(B154:C154,"*")+COUNTIF(E154:F154,"*")=9,1,0)</f>
        <v>0</v>
      </c>
      <c r="P154" s="4">
        <f>COUNTIF($C$6:C154,C154)</f>
        <v>0</v>
      </c>
      <c r="Q154" s="4">
        <f ca="1">IF(ISNA(M154),0,COUNTIF($M$6:M154,M154))</f>
        <v>0</v>
      </c>
      <c r="R154" s="4" t="e">
        <f t="shared" ca="1" si="16"/>
        <v>#N/A</v>
      </c>
      <c r="S154" s="4">
        <f ca="1">IF(ISNA(M154),0,COUNTIF($R$6:R154,R154))</f>
        <v>0</v>
      </c>
      <c r="T154" s="4" t="e">
        <f t="shared" ca="1" si="5"/>
        <v>#N/A</v>
      </c>
    </row>
    <row r="155" spans="2:20" x14ac:dyDescent="0.3">
      <c r="B155" s="48"/>
      <c r="C155" s="48"/>
      <c r="D155" s="10" t="str">
        <f t="shared" ca="1" si="14"/>
        <v/>
      </c>
      <c r="E155" s="48"/>
      <c r="F155" s="48"/>
      <c r="G155" s="10" t="str">
        <f t="shared" ca="1" si="18"/>
        <v/>
      </c>
      <c r="I155" s="10" t="str">
        <f t="shared" ca="1" si="15"/>
        <v/>
      </c>
      <c r="K155" s="4" t="e">
        <f t="shared" ca="1" si="3"/>
        <v>#N/A</v>
      </c>
      <c r="L155" s="4" t="e">
        <f>VLOOKUP(C155,_resources!B:D,3,0)</f>
        <v>#N/A</v>
      </c>
      <c r="M155" s="4" t="e" cm="1">
        <f t="array" aca="1" ref="M155" ca="1">IF(abbrAtEnd,"",L155&amp;"-")&amp;E155&amp;"-"&amp;INDIRECT(OFFSET(element3,MATCH($C155,resources,0)-1,0))&amp;"-"&amp;INDIRECT(OFFSET(element4,MATCH($C155,resources,0)-1,0))&amp;"-"&amp;INDIRECT(OFFSET(element5,MATCH($C155,resources,0)-1,0))&amp;IF(OFFSET(element6,MATCH($C155,resources,0)-1,0)="","","-"&amp;INDIRECT(OFFSET(element6,MATCH($C155,resources,0)-1,0)))&amp;IF(abbrAtEnd,"-"&amp;L155,"")</f>
        <v>#N/A</v>
      </c>
      <c r="N155" s="4" t="str">
        <f t="shared" si="17"/>
        <v>-000</v>
      </c>
      <c r="O155" s="4">
        <f ca="1">IF(totalElements+COUNTIF(Entities!$C$10,"*")+COUNTIF(B155:C155,"*")+COUNTIF(E155:F155,"*")=9,1,0)</f>
        <v>0</v>
      </c>
      <c r="P155" s="4">
        <f>COUNTIF($C$6:C155,C155)</f>
        <v>0</v>
      </c>
      <c r="Q155" s="4">
        <f ca="1">IF(ISNA(M155),0,COUNTIF($M$6:M155,M155))</f>
        <v>0</v>
      </c>
      <c r="R155" s="4" t="e">
        <f t="shared" ca="1" si="16"/>
        <v>#N/A</v>
      </c>
      <c r="S155" s="4">
        <f ca="1">IF(ISNA(M155),0,COUNTIF($R$6:R155,R155))</f>
        <v>0</v>
      </c>
      <c r="T155" s="4" t="e">
        <f t="shared" ca="1" si="5"/>
        <v>#N/A</v>
      </c>
    </row>
    <row r="156" spans="2:20" x14ac:dyDescent="0.3">
      <c r="B156" s="48"/>
      <c r="C156" s="48"/>
      <c r="D156" s="10" t="str">
        <f t="shared" ca="1" si="14"/>
        <v/>
      </c>
      <c r="E156" s="48"/>
      <c r="F156" s="48"/>
      <c r="G156" s="10" t="str">
        <f t="shared" ca="1" si="18"/>
        <v/>
      </c>
      <c r="I156" s="10" t="str">
        <f t="shared" ca="1" si="15"/>
        <v/>
      </c>
      <c r="K156" s="4" t="e">
        <f t="shared" ca="1" si="3"/>
        <v>#N/A</v>
      </c>
      <c r="L156" s="4" t="e">
        <f>VLOOKUP(C156,_resources!B:D,3,0)</f>
        <v>#N/A</v>
      </c>
      <c r="M156" s="4" t="e" cm="1">
        <f t="array" aca="1" ref="M156" ca="1">IF(abbrAtEnd,"",L156&amp;"-")&amp;E156&amp;"-"&amp;INDIRECT(OFFSET(element3,MATCH($C156,resources,0)-1,0))&amp;"-"&amp;INDIRECT(OFFSET(element4,MATCH($C156,resources,0)-1,0))&amp;"-"&amp;INDIRECT(OFFSET(element5,MATCH($C156,resources,0)-1,0))&amp;IF(OFFSET(element6,MATCH($C156,resources,0)-1,0)="","","-"&amp;INDIRECT(OFFSET(element6,MATCH($C156,resources,0)-1,0)))&amp;IF(abbrAtEnd,"-"&amp;L156,"")</f>
        <v>#N/A</v>
      </c>
      <c r="N156" s="4" t="str">
        <f t="shared" si="17"/>
        <v>-000</v>
      </c>
      <c r="O156" s="4">
        <f ca="1">IF(totalElements+COUNTIF(Entities!$C$10,"*")+COUNTIF(B156:C156,"*")+COUNTIF(E156:F156,"*")=9,1,0)</f>
        <v>0</v>
      </c>
      <c r="P156" s="4">
        <f>COUNTIF($C$6:C156,C156)</f>
        <v>0</v>
      </c>
      <c r="Q156" s="4">
        <f ca="1">IF(ISNA(M156),0,COUNTIF($M$6:M156,M156))</f>
        <v>0</v>
      </c>
      <c r="R156" s="4" t="e">
        <f t="shared" ca="1" si="16"/>
        <v>#N/A</v>
      </c>
      <c r="S156" s="4">
        <f ca="1">IF(ISNA(M156),0,COUNTIF($R$6:R156,R156))</f>
        <v>0</v>
      </c>
      <c r="T156" s="4" t="e">
        <f t="shared" ca="1" si="5"/>
        <v>#N/A</v>
      </c>
    </row>
    <row r="157" spans="2:20" x14ac:dyDescent="0.3">
      <c r="B157" s="48"/>
      <c r="C157" s="48"/>
      <c r="D157" s="10" t="str">
        <f t="shared" ca="1" si="14"/>
        <v/>
      </c>
      <c r="E157" s="48"/>
      <c r="F157" s="48"/>
      <c r="G157" s="10" t="str">
        <f t="shared" ca="1" si="18"/>
        <v/>
      </c>
      <c r="I157" s="10" t="str">
        <f t="shared" ca="1" si="15"/>
        <v/>
      </c>
      <c r="K157" s="4" t="e">
        <f t="shared" ca="1" si="3"/>
        <v>#N/A</v>
      </c>
      <c r="L157" s="4" t="e">
        <f>VLOOKUP(C157,_resources!B:D,3,0)</f>
        <v>#N/A</v>
      </c>
      <c r="M157" s="4" t="e" cm="1">
        <f t="array" aca="1" ref="M157" ca="1">IF(abbrAtEnd,"",L157&amp;"-")&amp;E157&amp;"-"&amp;INDIRECT(OFFSET(element3,MATCH($C157,resources,0)-1,0))&amp;"-"&amp;INDIRECT(OFFSET(element4,MATCH($C157,resources,0)-1,0))&amp;"-"&amp;INDIRECT(OFFSET(element5,MATCH($C157,resources,0)-1,0))&amp;IF(OFFSET(element6,MATCH($C157,resources,0)-1,0)="","","-"&amp;INDIRECT(OFFSET(element6,MATCH($C157,resources,0)-1,0)))&amp;IF(abbrAtEnd,"-"&amp;L157,"")</f>
        <v>#N/A</v>
      </c>
      <c r="N157" s="4" t="str">
        <f t="shared" si="17"/>
        <v>-000</v>
      </c>
      <c r="O157" s="4">
        <f ca="1">IF(totalElements+COUNTIF(Entities!$C$10,"*")+COUNTIF(B157:C157,"*")+COUNTIF(E157:F157,"*")=9,1,0)</f>
        <v>0</v>
      </c>
      <c r="P157" s="4">
        <f>COUNTIF($C$6:C157,C157)</f>
        <v>0</v>
      </c>
      <c r="Q157" s="4">
        <f ca="1">IF(ISNA(M157),0,COUNTIF($M$6:M157,M157))</f>
        <v>0</v>
      </c>
      <c r="R157" s="4" t="e">
        <f t="shared" ca="1" si="16"/>
        <v>#N/A</v>
      </c>
      <c r="S157" s="4">
        <f ca="1">IF(ISNA(M157),0,COUNTIF($R$6:R157,R157))</f>
        <v>0</v>
      </c>
      <c r="T157" s="4" t="e">
        <f t="shared" ca="1" si="5"/>
        <v>#N/A</v>
      </c>
    </row>
    <row r="158" spans="2:20" x14ac:dyDescent="0.3">
      <c r="B158" s="48"/>
      <c r="C158" s="48"/>
      <c r="D158" s="10" t="str">
        <f t="shared" ca="1" si="14"/>
        <v/>
      </c>
      <c r="E158" s="48"/>
      <c r="F158" s="48"/>
      <c r="G158" s="10" t="str">
        <f t="shared" ca="1" si="18"/>
        <v/>
      </c>
      <c r="I158" s="10" t="str">
        <f t="shared" ca="1" si="15"/>
        <v/>
      </c>
      <c r="K158" s="4" t="e">
        <f t="shared" ca="1" si="3"/>
        <v>#N/A</v>
      </c>
      <c r="L158" s="4" t="e">
        <f>VLOOKUP(C158,_resources!B:D,3,0)</f>
        <v>#N/A</v>
      </c>
      <c r="M158" s="4" t="e" cm="1">
        <f t="array" aca="1" ref="M158" ca="1">IF(abbrAtEnd,"",L158&amp;"-")&amp;E158&amp;"-"&amp;INDIRECT(OFFSET(element3,MATCH($C158,resources,0)-1,0))&amp;"-"&amp;INDIRECT(OFFSET(element4,MATCH($C158,resources,0)-1,0))&amp;"-"&amp;INDIRECT(OFFSET(element5,MATCH($C158,resources,0)-1,0))&amp;IF(OFFSET(element6,MATCH($C158,resources,0)-1,0)="","","-"&amp;INDIRECT(OFFSET(element6,MATCH($C158,resources,0)-1,0)))&amp;IF(abbrAtEnd,"-"&amp;L158,"")</f>
        <v>#N/A</v>
      </c>
      <c r="N158" s="4" t="str">
        <f t="shared" si="17"/>
        <v>-000</v>
      </c>
      <c r="O158" s="4">
        <f ca="1">IF(totalElements+COUNTIF(Entities!$C$10,"*")+COUNTIF(B158:C158,"*")+COUNTIF(E158:F158,"*")=9,1,0)</f>
        <v>0</v>
      </c>
      <c r="P158" s="4">
        <f>COUNTIF($C$6:C158,C158)</f>
        <v>0</v>
      </c>
      <c r="Q158" s="4">
        <f ca="1">IF(ISNA(M158),0,COUNTIF($M$6:M158,M158))</f>
        <v>0</v>
      </c>
      <c r="R158" s="4" t="e">
        <f t="shared" ca="1" si="16"/>
        <v>#N/A</v>
      </c>
      <c r="S158" s="4">
        <f ca="1">IF(ISNA(M158),0,COUNTIF($R$6:R158,R158))</f>
        <v>0</v>
      </c>
      <c r="T158" s="4" t="e">
        <f t="shared" ca="1" si="5"/>
        <v>#N/A</v>
      </c>
    </row>
    <row r="159" spans="2:20" x14ac:dyDescent="0.3">
      <c r="B159" s="48"/>
      <c r="C159" s="48"/>
      <c r="D159" s="10" t="str">
        <f t="shared" ca="1" si="14"/>
        <v/>
      </c>
      <c r="E159" s="48"/>
      <c r="F159" s="48"/>
      <c r="G159" s="10" t="str">
        <f t="shared" ca="1" si="18"/>
        <v/>
      </c>
      <c r="I159" s="10" t="str">
        <f t="shared" ca="1" si="15"/>
        <v/>
      </c>
      <c r="K159" s="4" t="e">
        <f t="shared" ca="1" si="3"/>
        <v>#N/A</v>
      </c>
      <c r="L159" s="4" t="e">
        <f>VLOOKUP(C159,_resources!B:D,3,0)</f>
        <v>#N/A</v>
      </c>
      <c r="M159" s="4" t="e" cm="1">
        <f t="array" aca="1" ref="M159" ca="1">IF(abbrAtEnd,"",L159&amp;"-")&amp;E159&amp;"-"&amp;INDIRECT(OFFSET(element3,MATCH($C159,resources,0)-1,0))&amp;"-"&amp;INDIRECT(OFFSET(element4,MATCH($C159,resources,0)-1,0))&amp;"-"&amp;INDIRECT(OFFSET(element5,MATCH($C159,resources,0)-1,0))&amp;IF(OFFSET(element6,MATCH($C159,resources,0)-1,0)="","","-"&amp;INDIRECT(OFFSET(element6,MATCH($C159,resources,0)-1,0)))&amp;IF(abbrAtEnd,"-"&amp;L159,"")</f>
        <v>#N/A</v>
      </c>
      <c r="N159" s="4" t="str">
        <f t="shared" si="17"/>
        <v>-000</v>
      </c>
      <c r="O159" s="4">
        <f ca="1">IF(totalElements+COUNTIF(Entities!$C$10,"*")+COUNTIF(B159:C159,"*")+COUNTIF(E159:F159,"*")=9,1,0)</f>
        <v>0</v>
      </c>
      <c r="P159" s="4">
        <f>COUNTIF($C$6:C159,C159)</f>
        <v>0</v>
      </c>
      <c r="Q159" s="4">
        <f ca="1">IF(ISNA(M159),0,COUNTIF($M$6:M159,M159))</f>
        <v>0</v>
      </c>
      <c r="R159" s="4" t="e">
        <f t="shared" ca="1" si="16"/>
        <v>#N/A</v>
      </c>
      <c r="S159" s="4">
        <f ca="1">IF(ISNA(M159),0,COUNTIF($R$6:R159,R159))</f>
        <v>0</v>
      </c>
      <c r="T159" s="4" t="e">
        <f t="shared" ca="1" si="5"/>
        <v>#N/A</v>
      </c>
    </row>
    <row r="160" spans="2:20" x14ac:dyDescent="0.3">
      <c r="B160" s="48"/>
      <c r="C160" s="48"/>
      <c r="D160" s="10" t="str">
        <f t="shared" ca="1" si="14"/>
        <v/>
      </c>
      <c r="E160" s="48"/>
      <c r="F160" s="48"/>
      <c r="G160" s="10" t="str">
        <f t="shared" ca="1" si="18"/>
        <v/>
      </c>
      <c r="I160" s="10" t="str">
        <f t="shared" ca="1" si="15"/>
        <v/>
      </c>
      <c r="K160" s="4" t="e">
        <f t="shared" ca="1" si="3"/>
        <v>#N/A</v>
      </c>
      <c r="L160" s="4" t="e">
        <f>VLOOKUP(C160,_resources!B:D,3,0)</f>
        <v>#N/A</v>
      </c>
      <c r="M160" s="4" t="e" cm="1">
        <f t="array" aca="1" ref="M160" ca="1">IF(abbrAtEnd,"",L160&amp;"-")&amp;E160&amp;"-"&amp;INDIRECT(OFFSET(element3,MATCH($C160,resources,0)-1,0))&amp;"-"&amp;INDIRECT(OFFSET(element4,MATCH($C160,resources,0)-1,0))&amp;"-"&amp;INDIRECT(OFFSET(element5,MATCH($C160,resources,0)-1,0))&amp;IF(OFFSET(element6,MATCH($C160,resources,0)-1,0)="","","-"&amp;INDIRECT(OFFSET(element6,MATCH($C160,resources,0)-1,0)))&amp;IF(abbrAtEnd,"-"&amp;L160,"")</f>
        <v>#N/A</v>
      </c>
      <c r="N160" s="4" t="str">
        <f t="shared" si="17"/>
        <v>-000</v>
      </c>
      <c r="O160" s="4">
        <f ca="1">IF(totalElements+COUNTIF(Entities!$C$10,"*")+COUNTIF(B160:C160,"*")+COUNTIF(E160:F160,"*")=9,1,0)</f>
        <v>0</v>
      </c>
      <c r="P160" s="4">
        <f>COUNTIF($C$6:C160,C160)</f>
        <v>0</v>
      </c>
      <c r="Q160" s="4">
        <f ca="1">IF(ISNA(M160),0,COUNTIF($M$6:M160,M160))</f>
        <v>0</v>
      </c>
      <c r="R160" s="4" t="e">
        <f t="shared" ca="1" si="16"/>
        <v>#N/A</v>
      </c>
      <c r="S160" s="4">
        <f ca="1">IF(ISNA(M160),0,COUNTIF($R$6:R160,R160))</f>
        <v>0</v>
      </c>
      <c r="T160" s="4" t="e">
        <f t="shared" ca="1" si="5"/>
        <v>#N/A</v>
      </c>
    </row>
    <row r="161" spans="2:20" x14ac:dyDescent="0.3">
      <c r="B161" s="48"/>
      <c r="C161" s="48"/>
      <c r="D161" s="10" t="str">
        <f t="shared" ca="1" si="14"/>
        <v/>
      </c>
      <c r="E161" s="48"/>
      <c r="F161" s="48"/>
      <c r="G161" s="10" t="str">
        <f t="shared" ca="1" si="18"/>
        <v/>
      </c>
      <c r="I161" s="10" t="str">
        <f t="shared" ca="1" si="15"/>
        <v/>
      </c>
      <c r="K161" s="4" t="e">
        <f t="shared" ca="1" si="3"/>
        <v>#N/A</v>
      </c>
      <c r="L161" s="4" t="e">
        <f>VLOOKUP(C161,_resources!B:D,3,0)</f>
        <v>#N/A</v>
      </c>
      <c r="M161" s="4" t="e" cm="1">
        <f t="array" aca="1" ref="M161" ca="1">IF(abbrAtEnd,"",L161&amp;"-")&amp;E161&amp;"-"&amp;INDIRECT(OFFSET(element3,MATCH($C161,resources,0)-1,0))&amp;"-"&amp;INDIRECT(OFFSET(element4,MATCH($C161,resources,0)-1,0))&amp;"-"&amp;INDIRECT(OFFSET(element5,MATCH($C161,resources,0)-1,0))&amp;IF(OFFSET(element6,MATCH($C161,resources,0)-1,0)="","","-"&amp;INDIRECT(OFFSET(element6,MATCH($C161,resources,0)-1,0)))&amp;IF(abbrAtEnd,"-"&amp;L161,"")</f>
        <v>#N/A</v>
      </c>
      <c r="N161" s="4" t="str">
        <f t="shared" si="17"/>
        <v>-000</v>
      </c>
      <c r="O161" s="4">
        <f ca="1">IF(totalElements+COUNTIF(Entities!$C$10,"*")+COUNTIF(B161:C161,"*")+COUNTIF(E161:F161,"*")=9,1,0)</f>
        <v>0</v>
      </c>
      <c r="P161" s="4">
        <f>COUNTIF($C$6:C161,C161)</f>
        <v>0</v>
      </c>
      <c r="Q161" s="4">
        <f ca="1">IF(ISNA(M161),0,COUNTIF($M$6:M161,M161))</f>
        <v>0</v>
      </c>
      <c r="R161" s="4" t="e">
        <f t="shared" ca="1" si="16"/>
        <v>#N/A</v>
      </c>
      <c r="S161" s="4">
        <f ca="1">IF(ISNA(M161),0,COUNTIF($R$6:R161,R161))</f>
        <v>0</v>
      </c>
      <c r="T161" s="4" t="e">
        <f t="shared" ca="1" si="5"/>
        <v>#N/A</v>
      </c>
    </row>
    <row r="162" spans="2:20" x14ac:dyDescent="0.3">
      <c r="B162" s="48"/>
      <c r="C162" s="48"/>
      <c r="D162" s="10" t="str">
        <f t="shared" ca="1" si="14"/>
        <v/>
      </c>
      <c r="E162" s="48"/>
      <c r="F162" s="48"/>
      <c r="G162" s="10" t="str">
        <f t="shared" ca="1" si="18"/>
        <v/>
      </c>
      <c r="I162" s="10" t="str">
        <f t="shared" ca="1" si="15"/>
        <v/>
      </c>
      <c r="K162" s="4" t="e">
        <f t="shared" ca="1" si="3"/>
        <v>#N/A</v>
      </c>
      <c r="L162" s="4" t="e">
        <f>VLOOKUP(C162,_resources!B:D,3,0)</f>
        <v>#N/A</v>
      </c>
      <c r="M162" s="4" t="e" cm="1">
        <f t="array" aca="1" ref="M162" ca="1">IF(abbrAtEnd,"",L162&amp;"-")&amp;E162&amp;"-"&amp;INDIRECT(OFFSET(element3,MATCH($C162,resources,0)-1,0))&amp;"-"&amp;INDIRECT(OFFSET(element4,MATCH($C162,resources,0)-1,0))&amp;"-"&amp;INDIRECT(OFFSET(element5,MATCH($C162,resources,0)-1,0))&amp;IF(OFFSET(element6,MATCH($C162,resources,0)-1,0)="","","-"&amp;INDIRECT(OFFSET(element6,MATCH($C162,resources,0)-1,0)))&amp;IF(abbrAtEnd,"-"&amp;L162,"")</f>
        <v>#N/A</v>
      </c>
      <c r="N162" s="4" t="str">
        <f t="shared" si="17"/>
        <v>-000</v>
      </c>
      <c r="O162" s="4">
        <f ca="1">IF(totalElements+COUNTIF(Entities!$C$10,"*")+COUNTIF(B162:C162,"*")+COUNTIF(E162:F162,"*")=9,1,0)</f>
        <v>0</v>
      </c>
      <c r="P162" s="4">
        <f>COUNTIF($C$6:C162,C162)</f>
        <v>0</v>
      </c>
      <c r="Q162" s="4">
        <f ca="1">IF(ISNA(M162),0,COUNTIF($M$6:M162,M162))</f>
        <v>0</v>
      </c>
      <c r="R162" s="4" t="e">
        <f t="shared" ca="1" si="16"/>
        <v>#N/A</v>
      </c>
      <c r="S162" s="4">
        <f ca="1">IF(ISNA(M162),0,COUNTIF($R$6:R162,R162))</f>
        <v>0</v>
      </c>
      <c r="T162" s="4" t="e">
        <f t="shared" ca="1" si="5"/>
        <v>#N/A</v>
      </c>
    </row>
    <row r="163" spans="2:20" x14ac:dyDescent="0.3">
      <c r="B163" s="48"/>
      <c r="C163" s="48"/>
      <c r="D163" s="10" t="str">
        <f t="shared" ca="1" si="14"/>
        <v/>
      </c>
      <c r="E163" s="48"/>
      <c r="F163" s="48"/>
      <c r="G163" s="10" t="str">
        <f t="shared" ca="1" si="18"/>
        <v/>
      </c>
      <c r="I163" s="10" t="str">
        <f t="shared" ca="1" si="15"/>
        <v/>
      </c>
      <c r="K163" s="4" t="e">
        <f t="shared" ca="1" si="3"/>
        <v>#N/A</v>
      </c>
      <c r="L163" s="4" t="e">
        <f>VLOOKUP(C163,_resources!B:D,3,0)</f>
        <v>#N/A</v>
      </c>
      <c r="M163" s="4" t="e" cm="1">
        <f t="array" aca="1" ref="M163" ca="1">IF(abbrAtEnd,"",L163&amp;"-")&amp;E163&amp;"-"&amp;INDIRECT(OFFSET(element3,MATCH($C163,resources,0)-1,0))&amp;"-"&amp;INDIRECT(OFFSET(element4,MATCH($C163,resources,0)-1,0))&amp;"-"&amp;INDIRECT(OFFSET(element5,MATCH($C163,resources,0)-1,0))&amp;IF(OFFSET(element6,MATCH($C163,resources,0)-1,0)="","","-"&amp;INDIRECT(OFFSET(element6,MATCH($C163,resources,0)-1,0)))&amp;IF(abbrAtEnd,"-"&amp;L163,"")</f>
        <v>#N/A</v>
      </c>
      <c r="N163" s="4" t="str">
        <f t="shared" si="17"/>
        <v>-000</v>
      </c>
      <c r="O163" s="4">
        <f ca="1">IF(totalElements+COUNTIF(Entities!$C$10,"*")+COUNTIF(B163:C163,"*")+COUNTIF(E163:F163,"*")=9,1,0)</f>
        <v>0</v>
      </c>
      <c r="P163" s="4">
        <f>COUNTIF($C$6:C163,C163)</f>
        <v>0</v>
      </c>
      <c r="Q163" s="4">
        <f ca="1">IF(ISNA(M163),0,COUNTIF($M$6:M163,M163))</f>
        <v>0</v>
      </c>
      <c r="R163" s="4" t="e">
        <f t="shared" ca="1" si="16"/>
        <v>#N/A</v>
      </c>
      <c r="S163" s="4">
        <f ca="1">IF(ISNA(M163),0,COUNTIF($R$6:R163,R163))</f>
        <v>0</v>
      </c>
      <c r="T163" s="4" t="e">
        <f t="shared" ca="1" si="5"/>
        <v>#N/A</v>
      </c>
    </row>
    <row r="164" spans="2:20" x14ac:dyDescent="0.3">
      <c r="B164" s="48"/>
      <c r="C164" s="48"/>
      <c r="D164" s="10" t="str">
        <f t="shared" ca="1" si="14"/>
        <v/>
      </c>
      <c r="E164" s="48"/>
      <c r="F164" s="48"/>
      <c r="G164" s="10" t="str">
        <f t="shared" ca="1" si="18"/>
        <v/>
      </c>
      <c r="I164" s="10" t="str">
        <f t="shared" ca="1" si="15"/>
        <v/>
      </c>
      <c r="K164" s="4" t="e">
        <f t="shared" ca="1" si="3"/>
        <v>#N/A</v>
      </c>
      <c r="L164" s="4" t="e">
        <f>VLOOKUP(C164,_resources!B:D,3,0)</f>
        <v>#N/A</v>
      </c>
      <c r="M164" s="4" t="e" cm="1">
        <f t="array" aca="1" ref="M164" ca="1">IF(abbrAtEnd,"",L164&amp;"-")&amp;E164&amp;"-"&amp;INDIRECT(OFFSET(element3,MATCH($C164,resources,0)-1,0))&amp;"-"&amp;INDIRECT(OFFSET(element4,MATCH($C164,resources,0)-1,0))&amp;"-"&amp;INDIRECT(OFFSET(element5,MATCH($C164,resources,0)-1,0))&amp;IF(OFFSET(element6,MATCH($C164,resources,0)-1,0)="","","-"&amp;INDIRECT(OFFSET(element6,MATCH($C164,resources,0)-1,0)))&amp;IF(abbrAtEnd,"-"&amp;L164,"")</f>
        <v>#N/A</v>
      </c>
      <c r="N164" s="4" t="str">
        <f t="shared" si="17"/>
        <v>-000</v>
      </c>
      <c r="O164" s="4">
        <f ca="1">IF(totalElements+COUNTIF(Entities!$C$10,"*")+COUNTIF(B164:C164,"*")+COUNTIF(E164:F164,"*")=9,1,0)</f>
        <v>0</v>
      </c>
      <c r="P164" s="4">
        <f>COUNTIF($C$6:C164,C164)</f>
        <v>0</v>
      </c>
      <c r="Q164" s="4">
        <f ca="1">IF(ISNA(M164),0,COUNTIF($M$6:M164,M164))</f>
        <v>0</v>
      </c>
      <c r="R164" s="4" t="e">
        <f t="shared" ca="1" si="16"/>
        <v>#N/A</v>
      </c>
      <c r="S164" s="4">
        <f ca="1">IF(ISNA(M164),0,COUNTIF($R$6:R164,R164))</f>
        <v>0</v>
      </c>
      <c r="T164" s="4" t="e">
        <f t="shared" ca="1" si="5"/>
        <v>#N/A</v>
      </c>
    </row>
    <row r="165" spans="2:20" x14ac:dyDescent="0.3">
      <c r="B165" s="48"/>
      <c r="C165" s="48"/>
      <c r="D165" s="10" t="str">
        <f t="shared" ca="1" si="14"/>
        <v/>
      </c>
      <c r="E165" s="48"/>
      <c r="F165" s="48"/>
      <c r="G165" s="10" t="str">
        <f t="shared" ca="1" si="18"/>
        <v/>
      </c>
      <c r="I165" s="10" t="str">
        <f t="shared" ca="1" si="15"/>
        <v/>
      </c>
      <c r="K165" s="4" t="e">
        <f t="shared" ca="1" si="3"/>
        <v>#N/A</v>
      </c>
      <c r="L165" s="4" t="e">
        <f>VLOOKUP(C165,_resources!B:D,3,0)</f>
        <v>#N/A</v>
      </c>
      <c r="M165" s="4" t="e" cm="1">
        <f t="array" aca="1" ref="M165" ca="1">IF(abbrAtEnd,"",L165&amp;"-")&amp;E165&amp;"-"&amp;INDIRECT(OFFSET(element3,MATCH($C165,resources,0)-1,0))&amp;"-"&amp;INDIRECT(OFFSET(element4,MATCH($C165,resources,0)-1,0))&amp;"-"&amp;INDIRECT(OFFSET(element5,MATCH($C165,resources,0)-1,0))&amp;IF(OFFSET(element6,MATCH($C165,resources,0)-1,0)="","","-"&amp;INDIRECT(OFFSET(element6,MATCH($C165,resources,0)-1,0)))&amp;IF(abbrAtEnd,"-"&amp;L165,"")</f>
        <v>#N/A</v>
      </c>
      <c r="N165" s="4" t="str">
        <f t="shared" si="17"/>
        <v>-000</v>
      </c>
      <c r="O165" s="4">
        <f ca="1">IF(totalElements+COUNTIF(Entities!$C$10,"*")+COUNTIF(B165:C165,"*")+COUNTIF(E165:F165,"*")=9,1,0)</f>
        <v>0</v>
      </c>
      <c r="P165" s="4">
        <f>COUNTIF($C$6:C165,C165)</f>
        <v>0</v>
      </c>
      <c r="Q165" s="4">
        <f ca="1">IF(ISNA(M165),0,COUNTIF($M$6:M165,M165))</f>
        <v>0</v>
      </c>
      <c r="R165" s="4" t="e">
        <f t="shared" ca="1" si="16"/>
        <v>#N/A</v>
      </c>
      <c r="S165" s="4">
        <f ca="1">IF(ISNA(M165),0,COUNTIF($R$6:R165,R165))</f>
        <v>0</v>
      </c>
      <c r="T165" s="4" t="e">
        <f t="shared" ca="1" si="5"/>
        <v>#N/A</v>
      </c>
    </row>
    <row r="166" spans="2:20" x14ac:dyDescent="0.3">
      <c r="B166" s="48"/>
      <c r="C166" s="48"/>
      <c r="D166" s="10" t="str">
        <f t="shared" ca="1" si="14"/>
        <v/>
      </c>
      <c r="E166" s="48"/>
      <c r="F166" s="48"/>
      <c r="G166" s="10" t="str">
        <f t="shared" ca="1" si="18"/>
        <v/>
      </c>
      <c r="I166" s="10" t="str">
        <f t="shared" ca="1" si="15"/>
        <v/>
      </c>
      <c r="K166" s="4" t="e">
        <f t="shared" ca="1" si="3"/>
        <v>#N/A</v>
      </c>
      <c r="L166" s="4" t="e">
        <f>VLOOKUP(C166,_resources!B:D,3,0)</f>
        <v>#N/A</v>
      </c>
      <c r="M166" s="4" t="e" cm="1">
        <f t="array" aca="1" ref="M166" ca="1">IF(abbrAtEnd,"",L166&amp;"-")&amp;E166&amp;"-"&amp;INDIRECT(OFFSET(element3,MATCH($C166,resources,0)-1,0))&amp;"-"&amp;INDIRECT(OFFSET(element4,MATCH($C166,resources,0)-1,0))&amp;"-"&amp;INDIRECT(OFFSET(element5,MATCH($C166,resources,0)-1,0))&amp;IF(OFFSET(element6,MATCH($C166,resources,0)-1,0)="","","-"&amp;INDIRECT(OFFSET(element6,MATCH($C166,resources,0)-1,0)))&amp;IF(abbrAtEnd,"-"&amp;L166,"")</f>
        <v>#N/A</v>
      </c>
      <c r="N166" s="4" t="str">
        <f t="shared" si="17"/>
        <v>-000</v>
      </c>
      <c r="O166" s="4">
        <f ca="1">IF(totalElements+COUNTIF(Entities!$C$10,"*")+COUNTIF(B166:C166,"*")+COUNTIF(E166:F166,"*")=9,1,0)</f>
        <v>0</v>
      </c>
      <c r="P166" s="4">
        <f>COUNTIF($C$6:C166,C166)</f>
        <v>0</v>
      </c>
      <c r="Q166" s="4">
        <f ca="1">IF(ISNA(M166),0,COUNTIF($M$6:M166,M166))</f>
        <v>0</v>
      </c>
      <c r="R166" s="4" t="e">
        <f t="shared" ca="1" si="16"/>
        <v>#N/A</v>
      </c>
      <c r="S166" s="4">
        <f ca="1">IF(ISNA(M166),0,COUNTIF($R$6:R166,R166))</f>
        <v>0</v>
      </c>
      <c r="T166" s="4" t="e">
        <f t="shared" ca="1" si="5"/>
        <v>#N/A</v>
      </c>
    </row>
    <row r="167" spans="2:20" x14ac:dyDescent="0.3">
      <c r="B167" s="48"/>
      <c r="C167" s="48"/>
      <c r="D167" s="10" t="str">
        <f t="shared" ca="1" si="14"/>
        <v/>
      </c>
      <c r="E167" s="48"/>
      <c r="F167" s="48"/>
      <c r="G167" s="10" t="str">
        <f t="shared" ca="1" si="18"/>
        <v/>
      </c>
      <c r="I167" s="10" t="str">
        <f t="shared" ca="1" si="15"/>
        <v/>
      </c>
      <c r="K167" s="4" t="e">
        <f t="shared" ca="1" si="3"/>
        <v>#N/A</v>
      </c>
      <c r="L167" s="4" t="e">
        <f>VLOOKUP(C167,_resources!B:D,3,0)</f>
        <v>#N/A</v>
      </c>
      <c r="M167" s="4" t="e" cm="1">
        <f t="array" aca="1" ref="M167" ca="1">IF(abbrAtEnd,"",L167&amp;"-")&amp;E167&amp;"-"&amp;INDIRECT(OFFSET(element3,MATCH($C167,resources,0)-1,0))&amp;"-"&amp;INDIRECT(OFFSET(element4,MATCH($C167,resources,0)-1,0))&amp;"-"&amp;INDIRECT(OFFSET(element5,MATCH($C167,resources,0)-1,0))&amp;IF(OFFSET(element6,MATCH($C167,resources,0)-1,0)="","","-"&amp;INDIRECT(OFFSET(element6,MATCH($C167,resources,0)-1,0)))&amp;IF(abbrAtEnd,"-"&amp;L167,"")</f>
        <v>#N/A</v>
      </c>
      <c r="N167" s="4" t="str">
        <f t="shared" si="17"/>
        <v>-000</v>
      </c>
      <c r="O167" s="4">
        <f ca="1">IF(totalElements+COUNTIF(Entities!$C$10,"*")+COUNTIF(B167:C167,"*")+COUNTIF(E167:F167,"*")=9,1,0)</f>
        <v>0</v>
      </c>
      <c r="P167" s="4">
        <f>COUNTIF($C$6:C167,C167)</f>
        <v>0</v>
      </c>
      <c r="Q167" s="4">
        <f ca="1">IF(ISNA(M167),0,COUNTIF($M$6:M167,M167))</f>
        <v>0</v>
      </c>
      <c r="R167" s="4" t="e">
        <f t="shared" ca="1" si="16"/>
        <v>#N/A</v>
      </c>
      <c r="S167" s="4">
        <f ca="1">IF(ISNA(M167),0,COUNTIF($R$6:R167,R167))</f>
        <v>0</v>
      </c>
      <c r="T167" s="4" t="e">
        <f t="shared" ca="1" si="5"/>
        <v>#N/A</v>
      </c>
    </row>
    <row r="168" spans="2:20" x14ac:dyDescent="0.3">
      <c r="B168" s="48"/>
      <c r="C168" s="48"/>
      <c r="D168" s="10" t="str">
        <f t="shared" ca="1" si="14"/>
        <v/>
      </c>
      <c r="E168" s="48"/>
      <c r="F168" s="48"/>
      <c r="G168" s="10" t="str">
        <f t="shared" ca="1" si="18"/>
        <v/>
      </c>
      <c r="I168" s="10" t="str">
        <f t="shared" ca="1" si="15"/>
        <v/>
      </c>
      <c r="K168" s="4" t="e">
        <f t="shared" ca="1" si="3"/>
        <v>#N/A</v>
      </c>
      <c r="L168" s="4" t="e">
        <f>VLOOKUP(C168,_resources!B:D,3,0)</f>
        <v>#N/A</v>
      </c>
      <c r="M168" s="4" t="e" cm="1">
        <f t="array" aca="1" ref="M168" ca="1">IF(abbrAtEnd,"",L168&amp;"-")&amp;E168&amp;"-"&amp;INDIRECT(OFFSET(element3,MATCH($C168,resources,0)-1,0))&amp;"-"&amp;INDIRECT(OFFSET(element4,MATCH($C168,resources,0)-1,0))&amp;"-"&amp;INDIRECT(OFFSET(element5,MATCH($C168,resources,0)-1,0))&amp;IF(OFFSET(element6,MATCH($C168,resources,0)-1,0)="","","-"&amp;INDIRECT(OFFSET(element6,MATCH($C168,resources,0)-1,0)))&amp;IF(abbrAtEnd,"-"&amp;L168,"")</f>
        <v>#N/A</v>
      </c>
      <c r="N168" s="4" t="str">
        <f t="shared" si="17"/>
        <v>-000</v>
      </c>
      <c r="O168" s="4">
        <f ca="1">IF(totalElements+COUNTIF(Entities!$C$10,"*")+COUNTIF(B168:C168,"*")+COUNTIF(E168:F168,"*")=9,1,0)</f>
        <v>0</v>
      </c>
      <c r="P168" s="4">
        <f>COUNTIF($C$6:C168,C168)</f>
        <v>0</v>
      </c>
      <c r="Q168" s="4">
        <f ca="1">IF(ISNA(M168),0,COUNTIF($M$6:M168,M168))</f>
        <v>0</v>
      </c>
      <c r="R168" s="4" t="e">
        <f t="shared" ca="1" si="16"/>
        <v>#N/A</v>
      </c>
      <c r="S168" s="4">
        <f ca="1">IF(ISNA(M168),0,COUNTIF($R$6:R168,R168))</f>
        <v>0</v>
      </c>
      <c r="T168" s="4" t="e">
        <f t="shared" ca="1" si="5"/>
        <v>#N/A</v>
      </c>
    </row>
    <row r="169" spans="2:20" x14ac:dyDescent="0.3">
      <c r="B169" s="48"/>
      <c r="C169" s="48"/>
      <c r="D169" s="10" t="str">
        <f t="shared" ca="1" si="14"/>
        <v/>
      </c>
      <c r="E169" s="48"/>
      <c r="F169" s="48"/>
      <c r="G169" s="10" t="str">
        <f t="shared" ca="1" si="18"/>
        <v/>
      </c>
      <c r="I169" s="10" t="str">
        <f t="shared" ca="1" si="15"/>
        <v/>
      </c>
      <c r="K169" s="4" t="e">
        <f t="shared" ca="1" si="3"/>
        <v>#N/A</v>
      </c>
      <c r="L169" s="4" t="e">
        <f>VLOOKUP(C169,_resources!B:D,3,0)</f>
        <v>#N/A</v>
      </c>
      <c r="M169" s="4" t="e" cm="1">
        <f t="array" aca="1" ref="M169" ca="1">IF(abbrAtEnd,"",L169&amp;"-")&amp;E169&amp;"-"&amp;INDIRECT(OFFSET(element3,MATCH($C169,resources,0)-1,0))&amp;"-"&amp;INDIRECT(OFFSET(element4,MATCH($C169,resources,0)-1,0))&amp;"-"&amp;INDIRECT(OFFSET(element5,MATCH($C169,resources,0)-1,0))&amp;IF(OFFSET(element6,MATCH($C169,resources,0)-1,0)="","","-"&amp;INDIRECT(OFFSET(element6,MATCH($C169,resources,0)-1,0)))&amp;IF(abbrAtEnd,"-"&amp;L169,"")</f>
        <v>#N/A</v>
      </c>
      <c r="N169" s="4" t="str">
        <f t="shared" si="17"/>
        <v>-000</v>
      </c>
      <c r="O169" s="4">
        <f ca="1">IF(totalElements+COUNTIF(Entities!$C$10,"*")+COUNTIF(B169:C169,"*")+COUNTIF(E169:F169,"*")=9,1,0)</f>
        <v>0</v>
      </c>
      <c r="P169" s="4">
        <f>COUNTIF($C$6:C169,C169)</f>
        <v>0</v>
      </c>
      <c r="Q169" s="4">
        <f ca="1">IF(ISNA(M169),0,COUNTIF($M$6:M169,M169))</f>
        <v>0</v>
      </c>
      <c r="R169" s="4" t="e">
        <f t="shared" ca="1" si="16"/>
        <v>#N/A</v>
      </c>
      <c r="S169" s="4">
        <f ca="1">IF(ISNA(M169),0,COUNTIF($R$6:R169,R169))</f>
        <v>0</v>
      </c>
      <c r="T169" s="4" t="e">
        <f t="shared" ca="1" si="5"/>
        <v>#N/A</v>
      </c>
    </row>
    <row r="170" spans="2:20" x14ac:dyDescent="0.3">
      <c r="B170" s="48"/>
      <c r="C170" s="48"/>
      <c r="D170" s="10" t="str">
        <f t="shared" ca="1" si="14"/>
        <v/>
      </c>
      <c r="E170" s="48"/>
      <c r="F170" s="48"/>
      <c r="G170" s="10" t="str">
        <f t="shared" ca="1" si="18"/>
        <v/>
      </c>
      <c r="I170" s="10" t="str">
        <f t="shared" ca="1" si="15"/>
        <v/>
      </c>
      <c r="K170" s="4" t="e">
        <f t="shared" ca="1" si="3"/>
        <v>#N/A</v>
      </c>
      <c r="L170" s="4" t="e">
        <f>VLOOKUP(C170,_resources!B:D,3,0)</f>
        <v>#N/A</v>
      </c>
      <c r="M170" s="4" t="e" cm="1">
        <f t="array" aca="1" ref="M170" ca="1">IF(abbrAtEnd,"",L170&amp;"-")&amp;E170&amp;"-"&amp;INDIRECT(OFFSET(element3,MATCH($C170,resources,0)-1,0))&amp;"-"&amp;INDIRECT(OFFSET(element4,MATCH($C170,resources,0)-1,0))&amp;"-"&amp;INDIRECT(OFFSET(element5,MATCH($C170,resources,0)-1,0))&amp;IF(OFFSET(element6,MATCH($C170,resources,0)-1,0)="","","-"&amp;INDIRECT(OFFSET(element6,MATCH($C170,resources,0)-1,0)))&amp;IF(abbrAtEnd,"-"&amp;L170,"")</f>
        <v>#N/A</v>
      </c>
      <c r="N170" s="4" t="str">
        <f t="shared" si="17"/>
        <v>-000</v>
      </c>
      <c r="O170" s="4">
        <f ca="1">IF(totalElements+COUNTIF(Entities!$C$10,"*")+COUNTIF(B170:C170,"*")+COUNTIF(E170:F170,"*")=9,1,0)</f>
        <v>0</v>
      </c>
      <c r="P170" s="4">
        <f>COUNTIF($C$6:C170,C170)</f>
        <v>0</v>
      </c>
      <c r="Q170" s="4">
        <f ca="1">IF(ISNA(M170),0,COUNTIF($M$6:M170,M170))</f>
        <v>0</v>
      </c>
      <c r="R170" s="4" t="e">
        <f t="shared" ca="1" si="16"/>
        <v>#N/A</v>
      </c>
      <c r="S170" s="4">
        <f ca="1">IF(ISNA(M170),0,COUNTIF($R$6:R170,R170))</f>
        <v>0</v>
      </c>
      <c r="T170" s="4" t="e">
        <f t="shared" ca="1" si="5"/>
        <v>#N/A</v>
      </c>
    </row>
    <row r="171" spans="2:20" x14ac:dyDescent="0.3">
      <c r="B171" s="48"/>
      <c r="C171" s="48"/>
      <c r="D171" s="10" t="str">
        <f t="shared" ca="1" si="14"/>
        <v/>
      </c>
      <c r="E171" s="48"/>
      <c r="F171" s="48"/>
      <c r="G171" s="10" t="str">
        <f t="shared" ca="1" si="18"/>
        <v/>
      </c>
      <c r="I171" s="10" t="str">
        <f t="shared" ca="1" si="15"/>
        <v/>
      </c>
      <c r="K171" s="4" t="e">
        <f t="shared" ca="1" si="3"/>
        <v>#N/A</v>
      </c>
      <c r="L171" s="4" t="e">
        <f>VLOOKUP(C171,_resources!B:D,3,0)</f>
        <v>#N/A</v>
      </c>
      <c r="M171" s="4" t="e" cm="1">
        <f t="array" aca="1" ref="M171" ca="1">IF(abbrAtEnd,"",L171&amp;"-")&amp;E171&amp;"-"&amp;INDIRECT(OFFSET(element3,MATCH($C171,resources,0)-1,0))&amp;"-"&amp;INDIRECT(OFFSET(element4,MATCH($C171,resources,0)-1,0))&amp;"-"&amp;INDIRECT(OFFSET(element5,MATCH($C171,resources,0)-1,0))&amp;IF(OFFSET(element6,MATCH($C171,resources,0)-1,0)="","","-"&amp;INDIRECT(OFFSET(element6,MATCH($C171,resources,0)-1,0)))&amp;IF(abbrAtEnd,"-"&amp;L171,"")</f>
        <v>#N/A</v>
      </c>
      <c r="N171" s="4" t="str">
        <f t="shared" si="17"/>
        <v>-000</v>
      </c>
      <c r="O171" s="4">
        <f ca="1">IF(totalElements+COUNTIF(Entities!$C$10,"*")+COUNTIF(B171:C171,"*")+COUNTIF(E171:F171,"*")=9,1,0)</f>
        <v>0</v>
      </c>
      <c r="P171" s="4">
        <f>COUNTIF($C$6:C171,C171)</f>
        <v>0</v>
      </c>
      <c r="Q171" s="4">
        <f ca="1">IF(ISNA(M171),0,COUNTIF($M$6:M171,M171))</f>
        <v>0</v>
      </c>
      <c r="R171" s="4" t="e">
        <f t="shared" ca="1" si="16"/>
        <v>#N/A</v>
      </c>
      <c r="S171" s="4">
        <f ca="1">IF(ISNA(M171),0,COUNTIF($R$6:R171,R171))</f>
        <v>0</v>
      </c>
      <c r="T171" s="4" t="e">
        <f t="shared" ca="1" si="5"/>
        <v>#N/A</v>
      </c>
    </row>
    <row r="172" spans="2:20" x14ac:dyDescent="0.3">
      <c r="B172" s="48"/>
      <c r="C172" s="48"/>
      <c r="D172" s="10" t="str">
        <f t="shared" ca="1" si="14"/>
        <v/>
      </c>
      <c r="E172" s="48"/>
      <c r="F172" s="48"/>
      <c r="G172" s="10" t="str">
        <f t="shared" ca="1" si="18"/>
        <v/>
      </c>
      <c r="I172" s="10" t="str">
        <f t="shared" ca="1" si="15"/>
        <v/>
      </c>
      <c r="K172" s="4" t="e">
        <f t="shared" ca="1" si="3"/>
        <v>#N/A</v>
      </c>
      <c r="L172" s="4" t="e">
        <f>VLOOKUP(C172,_resources!B:D,3,0)</f>
        <v>#N/A</v>
      </c>
      <c r="M172" s="4" t="e" cm="1">
        <f t="array" aca="1" ref="M172" ca="1">IF(abbrAtEnd,"",L172&amp;"-")&amp;E172&amp;"-"&amp;INDIRECT(OFFSET(element3,MATCH($C172,resources,0)-1,0))&amp;"-"&amp;INDIRECT(OFFSET(element4,MATCH($C172,resources,0)-1,0))&amp;"-"&amp;INDIRECT(OFFSET(element5,MATCH($C172,resources,0)-1,0))&amp;IF(OFFSET(element6,MATCH($C172,resources,0)-1,0)="","","-"&amp;INDIRECT(OFFSET(element6,MATCH($C172,resources,0)-1,0)))&amp;IF(abbrAtEnd,"-"&amp;L172,"")</f>
        <v>#N/A</v>
      </c>
      <c r="N172" s="4" t="str">
        <f t="shared" si="17"/>
        <v>-000</v>
      </c>
      <c r="O172" s="4">
        <f ca="1">IF(totalElements+COUNTIF(Entities!$C$10,"*")+COUNTIF(B172:C172,"*")+COUNTIF(E172:F172,"*")=9,1,0)</f>
        <v>0</v>
      </c>
      <c r="P172" s="4">
        <f>COUNTIF($C$6:C172,C172)</f>
        <v>0</v>
      </c>
      <c r="Q172" s="4">
        <f ca="1">IF(ISNA(M172),0,COUNTIF($M$6:M172,M172))</f>
        <v>0</v>
      </c>
      <c r="R172" s="4" t="e">
        <f t="shared" ca="1" si="16"/>
        <v>#N/A</v>
      </c>
      <c r="S172" s="4">
        <f ca="1">IF(ISNA(M172),0,COUNTIF($R$6:R172,R172))</f>
        <v>0</v>
      </c>
      <c r="T172" s="4" t="e">
        <f t="shared" ca="1" si="5"/>
        <v>#N/A</v>
      </c>
    </row>
    <row r="173" spans="2:20" x14ac:dyDescent="0.3">
      <c r="B173" s="48"/>
      <c r="C173" s="48"/>
      <c r="D173" s="10" t="str">
        <f t="shared" ca="1" si="14"/>
        <v/>
      </c>
      <c r="E173" s="48"/>
      <c r="F173" s="48"/>
      <c r="G173" s="10" t="str">
        <f t="shared" ca="1" si="18"/>
        <v/>
      </c>
      <c r="I173" s="10" t="str">
        <f t="shared" ca="1" si="15"/>
        <v/>
      </c>
      <c r="K173" s="4" t="e">
        <f t="shared" ca="1" si="3"/>
        <v>#N/A</v>
      </c>
      <c r="L173" s="4" t="e">
        <f>VLOOKUP(C173,_resources!B:D,3,0)</f>
        <v>#N/A</v>
      </c>
      <c r="M173" s="4" t="e" cm="1">
        <f t="array" aca="1" ref="M173" ca="1">IF(abbrAtEnd,"",L173&amp;"-")&amp;E173&amp;"-"&amp;INDIRECT(OFFSET(element3,MATCH($C173,resources,0)-1,0))&amp;"-"&amp;INDIRECT(OFFSET(element4,MATCH($C173,resources,0)-1,0))&amp;"-"&amp;INDIRECT(OFFSET(element5,MATCH($C173,resources,0)-1,0))&amp;IF(OFFSET(element6,MATCH($C173,resources,0)-1,0)="","","-"&amp;INDIRECT(OFFSET(element6,MATCH($C173,resources,0)-1,0)))&amp;IF(abbrAtEnd,"-"&amp;L173,"")</f>
        <v>#N/A</v>
      </c>
      <c r="N173" s="4" t="str">
        <f t="shared" si="17"/>
        <v>-000</v>
      </c>
      <c r="O173" s="4">
        <f ca="1">IF(totalElements+COUNTIF(Entities!$C$10,"*")+COUNTIF(B173:C173,"*")+COUNTIF(E173:F173,"*")=9,1,0)</f>
        <v>0</v>
      </c>
      <c r="P173" s="4">
        <f>COUNTIF($C$6:C173,C173)</f>
        <v>0</v>
      </c>
      <c r="Q173" s="4">
        <f ca="1">IF(ISNA(M173),0,COUNTIF($M$6:M173,M173))</f>
        <v>0</v>
      </c>
      <c r="R173" s="4" t="e">
        <f t="shared" ca="1" si="16"/>
        <v>#N/A</v>
      </c>
      <c r="S173" s="4">
        <f ca="1">IF(ISNA(M173),0,COUNTIF($R$6:R173,R173))</f>
        <v>0</v>
      </c>
      <c r="T173" s="4" t="e">
        <f t="shared" ca="1" si="5"/>
        <v>#N/A</v>
      </c>
    </row>
    <row r="174" spans="2:20" x14ac:dyDescent="0.3">
      <c r="B174" s="48"/>
      <c r="C174" s="48"/>
      <c r="D174" s="10" t="str">
        <f t="shared" ca="1" si="14"/>
        <v/>
      </c>
      <c r="E174" s="48"/>
      <c r="F174" s="48"/>
      <c r="G174" s="10" t="str">
        <f t="shared" ca="1" si="18"/>
        <v/>
      </c>
      <c r="I174" s="10" t="str">
        <f t="shared" ca="1" si="15"/>
        <v/>
      </c>
      <c r="K174" s="4" t="e">
        <f t="shared" ca="1" si="3"/>
        <v>#N/A</v>
      </c>
      <c r="L174" s="4" t="e">
        <f>VLOOKUP(C174,_resources!B:D,3,0)</f>
        <v>#N/A</v>
      </c>
      <c r="M174" s="4" t="e" cm="1">
        <f t="array" aca="1" ref="M174" ca="1">IF(abbrAtEnd,"",L174&amp;"-")&amp;E174&amp;"-"&amp;INDIRECT(OFFSET(element3,MATCH($C174,resources,0)-1,0))&amp;"-"&amp;INDIRECT(OFFSET(element4,MATCH($C174,resources,0)-1,0))&amp;"-"&amp;INDIRECT(OFFSET(element5,MATCH($C174,resources,0)-1,0))&amp;IF(OFFSET(element6,MATCH($C174,resources,0)-1,0)="","","-"&amp;INDIRECT(OFFSET(element6,MATCH($C174,resources,0)-1,0)))&amp;IF(abbrAtEnd,"-"&amp;L174,"")</f>
        <v>#N/A</v>
      </c>
      <c r="N174" s="4" t="str">
        <f t="shared" si="17"/>
        <v>-000</v>
      </c>
      <c r="O174" s="4">
        <f ca="1">IF(totalElements+COUNTIF(Entities!$C$10,"*")+COUNTIF(B174:C174,"*")+COUNTIF(E174:F174,"*")=9,1,0)</f>
        <v>0</v>
      </c>
      <c r="P174" s="4">
        <f>COUNTIF($C$6:C174,C174)</f>
        <v>0</v>
      </c>
      <c r="Q174" s="4">
        <f ca="1">IF(ISNA(M174),0,COUNTIF($M$6:M174,M174))</f>
        <v>0</v>
      </c>
      <c r="R174" s="4" t="e">
        <f t="shared" ca="1" si="16"/>
        <v>#N/A</v>
      </c>
      <c r="S174" s="4">
        <f ca="1">IF(ISNA(M174),0,COUNTIF($R$6:R174,R174))</f>
        <v>0</v>
      </c>
      <c r="T174" s="4" t="e">
        <f t="shared" ca="1" si="5"/>
        <v>#N/A</v>
      </c>
    </row>
    <row r="175" spans="2:20" x14ac:dyDescent="0.3">
      <c r="B175" s="48"/>
      <c r="C175" s="48"/>
      <c r="D175" s="10" t="str">
        <f t="shared" ca="1" si="14"/>
        <v/>
      </c>
      <c r="E175" s="48"/>
      <c r="F175" s="48"/>
      <c r="G175" s="10" t="str">
        <f t="shared" ca="1" si="18"/>
        <v/>
      </c>
      <c r="I175" s="10" t="str">
        <f t="shared" ca="1" si="15"/>
        <v/>
      </c>
      <c r="K175" s="4" t="e">
        <f t="shared" ca="1" si="3"/>
        <v>#N/A</v>
      </c>
      <c r="L175" s="4" t="e">
        <f>VLOOKUP(C175,_resources!B:D,3,0)</f>
        <v>#N/A</v>
      </c>
      <c r="M175" s="4" t="e" cm="1">
        <f t="array" aca="1" ref="M175" ca="1">IF(abbrAtEnd,"",L175&amp;"-")&amp;E175&amp;"-"&amp;INDIRECT(OFFSET(element3,MATCH($C175,resources,0)-1,0))&amp;"-"&amp;INDIRECT(OFFSET(element4,MATCH($C175,resources,0)-1,0))&amp;"-"&amp;INDIRECT(OFFSET(element5,MATCH($C175,resources,0)-1,0))&amp;IF(OFFSET(element6,MATCH($C175,resources,0)-1,0)="","","-"&amp;INDIRECT(OFFSET(element6,MATCH($C175,resources,0)-1,0)))&amp;IF(abbrAtEnd,"-"&amp;L175,"")</f>
        <v>#N/A</v>
      </c>
      <c r="N175" s="4" t="str">
        <f t="shared" si="17"/>
        <v>-000</v>
      </c>
      <c r="O175" s="4">
        <f ca="1">IF(totalElements+COUNTIF(Entities!$C$10,"*")+COUNTIF(B175:C175,"*")+COUNTIF(E175:F175,"*")=9,1,0)</f>
        <v>0</v>
      </c>
      <c r="P175" s="4">
        <f>COUNTIF($C$6:C175,C175)</f>
        <v>0</v>
      </c>
      <c r="Q175" s="4">
        <f ca="1">IF(ISNA(M175),0,COUNTIF($M$6:M175,M175))</f>
        <v>0</v>
      </c>
      <c r="R175" s="4" t="e">
        <f t="shared" ca="1" si="16"/>
        <v>#N/A</v>
      </c>
      <c r="S175" s="4">
        <f ca="1">IF(ISNA(M175),0,COUNTIF($R$6:R175,R175))</f>
        <v>0</v>
      </c>
      <c r="T175" s="4" t="e">
        <f t="shared" ca="1" si="5"/>
        <v>#N/A</v>
      </c>
    </row>
    <row r="176" spans="2:20" x14ac:dyDescent="0.3">
      <c r="B176" s="48"/>
      <c r="C176" s="48"/>
      <c r="D176" s="10" t="str">
        <f t="shared" ca="1" si="14"/>
        <v/>
      </c>
      <c r="E176" s="48"/>
      <c r="F176" s="48"/>
      <c r="G176" s="10" t="str">
        <f t="shared" ca="1" si="18"/>
        <v/>
      </c>
      <c r="I176" s="10" t="str">
        <f t="shared" ca="1" si="15"/>
        <v/>
      </c>
      <c r="K176" s="4" t="e">
        <f t="shared" ca="1" si="3"/>
        <v>#N/A</v>
      </c>
      <c r="L176" s="4" t="e">
        <f>VLOOKUP(C176,_resources!B:D,3,0)</f>
        <v>#N/A</v>
      </c>
      <c r="M176" s="4" t="e" cm="1">
        <f t="array" aca="1" ref="M176" ca="1">IF(abbrAtEnd,"",L176&amp;"-")&amp;E176&amp;"-"&amp;INDIRECT(OFFSET(element3,MATCH($C176,resources,0)-1,0))&amp;"-"&amp;INDIRECT(OFFSET(element4,MATCH($C176,resources,0)-1,0))&amp;"-"&amp;INDIRECT(OFFSET(element5,MATCH($C176,resources,0)-1,0))&amp;IF(OFFSET(element6,MATCH($C176,resources,0)-1,0)="","","-"&amp;INDIRECT(OFFSET(element6,MATCH($C176,resources,0)-1,0)))&amp;IF(abbrAtEnd,"-"&amp;L176,"")</f>
        <v>#N/A</v>
      </c>
      <c r="N176" s="4" t="str">
        <f t="shared" si="17"/>
        <v>-000</v>
      </c>
      <c r="O176" s="4">
        <f ca="1">IF(totalElements+COUNTIF(Entities!$C$10,"*")+COUNTIF(B176:C176,"*")+COUNTIF(E176:F176,"*")=9,1,0)</f>
        <v>0</v>
      </c>
      <c r="P176" s="4">
        <f>COUNTIF($C$6:C176,C176)</f>
        <v>0</v>
      </c>
      <c r="Q176" s="4">
        <f ca="1">IF(ISNA(M176),0,COUNTIF($M$6:M176,M176))</f>
        <v>0</v>
      </c>
      <c r="R176" s="4" t="e">
        <f t="shared" ca="1" si="16"/>
        <v>#N/A</v>
      </c>
      <c r="S176" s="4">
        <f ca="1">IF(ISNA(M176),0,COUNTIF($R$6:R176,R176))</f>
        <v>0</v>
      </c>
      <c r="T176" s="4" t="e">
        <f t="shared" ca="1" si="5"/>
        <v>#N/A</v>
      </c>
    </row>
    <row r="177" spans="2:20" x14ac:dyDescent="0.3">
      <c r="B177" s="48"/>
      <c r="C177" s="48"/>
      <c r="D177" s="10" t="str">
        <f t="shared" ref="D177:D240" ca="1" si="19">IF(ISBLANK(C177),"",OFFSET(element2,MATCH($C177,resources,0)-1,0))</f>
        <v/>
      </c>
      <c r="E177" s="48"/>
      <c r="F177" s="48"/>
      <c r="G177" s="10" t="str">
        <f t="shared" ca="1" si="18"/>
        <v/>
      </c>
      <c r="I177" s="10" t="str">
        <f t="shared" ref="I177:I240" ca="1" si="20">IF(O177,IF(LEN(G177)&gt;T177,"Name too Long (length: "&amp;LEN(G177)&amp;", max. "&amp;T177&amp;")","None"),"")</f>
        <v/>
      </c>
      <c r="K177" s="4" t="e">
        <f t="shared" ca="1" si="3"/>
        <v>#N/A</v>
      </c>
      <c r="L177" s="4" t="e">
        <f>VLOOKUP(C177,_resources!B:D,3,0)</f>
        <v>#N/A</v>
      </c>
      <c r="M177" s="4" t="e" cm="1">
        <f t="array" aca="1" ref="M177" ca="1">IF(abbrAtEnd,"",L177&amp;"-")&amp;E177&amp;"-"&amp;INDIRECT(OFFSET(element3,MATCH($C177,resources,0)-1,0))&amp;"-"&amp;INDIRECT(OFFSET(element4,MATCH($C177,resources,0)-1,0))&amp;"-"&amp;INDIRECT(OFFSET(element5,MATCH($C177,resources,0)-1,0))&amp;IF(OFFSET(element6,MATCH($C177,resources,0)-1,0)="","","-"&amp;INDIRECT(OFFSET(element6,MATCH($C177,resources,0)-1,0)))&amp;IF(abbrAtEnd,"-"&amp;L177,"")</f>
        <v>#N/A</v>
      </c>
      <c r="N177" s="4" t="str">
        <f t="shared" si="17"/>
        <v>-000</v>
      </c>
      <c r="O177" s="4">
        <f ca="1">IF(totalElements+COUNTIF(Entities!$C$10,"*")+COUNTIF(B177:C177,"*")+COUNTIF(E177:F177,"*")=9,1,0)</f>
        <v>0</v>
      </c>
      <c r="P177" s="4">
        <f>COUNTIF($C$6:C177,C177)</f>
        <v>0</v>
      </c>
      <c r="Q177" s="4">
        <f ca="1">IF(ISNA(M177),0,COUNTIF($M$6:M177,M177))</f>
        <v>0</v>
      </c>
      <c r="R177" s="4" t="e">
        <f t="shared" ca="1" si="16"/>
        <v>#N/A</v>
      </c>
      <c r="S177" s="4">
        <f ca="1">IF(ISNA(M177),0,COUNTIF($R$6:R177,R177))</f>
        <v>0</v>
      </c>
      <c r="T177" s="4" t="e">
        <f t="shared" ca="1" si="5"/>
        <v>#N/A</v>
      </c>
    </row>
    <row r="178" spans="2:20" x14ac:dyDescent="0.3">
      <c r="B178" s="48"/>
      <c r="C178" s="48"/>
      <c r="D178" s="10" t="str">
        <f t="shared" ca="1" si="19"/>
        <v/>
      </c>
      <c r="E178" s="48"/>
      <c r="F178" s="48"/>
      <c r="G178" s="10" t="str">
        <f t="shared" ca="1" si="18"/>
        <v/>
      </c>
      <c r="I178" s="10" t="str">
        <f t="shared" ca="1" si="20"/>
        <v/>
      </c>
      <c r="K178" s="4" t="e">
        <f t="shared" ca="1" si="3"/>
        <v>#N/A</v>
      </c>
      <c r="L178" s="4" t="e">
        <f>VLOOKUP(C178,_resources!B:D,3,0)</f>
        <v>#N/A</v>
      </c>
      <c r="M178" s="4" t="e" cm="1">
        <f t="array" aca="1" ref="M178" ca="1">IF(abbrAtEnd,"",L178&amp;"-")&amp;E178&amp;"-"&amp;INDIRECT(OFFSET(element3,MATCH($C178,resources,0)-1,0))&amp;"-"&amp;INDIRECT(OFFSET(element4,MATCH($C178,resources,0)-1,0))&amp;"-"&amp;INDIRECT(OFFSET(element5,MATCH($C178,resources,0)-1,0))&amp;IF(OFFSET(element6,MATCH($C178,resources,0)-1,0)="","","-"&amp;INDIRECT(OFFSET(element6,MATCH($C178,resources,0)-1,0)))&amp;IF(abbrAtEnd,"-"&amp;L178,"")</f>
        <v>#N/A</v>
      </c>
      <c r="N178" s="4" t="str">
        <f t="shared" si="17"/>
        <v>-000</v>
      </c>
      <c r="O178" s="4">
        <f ca="1">IF(totalElements+COUNTIF(Entities!$C$10,"*")+COUNTIF(B178:C178,"*")+COUNTIF(E178:F178,"*")=9,1,0)</f>
        <v>0</v>
      </c>
      <c r="P178" s="4">
        <f>COUNTIF($C$6:C178,C178)</f>
        <v>0</v>
      </c>
      <c r="Q178" s="4">
        <f ca="1">IF(ISNA(M178),0,COUNTIF($M$6:M178,M178))</f>
        <v>0</v>
      </c>
      <c r="R178" s="4" t="e">
        <f t="shared" ca="1" si="16"/>
        <v>#N/A</v>
      </c>
      <c r="S178" s="4">
        <f ca="1">IF(ISNA(M178),0,COUNTIF($R$6:R178,R178))</f>
        <v>0</v>
      </c>
      <c r="T178" s="4" t="e">
        <f t="shared" ca="1" si="5"/>
        <v>#N/A</v>
      </c>
    </row>
    <row r="179" spans="2:20" x14ac:dyDescent="0.3">
      <c r="B179" s="48"/>
      <c r="C179" s="48"/>
      <c r="D179" s="10" t="str">
        <f t="shared" ca="1" si="19"/>
        <v/>
      </c>
      <c r="E179" s="48"/>
      <c r="F179" s="48"/>
      <c r="G179" s="10" t="str">
        <f t="shared" ca="1" si="18"/>
        <v/>
      </c>
      <c r="I179" s="10" t="str">
        <f t="shared" ca="1" si="20"/>
        <v/>
      </c>
      <c r="K179" s="4" t="e">
        <f t="shared" ca="1" si="3"/>
        <v>#N/A</v>
      </c>
      <c r="L179" s="4" t="e">
        <f>VLOOKUP(C179,_resources!B:D,3,0)</f>
        <v>#N/A</v>
      </c>
      <c r="M179" s="4" t="e" cm="1">
        <f t="array" aca="1" ref="M179" ca="1">IF(abbrAtEnd,"",L179&amp;"-")&amp;E179&amp;"-"&amp;INDIRECT(OFFSET(element3,MATCH($C179,resources,0)-1,0))&amp;"-"&amp;INDIRECT(OFFSET(element4,MATCH($C179,resources,0)-1,0))&amp;"-"&amp;INDIRECT(OFFSET(element5,MATCH($C179,resources,0)-1,0))&amp;IF(OFFSET(element6,MATCH($C179,resources,0)-1,0)="","","-"&amp;INDIRECT(OFFSET(element6,MATCH($C179,resources,0)-1,0)))&amp;IF(abbrAtEnd,"-"&amp;L179,"")</f>
        <v>#N/A</v>
      </c>
      <c r="N179" s="4" t="str">
        <f t="shared" si="17"/>
        <v>-000</v>
      </c>
      <c r="O179" s="4">
        <f ca="1">IF(totalElements+COUNTIF(Entities!$C$10,"*")+COUNTIF(B179:C179,"*")+COUNTIF(E179:F179,"*")=9,1,0)</f>
        <v>0</v>
      </c>
      <c r="P179" s="4">
        <f>COUNTIF($C$6:C179,C179)</f>
        <v>0</v>
      </c>
      <c r="Q179" s="4">
        <f ca="1">IF(ISNA(M179),0,COUNTIF($M$6:M179,M179))</f>
        <v>0</v>
      </c>
      <c r="R179" s="4" t="e">
        <f t="shared" ca="1" si="16"/>
        <v>#N/A</v>
      </c>
      <c r="S179" s="4">
        <f ca="1">IF(ISNA(M179),0,COUNTIF($R$6:R179,R179))</f>
        <v>0</v>
      </c>
      <c r="T179" s="4" t="e">
        <f t="shared" ca="1" si="5"/>
        <v>#N/A</v>
      </c>
    </row>
    <row r="180" spans="2:20" x14ac:dyDescent="0.3">
      <c r="B180" s="48"/>
      <c r="C180" s="48"/>
      <c r="D180" s="10" t="str">
        <f t="shared" ca="1" si="19"/>
        <v/>
      </c>
      <c r="E180" s="48"/>
      <c r="F180" s="48"/>
      <c r="G180" s="10" t="str">
        <f t="shared" ca="1" si="18"/>
        <v/>
      </c>
      <c r="I180" s="10" t="str">
        <f t="shared" ca="1" si="20"/>
        <v/>
      </c>
      <c r="K180" s="4" t="e">
        <f t="shared" ca="1" si="3"/>
        <v>#N/A</v>
      </c>
      <c r="L180" s="4" t="e">
        <f>VLOOKUP(C180,_resources!B:D,3,0)</f>
        <v>#N/A</v>
      </c>
      <c r="M180" s="4" t="e" cm="1">
        <f t="array" aca="1" ref="M180" ca="1">IF(abbrAtEnd,"",L180&amp;"-")&amp;E180&amp;"-"&amp;INDIRECT(OFFSET(element3,MATCH($C180,resources,0)-1,0))&amp;"-"&amp;INDIRECT(OFFSET(element4,MATCH($C180,resources,0)-1,0))&amp;"-"&amp;INDIRECT(OFFSET(element5,MATCH($C180,resources,0)-1,0))&amp;IF(OFFSET(element6,MATCH($C180,resources,0)-1,0)="","","-"&amp;INDIRECT(OFFSET(element6,MATCH($C180,resources,0)-1,0)))&amp;IF(abbrAtEnd,"-"&amp;L180,"")</f>
        <v>#N/A</v>
      </c>
      <c r="N180" s="4" t="str">
        <f t="shared" si="17"/>
        <v>-000</v>
      </c>
      <c r="O180" s="4">
        <f ca="1">IF(totalElements+COUNTIF(Entities!$C$10,"*")+COUNTIF(B180:C180,"*")+COUNTIF(E180:F180,"*")=9,1,0)</f>
        <v>0</v>
      </c>
      <c r="P180" s="4">
        <f>COUNTIF($C$6:C180,C180)</f>
        <v>0</v>
      </c>
      <c r="Q180" s="4">
        <f ca="1">IF(ISNA(M180),0,COUNTIF($M$6:M180,M180))</f>
        <v>0</v>
      </c>
      <c r="R180" s="4" t="e">
        <f t="shared" ca="1" si="16"/>
        <v>#N/A</v>
      </c>
      <c r="S180" s="4">
        <f ca="1">IF(ISNA(M180),0,COUNTIF($R$6:R180,R180))</f>
        <v>0</v>
      </c>
      <c r="T180" s="4" t="e">
        <f t="shared" ca="1" si="5"/>
        <v>#N/A</v>
      </c>
    </row>
    <row r="181" spans="2:20" x14ac:dyDescent="0.3">
      <c r="B181" s="48"/>
      <c r="C181" s="48"/>
      <c r="D181" s="10" t="str">
        <f t="shared" ca="1" si="19"/>
        <v/>
      </c>
      <c r="E181" s="48"/>
      <c r="F181" s="48"/>
      <c r="G181" s="10" t="str">
        <f t="shared" ca="1" si="18"/>
        <v/>
      </c>
      <c r="I181" s="10" t="str">
        <f t="shared" ca="1" si="20"/>
        <v/>
      </c>
      <c r="K181" s="4" t="e">
        <f t="shared" ca="1" si="3"/>
        <v>#N/A</v>
      </c>
      <c r="L181" s="4" t="e">
        <f>VLOOKUP(C181,_resources!B:D,3,0)</f>
        <v>#N/A</v>
      </c>
      <c r="M181" s="4" t="e" cm="1">
        <f t="array" aca="1" ref="M181" ca="1">IF(abbrAtEnd,"",L181&amp;"-")&amp;E181&amp;"-"&amp;INDIRECT(OFFSET(element3,MATCH($C181,resources,0)-1,0))&amp;"-"&amp;INDIRECT(OFFSET(element4,MATCH($C181,resources,0)-1,0))&amp;"-"&amp;INDIRECT(OFFSET(element5,MATCH($C181,resources,0)-1,0))&amp;IF(OFFSET(element6,MATCH($C181,resources,0)-1,0)="","","-"&amp;INDIRECT(OFFSET(element6,MATCH($C181,resources,0)-1,0)))&amp;IF(abbrAtEnd,"-"&amp;L181,"")</f>
        <v>#N/A</v>
      </c>
      <c r="N181" s="4" t="str">
        <f t="shared" si="17"/>
        <v>-000</v>
      </c>
      <c r="O181" s="4">
        <f ca="1">IF(totalElements+COUNTIF(Entities!$C$10,"*")+COUNTIF(B181:C181,"*")+COUNTIF(E181:F181,"*")=9,1,0)</f>
        <v>0</v>
      </c>
      <c r="P181" s="4">
        <f>COUNTIF($C$6:C181,C181)</f>
        <v>0</v>
      </c>
      <c r="Q181" s="4">
        <f ca="1">IF(ISNA(M181),0,COUNTIF($M$6:M181,M181))</f>
        <v>0</v>
      </c>
      <c r="R181" s="4" t="e">
        <f t="shared" ca="1" si="16"/>
        <v>#N/A</v>
      </c>
      <c r="S181" s="4">
        <f ca="1">IF(ISNA(M181),0,COUNTIF($R$6:R181,R181))</f>
        <v>0</v>
      </c>
      <c r="T181" s="4" t="e">
        <f t="shared" ca="1" si="5"/>
        <v>#N/A</v>
      </c>
    </row>
    <row r="182" spans="2:20" x14ac:dyDescent="0.3">
      <c r="B182" s="48"/>
      <c r="C182" s="48"/>
      <c r="D182" s="10" t="str">
        <f t="shared" ca="1" si="19"/>
        <v/>
      </c>
      <c r="E182" s="48"/>
      <c r="F182" s="48"/>
      <c r="G182" s="10" t="str">
        <f t="shared" ca="1" si="18"/>
        <v/>
      </c>
      <c r="I182" s="10" t="str">
        <f t="shared" ca="1" si="20"/>
        <v/>
      </c>
      <c r="K182" s="4" t="e">
        <f t="shared" ca="1" si="3"/>
        <v>#N/A</v>
      </c>
      <c r="L182" s="4" t="e">
        <f>VLOOKUP(C182,_resources!B:D,3,0)</f>
        <v>#N/A</v>
      </c>
      <c r="M182" s="4" t="e" cm="1">
        <f t="array" aca="1" ref="M182" ca="1">IF(abbrAtEnd,"",L182&amp;"-")&amp;E182&amp;"-"&amp;INDIRECT(OFFSET(element3,MATCH($C182,resources,0)-1,0))&amp;"-"&amp;INDIRECT(OFFSET(element4,MATCH($C182,resources,0)-1,0))&amp;"-"&amp;INDIRECT(OFFSET(element5,MATCH($C182,resources,0)-1,0))&amp;IF(OFFSET(element6,MATCH($C182,resources,0)-1,0)="","","-"&amp;INDIRECT(OFFSET(element6,MATCH($C182,resources,0)-1,0)))&amp;IF(abbrAtEnd,"-"&amp;L182,"")</f>
        <v>#N/A</v>
      </c>
      <c r="N182" s="4" t="str">
        <f t="shared" si="17"/>
        <v>-000</v>
      </c>
      <c r="O182" s="4">
        <f ca="1">IF(totalElements+COUNTIF(Entities!$C$10,"*")+COUNTIF(B182:C182,"*")+COUNTIF(E182:F182,"*")=9,1,0)</f>
        <v>0</v>
      </c>
      <c r="P182" s="4">
        <f>COUNTIF($C$6:C182,C182)</f>
        <v>0</v>
      </c>
      <c r="Q182" s="4">
        <f ca="1">IF(ISNA(M182),0,COUNTIF($M$6:M182,M182))</f>
        <v>0</v>
      </c>
      <c r="R182" s="4" t="e">
        <f t="shared" ca="1" si="16"/>
        <v>#N/A</v>
      </c>
      <c r="S182" s="4">
        <f ca="1">IF(ISNA(M182),0,COUNTIF($R$6:R182,R182))</f>
        <v>0</v>
      </c>
      <c r="T182" s="4" t="e">
        <f t="shared" ca="1" si="5"/>
        <v>#N/A</v>
      </c>
    </row>
    <row r="183" spans="2:20" x14ac:dyDescent="0.3">
      <c r="B183" s="48"/>
      <c r="C183" s="48"/>
      <c r="D183" s="10" t="str">
        <f t="shared" ca="1" si="19"/>
        <v/>
      </c>
      <c r="E183" s="48"/>
      <c r="F183" s="48"/>
      <c r="G183" s="10" t="str">
        <f t="shared" ca="1" si="18"/>
        <v/>
      </c>
      <c r="I183" s="10" t="str">
        <f t="shared" ca="1" si="20"/>
        <v/>
      </c>
      <c r="K183" s="4" t="e">
        <f t="shared" ca="1" si="3"/>
        <v>#N/A</v>
      </c>
      <c r="L183" s="4" t="e">
        <f>VLOOKUP(C183,_resources!B:D,3,0)</f>
        <v>#N/A</v>
      </c>
      <c r="M183" s="4" t="e" cm="1">
        <f t="array" aca="1" ref="M183" ca="1">IF(abbrAtEnd,"",L183&amp;"-")&amp;E183&amp;"-"&amp;INDIRECT(OFFSET(element3,MATCH($C183,resources,0)-1,0))&amp;"-"&amp;INDIRECT(OFFSET(element4,MATCH($C183,resources,0)-1,0))&amp;"-"&amp;INDIRECT(OFFSET(element5,MATCH($C183,resources,0)-1,0))&amp;IF(OFFSET(element6,MATCH($C183,resources,0)-1,0)="","","-"&amp;INDIRECT(OFFSET(element6,MATCH($C183,resources,0)-1,0)))&amp;IF(abbrAtEnd,"-"&amp;L183,"")</f>
        <v>#N/A</v>
      </c>
      <c r="N183" s="4" t="str">
        <f t="shared" si="17"/>
        <v>-000</v>
      </c>
      <c r="O183" s="4">
        <f ca="1">IF(totalElements+COUNTIF(Entities!$C$10,"*")+COUNTIF(B183:C183,"*")+COUNTIF(E183:F183,"*")=9,1,0)</f>
        <v>0</v>
      </c>
      <c r="P183" s="4">
        <f>COUNTIF($C$6:C183,C183)</f>
        <v>0</v>
      </c>
      <c r="Q183" s="4">
        <f ca="1">IF(ISNA(M183),0,COUNTIF($M$6:M183,M183))</f>
        <v>0</v>
      </c>
      <c r="R183" s="4" t="e">
        <f t="shared" ca="1" si="16"/>
        <v>#N/A</v>
      </c>
      <c r="S183" s="4">
        <f ca="1">IF(ISNA(M183),0,COUNTIF($R$6:R183,R183))</f>
        <v>0</v>
      </c>
      <c r="T183" s="4" t="e">
        <f t="shared" ca="1" si="5"/>
        <v>#N/A</v>
      </c>
    </row>
    <row r="184" spans="2:20" x14ac:dyDescent="0.3">
      <c r="B184" s="48"/>
      <c r="C184" s="48"/>
      <c r="D184" s="10" t="str">
        <f t="shared" ca="1" si="19"/>
        <v/>
      </c>
      <c r="E184" s="48"/>
      <c r="F184" s="48"/>
      <c r="G184" s="10" t="str">
        <f t="shared" ca="1" si="18"/>
        <v/>
      </c>
      <c r="I184" s="10" t="str">
        <f t="shared" ca="1" si="20"/>
        <v/>
      </c>
      <c r="K184" s="4" t="e">
        <f t="shared" ca="1" si="3"/>
        <v>#N/A</v>
      </c>
      <c r="L184" s="4" t="e">
        <f>VLOOKUP(C184,_resources!B:D,3,0)</f>
        <v>#N/A</v>
      </c>
      <c r="M184" s="4" t="e" cm="1">
        <f t="array" aca="1" ref="M184" ca="1">IF(abbrAtEnd,"",L184&amp;"-")&amp;E184&amp;"-"&amp;INDIRECT(OFFSET(element3,MATCH($C184,resources,0)-1,0))&amp;"-"&amp;INDIRECT(OFFSET(element4,MATCH($C184,resources,0)-1,0))&amp;"-"&amp;INDIRECT(OFFSET(element5,MATCH($C184,resources,0)-1,0))&amp;IF(OFFSET(element6,MATCH($C184,resources,0)-1,0)="","","-"&amp;INDIRECT(OFFSET(element6,MATCH($C184,resources,0)-1,0)))&amp;IF(abbrAtEnd,"-"&amp;L184,"")</f>
        <v>#N/A</v>
      </c>
      <c r="N184" s="4" t="str">
        <f t="shared" si="17"/>
        <v>-000</v>
      </c>
      <c r="O184" s="4">
        <f ca="1">IF(totalElements+COUNTIF(Entities!$C$10,"*")+COUNTIF(B184:C184,"*")+COUNTIF(E184:F184,"*")=9,1,0)</f>
        <v>0</v>
      </c>
      <c r="P184" s="4">
        <f>COUNTIF($C$6:C184,C184)</f>
        <v>0</v>
      </c>
      <c r="Q184" s="4">
        <f ca="1">IF(ISNA(M184),0,COUNTIF($M$6:M184,M184))</f>
        <v>0</v>
      </c>
      <c r="R184" s="4" t="e">
        <f t="shared" ca="1" si="16"/>
        <v>#N/A</v>
      </c>
      <c r="S184" s="4">
        <f ca="1">IF(ISNA(M184),0,COUNTIF($R$6:R184,R184))</f>
        <v>0</v>
      </c>
      <c r="T184" s="4" t="e">
        <f t="shared" ca="1" si="5"/>
        <v>#N/A</v>
      </c>
    </row>
    <row r="185" spans="2:20" x14ac:dyDescent="0.3">
      <c r="B185" s="48"/>
      <c r="C185" s="48"/>
      <c r="D185" s="10" t="str">
        <f t="shared" ca="1" si="19"/>
        <v/>
      </c>
      <c r="E185" s="48"/>
      <c r="F185" s="48"/>
      <c r="G185" s="10" t="str">
        <f t="shared" ca="1" si="18"/>
        <v/>
      </c>
      <c r="I185" s="10" t="str">
        <f t="shared" ca="1" si="20"/>
        <v/>
      </c>
      <c r="K185" s="4" t="e">
        <f t="shared" ca="1" si="3"/>
        <v>#N/A</v>
      </c>
      <c r="L185" s="4" t="e">
        <f>VLOOKUP(C185,_resources!B:D,3,0)</f>
        <v>#N/A</v>
      </c>
      <c r="M185" s="4" t="e" cm="1">
        <f t="array" aca="1" ref="M185" ca="1">IF(abbrAtEnd,"",L185&amp;"-")&amp;E185&amp;"-"&amp;INDIRECT(OFFSET(element3,MATCH($C185,resources,0)-1,0))&amp;"-"&amp;INDIRECT(OFFSET(element4,MATCH($C185,resources,0)-1,0))&amp;"-"&amp;INDIRECT(OFFSET(element5,MATCH($C185,resources,0)-1,0))&amp;IF(OFFSET(element6,MATCH($C185,resources,0)-1,0)="","","-"&amp;INDIRECT(OFFSET(element6,MATCH($C185,resources,0)-1,0)))&amp;IF(abbrAtEnd,"-"&amp;L185,"")</f>
        <v>#N/A</v>
      </c>
      <c r="N185" s="4" t="str">
        <f t="shared" si="17"/>
        <v>-000</v>
      </c>
      <c r="O185" s="4">
        <f ca="1">IF(totalElements+COUNTIF(Entities!$C$10,"*")+COUNTIF(B185:C185,"*")+COUNTIF(E185:F185,"*")=9,1,0)</f>
        <v>0</v>
      </c>
      <c r="P185" s="4">
        <f>COUNTIF($C$6:C185,C185)</f>
        <v>0</v>
      </c>
      <c r="Q185" s="4">
        <f ca="1">IF(ISNA(M185),0,COUNTIF($M$6:M185,M185))</f>
        <v>0</v>
      </c>
      <c r="R185" s="4" t="e">
        <f t="shared" ca="1" si="16"/>
        <v>#N/A</v>
      </c>
      <c r="S185" s="4">
        <f ca="1">IF(ISNA(M185),0,COUNTIF($R$6:R185,R185))</f>
        <v>0</v>
      </c>
      <c r="T185" s="4" t="e">
        <f t="shared" ca="1" si="5"/>
        <v>#N/A</v>
      </c>
    </row>
    <row r="186" spans="2:20" x14ac:dyDescent="0.3">
      <c r="B186" s="48"/>
      <c r="C186" s="48"/>
      <c r="D186" s="10" t="str">
        <f t="shared" ca="1" si="19"/>
        <v/>
      </c>
      <c r="E186" s="48"/>
      <c r="F186" s="48"/>
      <c r="G186" s="10" t="str">
        <f t="shared" ca="1" si="18"/>
        <v/>
      </c>
      <c r="I186" s="10" t="str">
        <f t="shared" ca="1" si="20"/>
        <v/>
      </c>
      <c r="K186" s="4" t="e">
        <f t="shared" ca="1" si="3"/>
        <v>#N/A</v>
      </c>
      <c r="L186" s="4" t="e">
        <f>VLOOKUP(C186,_resources!B:D,3,0)</f>
        <v>#N/A</v>
      </c>
      <c r="M186" s="4" t="e" cm="1">
        <f t="array" aca="1" ref="M186" ca="1">IF(abbrAtEnd,"",L186&amp;"-")&amp;E186&amp;"-"&amp;INDIRECT(OFFSET(element3,MATCH($C186,resources,0)-1,0))&amp;"-"&amp;INDIRECT(OFFSET(element4,MATCH($C186,resources,0)-1,0))&amp;"-"&amp;INDIRECT(OFFSET(element5,MATCH($C186,resources,0)-1,0))&amp;IF(OFFSET(element6,MATCH($C186,resources,0)-1,0)="","","-"&amp;INDIRECT(OFFSET(element6,MATCH($C186,resources,0)-1,0)))&amp;IF(abbrAtEnd,"-"&amp;L186,"")</f>
        <v>#N/A</v>
      </c>
      <c r="N186" s="4" t="str">
        <f t="shared" si="17"/>
        <v>-000</v>
      </c>
      <c r="O186" s="4">
        <f ca="1">IF(totalElements+COUNTIF(Entities!$C$10,"*")+COUNTIF(B186:C186,"*")+COUNTIF(E186:F186,"*")=9,1,0)</f>
        <v>0</v>
      </c>
      <c r="P186" s="4">
        <f>COUNTIF($C$6:C186,C186)</f>
        <v>0</v>
      </c>
      <c r="Q186" s="4">
        <f ca="1">IF(ISNA(M186),0,COUNTIF($M$6:M186,M186))</f>
        <v>0</v>
      </c>
      <c r="R186" s="4" t="e">
        <f t="shared" ca="1" si="16"/>
        <v>#N/A</v>
      </c>
      <c r="S186" s="4">
        <f ca="1">IF(ISNA(M186),0,COUNTIF($R$6:R186,R186))</f>
        <v>0</v>
      </c>
      <c r="T186" s="4" t="e">
        <f t="shared" ca="1" si="5"/>
        <v>#N/A</v>
      </c>
    </row>
    <row r="187" spans="2:20" x14ac:dyDescent="0.3">
      <c r="B187" s="48"/>
      <c r="C187" s="48"/>
      <c r="D187" s="10" t="str">
        <f t="shared" ca="1" si="19"/>
        <v/>
      </c>
      <c r="E187" s="48"/>
      <c r="F187" s="48"/>
      <c r="G187" s="10" t="str">
        <f t="shared" ca="1" si="18"/>
        <v/>
      </c>
      <c r="I187" s="10" t="str">
        <f t="shared" ca="1" si="20"/>
        <v/>
      </c>
      <c r="K187" s="4" t="e">
        <f t="shared" ca="1" si="3"/>
        <v>#N/A</v>
      </c>
      <c r="L187" s="4" t="e">
        <f>VLOOKUP(C187,_resources!B:D,3,0)</f>
        <v>#N/A</v>
      </c>
      <c r="M187" s="4" t="e" cm="1">
        <f t="array" aca="1" ref="M187" ca="1">IF(abbrAtEnd,"",L187&amp;"-")&amp;E187&amp;"-"&amp;INDIRECT(OFFSET(element3,MATCH($C187,resources,0)-1,0))&amp;"-"&amp;INDIRECT(OFFSET(element4,MATCH($C187,resources,0)-1,0))&amp;"-"&amp;INDIRECT(OFFSET(element5,MATCH($C187,resources,0)-1,0))&amp;IF(OFFSET(element6,MATCH($C187,resources,0)-1,0)="","","-"&amp;INDIRECT(OFFSET(element6,MATCH($C187,resources,0)-1,0)))&amp;IF(abbrAtEnd,"-"&amp;L187,"")</f>
        <v>#N/A</v>
      </c>
      <c r="N187" s="4" t="str">
        <f t="shared" si="17"/>
        <v>-000</v>
      </c>
      <c r="O187" s="4">
        <f ca="1">IF(totalElements+COUNTIF(Entities!$C$10,"*")+COUNTIF(B187:C187,"*")+COUNTIF(E187:F187,"*")=9,1,0)</f>
        <v>0</v>
      </c>
      <c r="P187" s="4">
        <f>COUNTIF($C$6:C187,C187)</f>
        <v>0</v>
      </c>
      <c r="Q187" s="4">
        <f ca="1">IF(ISNA(M187),0,COUNTIF($M$6:M187,M187))</f>
        <v>0</v>
      </c>
      <c r="R187" s="4" t="e">
        <f t="shared" ca="1" si="16"/>
        <v>#N/A</v>
      </c>
      <c r="S187" s="4">
        <f ca="1">IF(ISNA(M187),0,COUNTIF($R$6:R187,R187))</f>
        <v>0</v>
      </c>
      <c r="T187" s="4" t="e">
        <f t="shared" ca="1" si="5"/>
        <v>#N/A</v>
      </c>
    </row>
    <row r="188" spans="2:20" x14ac:dyDescent="0.3">
      <c r="B188" s="48"/>
      <c r="C188" s="48"/>
      <c r="D188" s="10" t="str">
        <f t="shared" ca="1" si="19"/>
        <v/>
      </c>
      <c r="E188" s="48"/>
      <c r="F188" s="48"/>
      <c r="G188" s="10" t="str">
        <f t="shared" ca="1" si="18"/>
        <v/>
      </c>
      <c r="I188" s="10" t="str">
        <f t="shared" ca="1" si="20"/>
        <v/>
      </c>
      <c r="K188" s="4" t="e">
        <f t="shared" ca="1" si="3"/>
        <v>#N/A</v>
      </c>
      <c r="L188" s="4" t="e">
        <f>VLOOKUP(C188,_resources!B:D,3,0)</f>
        <v>#N/A</v>
      </c>
      <c r="M188" s="4" t="e" cm="1">
        <f t="array" aca="1" ref="M188" ca="1">IF(abbrAtEnd,"",L188&amp;"-")&amp;E188&amp;"-"&amp;INDIRECT(OFFSET(element3,MATCH($C188,resources,0)-1,0))&amp;"-"&amp;INDIRECT(OFFSET(element4,MATCH($C188,resources,0)-1,0))&amp;"-"&amp;INDIRECT(OFFSET(element5,MATCH($C188,resources,0)-1,0))&amp;IF(OFFSET(element6,MATCH($C188,resources,0)-1,0)="","","-"&amp;INDIRECT(OFFSET(element6,MATCH($C188,resources,0)-1,0)))&amp;IF(abbrAtEnd,"-"&amp;L188,"")</f>
        <v>#N/A</v>
      </c>
      <c r="N188" s="4" t="str">
        <f t="shared" si="17"/>
        <v>-000</v>
      </c>
      <c r="O188" s="4">
        <f ca="1">IF(totalElements+COUNTIF(Entities!$C$10,"*")+COUNTIF(B188:C188,"*")+COUNTIF(E188:F188,"*")=9,1,0)</f>
        <v>0</v>
      </c>
      <c r="P188" s="4">
        <f>COUNTIF($C$6:C188,C188)</f>
        <v>0</v>
      </c>
      <c r="Q188" s="4">
        <f ca="1">IF(ISNA(M188),0,COUNTIF($M$6:M188,M188))</f>
        <v>0</v>
      </c>
      <c r="R188" s="4" t="e">
        <f t="shared" ca="1" si="16"/>
        <v>#N/A</v>
      </c>
      <c r="S188" s="4">
        <f ca="1">IF(ISNA(M188),0,COUNTIF($R$6:R188,R188))</f>
        <v>0</v>
      </c>
      <c r="T188" s="4" t="e">
        <f t="shared" ca="1" si="5"/>
        <v>#N/A</v>
      </c>
    </row>
    <row r="189" spans="2:20" x14ac:dyDescent="0.3">
      <c r="B189" s="48"/>
      <c r="C189" s="48"/>
      <c r="D189" s="10" t="str">
        <f t="shared" ca="1" si="19"/>
        <v/>
      </c>
      <c r="E189" s="48"/>
      <c r="F189" s="48"/>
      <c r="G189" s="10" t="str">
        <f t="shared" ca="1" si="18"/>
        <v/>
      </c>
      <c r="I189" s="10" t="str">
        <f t="shared" ca="1" si="20"/>
        <v/>
      </c>
      <c r="K189" s="4" t="e">
        <f t="shared" ca="1" si="3"/>
        <v>#N/A</v>
      </c>
      <c r="L189" s="4" t="e">
        <f>VLOOKUP(C189,_resources!B:D,3,0)</f>
        <v>#N/A</v>
      </c>
      <c r="M189" s="4" t="e" cm="1">
        <f t="array" aca="1" ref="M189" ca="1">IF(abbrAtEnd,"",L189&amp;"-")&amp;E189&amp;"-"&amp;INDIRECT(OFFSET(element3,MATCH($C189,resources,0)-1,0))&amp;"-"&amp;INDIRECT(OFFSET(element4,MATCH($C189,resources,0)-1,0))&amp;"-"&amp;INDIRECT(OFFSET(element5,MATCH($C189,resources,0)-1,0))&amp;IF(OFFSET(element6,MATCH($C189,resources,0)-1,0)="","","-"&amp;INDIRECT(OFFSET(element6,MATCH($C189,resources,0)-1,0)))&amp;IF(abbrAtEnd,"-"&amp;L189,"")</f>
        <v>#N/A</v>
      </c>
      <c r="N189" s="4" t="str">
        <f t="shared" si="17"/>
        <v>-000</v>
      </c>
      <c r="O189" s="4">
        <f ca="1">IF(totalElements+COUNTIF(Entities!$C$10,"*")+COUNTIF(B189:C189,"*")+COUNTIF(E189:F189,"*")=9,1,0)</f>
        <v>0</v>
      </c>
      <c r="P189" s="4">
        <f>COUNTIF($C$6:C189,C189)</f>
        <v>0</v>
      </c>
      <c r="Q189" s="4">
        <f ca="1">IF(ISNA(M189),0,COUNTIF($M$6:M189,M189))</f>
        <v>0</v>
      </c>
      <c r="R189" s="4" t="e">
        <f t="shared" ca="1" si="16"/>
        <v>#N/A</v>
      </c>
      <c r="S189" s="4">
        <f ca="1">IF(ISNA(M189),0,COUNTIF($R$6:R189,R189))</f>
        <v>0</v>
      </c>
      <c r="T189" s="4" t="e">
        <f t="shared" ca="1" si="5"/>
        <v>#N/A</v>
      </c>
    </row>
    <row r="190" spans="2:20" x14ac:dyDescent="0.3">
      <c r="B190" s="48"/>
      <c r="C190" s="48"/>
      <c r="D190" s="10" t="str">
        <f t="shared" ca="1" si="19"/>
        <v/>
      </c>
      <c r="E190" s="48"/>
      <c r="F190" s="48"/>
      <c r="G190" s="10" t="str">
        <f t="shared" ca="1" si="18"/>
        <v/>
      </c>
      <c r="I190" s="10" t="str">
        <f t="shared" ca="1" si="20"/>
        <v/>
      </c>
      <c r="K190" s="4" t="e">
        <f t="shared" ca="1" si="3"/>
        <v>#N/A</v>
      </c>
      <c r="L190" s="4" t="e">
        <f>VLOOKUP(C190,_resources!B:D,3,0)</f>
        <v>#N/A</v>
      </c>
      <c r="M190" s="4" t="e" cm="1">
        <f t="array" aca="1" ref="M190" ca="1">IF(abbrAtEnd,"",L190&amp;"-")&amp;E190&amp;"-"&amp;INDIRECT(OFFSET(element3,MATCH($C190,resources,0)-1,0))&amp;"-"&amp;INDIRECT(OFFSET(element4,MATCH($C190,resources,0)-1,0))&amp;"-"&amp;INDIRECT(OFFSET(element5,MATCH($C190,resources,0)-1,0))&amp;IF(OFFSET(element6,MATCH($C190,resources,0)-1,0)="","","-"&amp;INDIRECT(OFFSET(element6,MATCH($C190,resources,0)-1,0)))&amp;IF(abbrAtEnd,"-"&amp;L190,"")</f>
        <v>#N/A</v>
      </c>
      <c r="N190" s="4" t="str">
        <f t="shared" si="17"/>
        <v>-000</v>
      </c>
      <c r="O190" s="4">
        <f ca="1">IF(totalElements+COUNTIF(Entities!$C$10,"*")+COUNTIF(B190:C190,"*")+COUNTIF(E190:F190,"*")=9,1,0)</f>
        <v>0</v>
      </c>
      <c r="P190" s="4">
        <f>COUNTIF($C$6:C190,C190)</f>
        <v>0</v>
      </c>
      <c r="Q190" s="4">
        <f ca="1">IF(ISNA(M190),0,COUNTIF($M$6:M190,M190))</f>
        <v>0</v>
      </c>
      <c r="R190" s="4" t="e">
        <f t="shared" ca="1" si="16"/>
        <v>#N/A</v>
      </c>
      <c r="S190" s="4">
        <f ca="1">IF(ISNA(M190),0,COUNTIF($R$6:R190,R190))</f>
        <v>0</v>
      </c>
      <c r="T190" s="4" t="e">
        <f t="shared" ca="1" si="5"/>
        <v>#N/A</v>
      </c>
    </row>
    <row r="191" spans="2:20" x14ac:dyDescent="0.3">
      <c r="B191" s="48"/>
      <c r="C191" s="48"/>
      <c r="D191" s="10" t="str">
        <f t="shared" ca="1" si="19"/>
        <v/>
      </c>
      <c r="E191" s="48"/>
      <c r="F191" s="48"/>
      <c r="G191" s="10" t="str">
        <f t="shared" ca="1" si="18"/>
        <v/>
      </c>
      <c r="I191" s="10" t="str">
        <f t="shared" ca="1" si="20"/>
        <v/>
      </c>
      <c r="K191" s="4" t="e">
        <f t="shared" ca="1" si="3"/>
        <v>#N/A</v>
      </c>
      <c r="L191" s="4" t="e">
        <f>VLOOKUP(C191,_resources!B:D,3,0)</f>
        <v>#N/A</v>
      </c>
      <c r="M191" s="4" t="e" cm="1">
        <f t="array" aca="1" ref="M191" ca="1">IF(abbrAtEnd,"",L191&amp;"-")&amp;E191&amp;"-"&amp;INDIRECT(OFFSET(element3,MATCH($C191,resources,0)-1,0))&amp;"-"&amp;INDIRECT(OFFSET(element4,MATCH($C191,resources,0)-1,0))&amp;"-"&amp;INDIRECT(OFFSET(element5,MATCH($C191,resources,0)-1,0))&amp;IF(OFFSET(element6,MATCH($C191,resources,0)-1,0)="","","-"&amp;INDIRECT(OFFSET(element6,MATCH($C191,resources,0)-1,0)))&amp;IF(abbrAtEnd,"-"&amp;L191,"")</f>
        <v>#N/A</v>
      </c>
      <c r="N191" s="4" t="str">
        <f t="shared" si="17"/>
        <v>-000</v>
      </c>
      <c r="O191" s="4">
        <f ca="1">IF(totalElements+COUNTIF(Entities!$C$10,"*")+COUNTIF(B191:C191,"*")+COUNTIF(E191:F191,"*")=9,1,0)</f>
        <v>0</v>
      </c>
      <c r="P191" s="4">
        <f>COUNTIF($C$6:C191,C191)</f>
        <v>0</v>
      </c>
      <c r="Q191" s="4">
        <f ca="1">IF(ISNA(M191),0,COUNTIF($M$6:M191,M191))</f>
        <v>0</v>
      </c>
      <c r="R191" s="4" t="e">
        <f t="shared" ca="1" si="16"/>
        <v>#N/A</v>
      </c>
      <c r="S191" s="4">
        <f ca="1">IF(ISNA(M191),0,COUNTIF($R$6:R191,R191))</f>
        <v>0</v>
      </c>
      <c r="T191" s="4" t="e">
        <f t="shared" ca="1" si="5"/>
        <v>#N/A</v>
      </c>
    </row>
    <row r="192" spans="2:20" x14ac:dyDescent="0.3">
      <c r="B192" s="48"/>
      <c r="C192" s="48"/>
      <c r="D192" s="10" t="str">
        <f t="shared" ca="1" si="19"/>
        <v/>
      </c>
      <c r="E192" s="48"/>
      <c r="F192" s="48"/>
      <c r="G192" s="10" t="str">
        <f t="shared" ca="1" si="18"/>
        <v/>
      </c>
      <c r="I192" s="10" t="str">
        <f t="shared" ca="1" si="20"/>
        <v/>
      </c>
      <c r="K192" s="4" t="e">
        <f t="shared" ca="1" si="3"/>
        <v>#N/A</v>
      </c>
      <c r="L192" s="4" t="e">
        <f>VLOOKUP(C192,_resources!B:D,3,0)</f>
        <v>#N/A</v>
      </c>
      <c r="M192" s="4" t="e" cm="1">
        <f t="array" aca="1" ref="M192" ca="1">IF(abbrAtEnd,"",L192&amp;"-")&amp;E192&amp;"-"&amp;INDIRECT(OFFSET(element3,MATCH($C192,resources,0)-1,0))&amp;"-"&amp;INDIRECT(OFFSET(element4,MATCH($C192,resources,0)-1,0))&amp;"-"&amp;INDIRECT(OFFSET(element5,MATCH($C192,resources,0)-1,0))&amp;IF(OFFSET(element6,MATCH($C192,resources,0)-1,0)="","","-"&amp;INDIRECT(OFFSET(element6,MATCH($C192,resources,0)-1,0)))&amp;IF(abbrAtEnd,"-"&amp;L192,"")</f>
        <v>#N/A</v>
      </c>
      <c r="N192" s="4" t="str">
        <f t="shared" si="17"/>
        <v>-000</v>
      </c>
      <c r="O192" s="4">
        <f ca="1">IF(totalElements+COUNTIF(Entities!$C$10,"*")+COUNTIF(B192:C192,"*")+COUNTIF(E192:F192,"*")=9,1,0)</f>
        <v>0</v>
      </c>
      <c r="P192" s="4">
        <f>COUNTIF($C$6:C192,C192)</f>
        <v>0</v>
      </c>
      <c r="Q192" s="4">
        <f ca="1">IF(ISNA(M192),0,COUNTIF($M$6:M192,M192))</f>
        <v>0</v>
      </c>
      <c r="R192" s="4" t="e">
        <f t="shared" ca="1" si="16"/>
        <v>#N/A</v>
      </c>
      <c r="S192" s="4">
        <f ca="1">IF(ISNA(M192),0,COUNTIF($R$6:R192,R192))</f>
        <v>0</v>
      </c>
      <c r="T192" s="4" t="e">
        <f t="shared" ca="1" si="5"/>
        <v>#N/A</v>
      </c>
    </row>
    <row r="193" spans="2:20" x14ac:dyDescent="0.3">
      <c r="B193" s="48"/>
      <c r="C193" s="48"/>
      <c r="D193" s="10" t="str">
        <f t="shared" ca="1" si="19"/>
        <v/>
      </c>
      <c r="E193" s="48"/>
      <c r="F193" s="48"/>
      <c r="G193" s="10" t="str">
        <f t="shared" ca="1" si="18"/>
        <v/>
      </c>
      <c r="I193" s="10" t="str">
        <f t="shared" ca="1" si="20"/>
        <v/>
      </c>
      <c r="K193" s="4" t="e">
        <f t="shared" ca="1" si="3"/>
        <v>#N/A</v>
      </c>
      <c r="L193" s="4" t="e">
        <f>VLOOKUP(C193,_resources!B:D,3,0)</f>
        <v>#N/A</v>
      </c>
      <c r="M193" s="4" t="e" cm="1">
        <f t="array" aca="1" ref="M193" ca="1">IF(abbrAtEnd,"",L193&amp;"-")&amp;E193&amp;"-"&amp;INDIRECT(OFFSET(element3,MATCH($C193,resources,0)-1,0))&amp;"-"&amp;INDIRECT(OFFSET(element4,MATCH($C193,resources,0)-1,0))&amp;"-"&amp;INDIRECT(OFFSET(element5,MATCH($C193,resources,0)-1,0))&amp;IF(OFFSET(element6,MATCH($C193,resources,0)-1,0)="","","-"&amp;INDIRECT(OFFSET(element6,MATCH($C193,resources,0)-1,0)))&amp;IF(abbrAtEnd,"-"&amp;L193,"")</f>
        <v>#N/A</v>
      </c>
      <c r="N193" s="4" t="str">
        <f t="shared" si="17"/>
        <v>-000</v>
      </c>
      <c r="O193" s="4">
        <f ca="1">IF(totalElements+COUNTIF(Entities!$C$10,"*")+COUNTIF(B193:C193,"*")+COUNTIF(E193:F193,"*")=9,1,0)</f>
        <v>0</v>
      </c>
      <c r="P193" s="4">
        <f>COUNTIF($C$6:C193,C193)</f>
        <v>0</v>
      </c>
      <c r="Q193" s="4">
        <f ca="1">IF(ISNA(M193),0,COUNTIF($M$6:M193,M193))</f>
        <v>0</v>
      </c>
      <c r="R193" s="4" t="e">
        <f t="shared" ca="1" si="16"/>
        <v>#N/A</v>
      </c>
      <c r="S193" s="4">
        <f ca="1">IF(ISNA(M193),0,COUNTIF($R$6:R193,R193))</f>
        <v>0</v>
      </c>
      <c r="T193" s="4" t="e">
        <f t="shared" ca="1" si="5"/>
        <v>#N/A</v>
      </c>
    </row>
    <row r="194" spans="2:20" x14ac:dyDescent="0.3">
      <c r="B194" s="48"/>
      <c r="C194" s="48"/>
      <c r="D194" s="10" t="str">
        <f t="shared" ca="1" si="19"/>
        <v/>
      </c>
      <c r="E194" s="48"/>
      <c r="F194" s="48"/>
      <c r="G194" s="10" t="str">
        <f t="shared" ca="1" si="18"/>
        <v/>
      </c>
      <c r="I194" s="10" t="str">
        <f t="shared" ca="1" si="20"/>
        <v/>
      </c>
      <c r="K194" s="4" t="e">
        <f t="shared" ca="1" si="3"/>
        <v>#N/A</v>
      </c>
      <c r="L194" s="4" t="e">
        <f>VLOOKUP(C194,_resources!B:D,3,0)</f>
        <v>#N/A</v>
      </c>
      <c r="M194" s="4" t="e" cm="1">
        <f t="array" aca="1" ref="M194" ca="1">IF(abbrAtEnd,"",L194&amp;"-")&amp;E194&amp;"-"&amp;INDIRECT(OFFSET(element3,MATCH($C194,resources,0)-1,0))&amp;"-"&amp;INDIRECT(OFFSET(element4,MATCH($C194,resources,0)-1,0))&amp;"-"&amp;INDIRECT(OFFSET(element5,MATCH($C194,resources,0)-1,0))&amp;IF(OFFSET(element6,MATCH($C194,resources,0)-1,0)="","","-"&amp;INDIRECT(OFFSET(element6,MATCH($C194,resources,0)-1,0)))&amp;IF(abbrAtEnd,"-"&amp;L194,"")</f>
        <v>#N/A</v>
      </c>
      <c r="N194" s="4" t="str">
        <f t="shared" si="17"/>
        <v>-000</v>
      </c>
      <c r="O194" s="4">
        <f ca="1">IF(totalElements+COUNTIF(Entities!$C$10,"*")+COUNTIF(B194:C194,"*")+COUNTIF(E194:F194,"*")=9,1,0)</f>
        <v>0</v>
      </c>
      <c r="P194" s="4">
        <f>COUNTIF($C$6:C194,C194)</f>
        <v>0</v>
      </c>
      <c r="Q194" s="4">
        <f ca="1">IF(ISNA(M194),0,COUNTIF($M$6:M194,M194))</f>
        <v>0</v>
      </c>
      <c r="R194" s="4" t="e">
        <f t="shared" ca="1" si="16"/>
        <v>#N/A</v>
      </c>
      <c r="S194" s="4">
        <f ca="1">IF(ISNA(M194),0,COUNTIF($R$6:R194,R194))</f>
        <v>0</v>
      </c>
      <c r="T194" s="4" t="e">
        <f t="shared" ca="1" si="5"/>
        <v>#N/A</v>
      </c>
    </row>
    <row r="195" spans="2:20" x14ac:dyDescent="0.3">
      <c r="B195" s="48"/>
      <c r="C195" s="48"/>
      <c r="D195" s="10" t="str">
        <f t="shared" ca="1" si="19"/>
        <v/>
      </c>
      <c r="E195" s="48"/>
      <c r="F195" s="48"/>
      <c r="G195" s="10" t="str">
        <f t="shared" ca="1" si="18"/>
        <v/>
      </c>
      <c r="I195" s="10" t="str">
        <f t="shared" ca="1" si="20"/>
        <v/>
      </c>
      <c r="K195" s="4" t="e">
        <f t="shared" ca="1" si="3"/>
        <v>#N/A</v>
      </c>
      <c r="L195" s="4" t="e">
        <f>VLOOKUP(C195,_resources!B:D,3,0)</f>
        <v>#N/A</v>
      </c>
      <c r="M195" s="4" t="e" cm="1">
        <f t="array" aca="1" ref="M195" ca="1">IF(abbrAtEnd,"",L195&amp;"-")&amp;E195&amp;"-"&amp;INDIRECT(OFFSET(element3,MATCH($C195,resources,0)-1,0))&amp;"-"&amp;INDIRECT(OFFSET(element4,MATCH($C195,resources,0)-1,0))&amp;"-"&amp;INDIRECT(OFFSET(element5,MATCH($C195,resources,0)-1,0))&amp;IF(OFFSET(element6,MATCH($C195,resources,0)-1,0)="","","-"&amp;INDIRECT(OFFSET(element6,MATCH($C195,resources,0)-1,0)))&amp;IF(abbrAtEnd,"-"&amp;L195,"")</f>
        <v>#N/A</v>
      </c>
      <c r="N195" s="4" t="str">
        <f t="shared" si="17"/>
        <v>-000</v>
      </c>
      <c r="O195" s="4">
        <f ca="1">IF(totalElements+COUNTIF(Entities!$C$10,"*")+COUNTIF(B195:C195,"*")+COUNTIF(E195:F195,"*")=9,1,0)</f>
        <v>0</v>
      </c>
      <c r="P195" s="4">
        <f>COUNTIF($C$6:C195,C195)</f>
        <v>0</v>
      </c>
      <c r="Q195" s="4">
        <f ca="1">IF(ISNA(M195),0,COUNTIF($M$6:M195,M195))</f>
        <v>0</v>
      </c>
      <c r="R195" s="4" t="e">
        <f t="shared" ca="1" si="16"/>
        <v>#N/A</v>
      </c>
      <c r="S195" s="4">
        <f ca="1">IF(ISNA(M195),0,COUNTIF($R$6:R195,R195))</f>
        <v>0</v>
      </c>
      <c r="T195" s="4" t="e">
        <f t="shared" ca="1" si="5"/>
        <v>#N/A</v>
      </c>
    </row>
    <row r="196" spans="2:20" x14ac:dyDescent="0.3">
      <c r="B196" s="48"/>
      <c r="C196" s="48"/>
      <c r="D196" s="10" t="str">
        <f t="shared" ca="1" si="19"/>
        <v/>
      </c>
      <c r="E196" s="48"/>
      <c r="F196" s="48"/>
      <c r="G196" s="10" t="str">
        <f t="shared" ca="1" si="18"/>
        <v/>
      </c>
      <c r="I196" s="10" t="str">
        <f t="shared" ca="1" si="20"/>
        <v/>
      </c>
      <c r="K196" s="4" t="e">
        <f t="shared" ca="1" si="3"/>
        <v>#N/A</v>
      </c>
      <c r="L196" s="4" t="e">
        <f>VLOOKUP(C196,_resources!B:D,3,0)</f>
        <v>#N/A</v>
      </c>
      <c r="M196" s="4" t="e" cm="1">
        <f t="array" aca="1" ref="M196" ca="1">IF(abbrAtEnd,"",L196&amp;"-")&amp;E196&amp;"-"&amp;INDIRECT(OFFSET(element3,MATCH($C196,resources,0)-1,0))&amp;"-"&amp;INDIRECT(OFFSET(element4,MATCH($C196,resources,0)-1,0))&amp;"-"&amp;INDIRECT(OFFSET(element5,MATCH($C196,resources,0)-1,0))&amp;IF(OFFSET(element6,MATCH($C196,resources,0)-1,0)="","","-"&amp;INDIRECT(OFFSET(element6,MATCH($C196,resources,0)-1,0)))&amp;IF(abbrAtEnd,"-"&amp;L196,"")</f>
        <v>#N/A</v>
      </c>
      <c r="N196" s="4" t="str">
        <f t="shared" si="17"/>
        <v>-000</v>
      </c>
      <c r="O196" s="4">
        <f ca="1">IF(totalElements+COUNTIF(Entities!$C$10,"*")+COUNTIF(B196:C196,"*")+COUNTIF(E196:F196,"*")=9,1,0)</f>
        <v>0</v>
      </c>
      <c r="P196" s="4">
        <f>COUNTIF($C$6:C196,C196)</f>
        <v>0</v>
      </c>
      <c r="Q196" s="4">
        <f ca="1">IF(ISNA(M196),0,COUNTIF($M$6:M196,M196))</f>
        <v>0</v>
      </c>
      <c r="R196" s="4" t="e">
        <f t="shared" ca="1" si="16"/>
        <v>#N/A</v>
      </c>
      <c r="S196" s="4">
        <f ca="1">IF(ISNA(M196),0,COUNTIF($R$6:R196,R196))</f>
        <v>0</v>
      </c>
      <c r="T196" s="4" t="e">
        <f t="shared" ca="1" si="5"/>
        <v>#N/A</v>
      </c>
    </row>
    <row r="197" spans="2:20" x14ac:dyDescent="0.3">
      <c r="B197" s="48"/>
      <c r="C197" s="48"/>
      <c r="D197" s="10" t="str">
        <f t="shared" ca="1" si="19"/>
        <v/>
      </c>
      <c r="E197" s="48"/>
      <c r="F197" s="48"/>
      <c r="G197" s="10" t="str">
        <f t="shared" ca="1" si="18"/>
        <v/>
      </c>
      <c r="I197" s="10" t="str">
        <f t="shared" ca="1" si="20"/>
        <v/>
      </c>
      <c r="K197" s="4" t="e">
        <f t="shared" ca="1" si="3"/>
        <v>#N/A</v>
      </c>
      <c r="L197" s="4" t="e">
        <f>VLOOKUP(C197,_resources!B:D,3,0)</f>
        <v>#N/A</v>
      </c>
      <c r="M197" s="4" t="e" cm="1">
        <f t="array" aca="1" ref="M197" ca="1">IF(abbrAtEnd,"",L197&amp;"-")&amp;E197&amp;"-"&amp;INDIRECT(OFFSET(element3,MATCH($C197,resources,0)-1,0))&amp;"-"&amp;INDIRECT(OFFSET(element4,MATCH($C197,resources,0)-1,0))&amp;"-"&amp;INDIRECT(OFFSET(element5,MATCH($C197,resources,0)-1,0))&amp;IF(OFFSET(element6,MATCH($C197,resources,0)-1,0)="","","-"&amp;INDIRECT(OFFSET(element6,MATCH($C197,resources,0)-1,0)))&amp;IF(abbrAtEnd,"-"&amp;L197,"")</f>
        <v>#N/A</v>
      </c>
      <c r="N197" s="4" t="str">
        <f t="shared" si="17"/>
        <v>-000</v>
      </c>
      <c r="O197" s="4">
        <f ca="1">IF(totalElements+COUNTIF(Entities!$C$10,"*")+COUNTIF(B197:C197,"*")+COUNTIF(E197:F197,"*")=9,1,0)</f>
        <v>0</v>
      </c>
      <c r="P197" s="4">
        <f>COUNTIF($C$6:C197,C197)</f>
        <v>0</v>
      </c>
      <c r="Q197" s="4">
        <f ca="1">IF(ISNA(M197),0,COUNTIF($M$6:M197,M197))</f>
        <v>0</v>
      </c>
      <c r="R197" s="4" t="e">
        <f t="shared" ca="1" si="16"/>
        <v>#N/A</v>
      </c>
      <c r="S197" s="4">
        <f ca="1">IF(ISNA(M197),0,COUNTIF($R$6:R197,R197))</f>
        <v>0</v>
      </c>
      <c r="T197" s="4" t="e">
        <f t="shared" ca="1" si="5"/>
        <v>#N/A</v>
      </c>
    </row>
    <row r="198" spans="2:20" x14ac:dyDescent="0.3">
      <c r="B198" s="48"/>
      <c r="C198" s="48"/>
      <c r="D198" s="10" t="str">
        <f t="shared" ca="1" si="19"/>
        <v/>
      </c>
      <c r="E198" s="48"/>
      <c r="F198" s="48"/>
      <c r="G198" s="10" t="str">
        <f t="shared" ca="1" si="18"/>
        <v/>
      </c>
      <c r="I198" s="10" t="str">
        <f t="shared" ca="1" si="20"/>
        <v/>
      </c>
      <c r="K198" s="4" t="e">
        <f t="shared" ca="1" si="3"/>
        <v>#N/A</v>
      </c>
      <c r="L198" s="4" t="e">
        <f>VLOOKUP(C198,_resources!B:D,3,0)</f>
        <v>#N/A</v>
      </c>
      <c r="M198" s="4" t="e" cm="1">
        <f t="array" aca="1" ref="M198" ca="1">IF(abbrAtEnd,"",L198&amp;"-")&amp;E198&amp;"-"&amp;INDIRECT(OFFSET(element3,MATCH($C198,resources,0)-1,0))&amp;"-"&amp;INDIRECT(OFFSET(element4,MATCH($C198,resources,0)-1,0))&amp;"-"&amp;INDIRECT(OFFSET(element5,MATCH($C198,resources,0)-1,0))&amp;IF(OFFSET(element6,MATCH($C198,resources,0)-1,0)="","","-"&amp;INDIRECT(OFFSET(element6,MATCH($C198,resources,0)-1,0)))&amp;IF(abbrAtEnd,"-"&amp;L198,"")</f>
        <v>#N/A</v>
      </c>
      <c r="N198" s="4" t="str">
        <f t="shared" si="17"/>
        <v>-000</v>
      </c>
      <c r="O198" s="4">
        <f ca="1">IF(totalElements+COUNTIF(Entities!$C$10,"*")+COUNTIF(B198:C198,"*")+COUNTIF(E198:F198,"*")=9,1,0)</f>
        <v>0</v>
      </c>
      <c r="P198" s="4">
        <f>COUNTIF($C$6:C198,C198)</f>
        <v>0</v>
      </c>
      <c r="Q198" s="4">
        <f ca="1">IF(ISNA(M198),0,COUNTIF($M$6:M198,M198))</f>
        <v>0</v>
      </c>
      <c r="R198" s="4" t="e">
        <f t="shared" ca="1" si="16"/>
        <v>#N/A</v>
      </c>
      <c r="S198" s="4">
        <f ca="1">IF(ISNA(M198),0,COUNTIF($R$6:R198,R198))</f>
        <v>0</v>
      </c>
      <c r="T198" s="4" t="e">
        <f t="shared" ca="1" si="5"/>
        <v>#N/A</v>
      </c>
    </row>
    <row r="199" spans="2:20" x14ac:dyDescent="0.3">
      <c r="B199" s="48"/>
      <c r="C199" s="48"/>
      <c r="D199" s="10" t="str">
        <f t="shared" ca="1" si="19"/>
        <v/>
      </c>
      <c r="E199" s="48"/>
      <c r="F199" s="48"/>
      <c r="G199" s="10" t="str">
        <f t="shared" ca="1" si="18"/>
        <v/>
      </c>
      <c r="I199" s="10" t="str">
        <f t="shared" ca="1" si="20"/>
        <v/>
      </c>
      <c r="K199" s="4" t="e">
        <f t="shared" ca="1" si="3"/>
        <v>#N/A</v>
      </c>
      <c r="L199" s="4" t="e">
        <f>VLOOKUP(C199,_resources!B:D,3,0)</f>
        <v>#N/A</v>
      </c>
      <c r="M199" s="4" t="e" cm="1">
        <f t="array" aca="1" ref="M199" ca="1">IF(abbrAtEnd,"",L199&amp;"-")&amp;E199&amp;"-"&amp;INDIRECT(OFFSET(element3,MATCH($C199,resources,0)-1,0))&amp;"-"&amp;INDIRECT(OFFSET(element4,MATCH($C199,resources,0)-1,0))&amp;"-"&amp;INDIRECT(OFFSET(element5,MATCH($C199,resources,0)-1,0))&amp;IF(OFFSET(element6,MATCH($C199,resources,0)-1,0)="","","-"&amp;INDIRECT(OFFSET(element6,MATCH($C199,resources,0)-1,0)))&amp;IF(abbrAtEnd,"-"&amp;L199,"")</f>
        <v>#N/A</v>
      </c>
      <c r="N199" s="4" t="str">
        <f t="shared" si="17"/>
        <v>-000</v>
      </c>
      <c r="O199" s="4">
        <f ca="1">IF(totalElements+COUNTIF(Entities!$C$10,"*")+COUNTIF(B199:C199,"*")+COUNTIF(E199:F199,"*")=9,1,0)</f>
        <v>0</v>
      </c>
      <c r="P199" s="4">
        <f>COUNTIF($C$6:C199,C199)</f>
        <v>0</v>
      </c>
      <c r="Q199" s="4">
        <f ca="1">IF(ISNA(M199),0,COUNTIF($M$6:M199,M199))</f>
        <v>0</v>
      </c>
      <c r="R199" s="4" t="e">
        <f t="shared" ref="R199:R262" ca="1" si="21">F199&amp;"__"&amp;M199</f>
        <v>#N/A</v>
      </c>
      <c r="S199" s="4">
        <f ca="1">IF(ISNA(M199),0,COUNTIF($R$6:R199,R199))</f>
        <v>0</v>
      </c>
      <c r="T199" s="4" t="e">
        <f t="shared" ca="1" si="5"/>
        <v>#N/A</v>
      </c>
    </row>
    <row r="200" spans="2:20" x14ac:dyDescent="0.3">
      <c r="B200" s="48"/>
      <c r="C200" s="48"/>
      <c r="D200" s="10" t="str">
        <f t="shared" ca="1" si="19"/>
        <v/>
      </c>
      <c r="E200" s="48"/>
      <c r="F200" s="48"/>
      <c r="G200" s="10" t="str">
        <f t="shared" ca="1" si="18"/>
        <v/>
      </c>
      <c r="I200" s="10" t="str">
        <f t="shared" ca="1" si="20"/>
        <v/>
      </c>
      <c r="K200" s="4" t="e">
        <f t="shared" ca="1" si="3"/>
        <v>#N/A</v>
      </c>
      <c r="L200" s="4" t="e">
        <f>VLOOKUP(C200,_resources!B:D,3,0)</f>
        <v>#N/A</v>
      </c>
      <c r="M200" s="4" t="e" cm="1">
        <f t="array" aca="1" ref="M200" ca="1">IF(abbrAtEnd,"",L200&amp;"-")&amp;E200&amp;"-"&amp;INDIRECT(OFFSET(element3,MATCH($C200,resources,0)-1,0))&amp;"-"&amp;INDIRECT(OFFSET(element4,MATCH($C200,resources,0)-1,0))&amp;"-"&amp;INDIRECT(OFFSET(element5,MATCH($C200,resources,0)-1,0))&amp;IF(OFFSET(element6,MATCH($C200,resources,0)-1,0)="","","-"&amp;INDIRECT(OFFSET(element6,MATCH($C200,resources,0)-1,0)))&amp;IF(abbrAtEnd,"-"&amp;L200,"")</f>
        <v>#N/A</v>
      </c>
      <c r="N200" s="4" t="str">
        <f t="shared" si="17"/>
        <v>-000</v>
      </c>
      <c r="O200" s="4">
        <f ca="1">IF(totalElements+COUNTIF(Entities!$C$10,"*")+COUNTIF(B200:C200,"*")+COUNTIF(E200:F200,"*")=9,1,0)</f>
        <v>0</v>
      </c>
      <c r="P200" s="4">
        <f>COUNTIF($C$6:C200,C200)</f>
        <v>0</v>
      </c>
      <c r="Q200" s="4">
        <f ca="1">IF(ISNA(M200),0,COUNTIF($M$6:M200,M200))</f>
        <v>0</v>
      </c>
      <c r="R200" s="4" t="e">
        <f t="shared" ca="1" si="21"/>
        <v>#N/A</v>
      </c>
      <c r="S200" s="4">
        <f ca="1">IF(ISNA(M200),0,COUNTIF($R$6:R200,R200))</f>
        <v>0</v>
      </c>
      <c r="T200" s="4" t="e">
        <f t="shared" ca="1" si="5"/>
        <v>#N/A</v>
      </c>
    </row>
    <row r="201" spans="2:20" x14ac:dyDescent="0.3">
      <c r="B201" s="48"/>
      <c r="C201" s="48"/>
      <c r="D201" s="10" t="str">
        <f t="shared" ca="1" si="19"/>
        <v/>
      </c>
      <c r="E201" s="48"/>
      <c r="F201" s="48"/>
      <c r="G201" s="10" t="str">
        <f t="shared" ca="1" si="18"/>
        <v/>
      </c>
      <c r="I201" s="10" t="str">
        <f t="shared" ca="1" si="20"/>
        <v/>
      </c>
      <c r="K201" s="4" t="e">
        <f t="shared" ca="1" si="3"/>
        <v>#N/A</v>
      </c>
      <c r="L201" s="4" t="e">
        <f>VLOOKUP(C201,_resources!B:D,3,0)</f>
        <v>#N/A</v>
      </c>
      <c r="M201" s="4" t="e" cm="1">
        <f t="array" aca="1" ref="M201" ca="1">IF(abbrAtEnd,"",L201&amp;"-")&amp;E201&amp;"-"&amp;INDIRECT(OFFSET(element3,MATCH($C201,resources,0)-1,0))&amp;"-"&amp;INDIRECT(OFFSET(element4,MATCH($C201,resources,0)-1,0))&amp;"-"&amp;INDIRECT(OFFSET(element5,MATCH($C201,resources,0)-1,0))&amp;IF(OFFSET(element6,MATCH($C201,resources,0)-1,0)="","","-"&amp;INDIRECT(OFFSET(element6,MATCH($C201,resources,0)-1,0)))&amp;IF(abbrAtEnd,"-"&amp;L201,"")</f>
        <v>#N/A</v>
      </c>
      <c r="N201" s="4" t="str">
        <f t="shared" si="17"/>
        <v>-000</v>
      </c>
      <c r="O201" s="4">
        <f ca="1">IF(totalElements+COUNTIF(Entities!$C$10,"*")+COUNTIF(B201:C201,"*")+COUNTIF(E201:F201,"*")=9,1,0)</f>
        <v>0</v>
      </c>
      <c r="P201" s="4">
        <f>COUNTIF($C$6:C201,C201)</f>
        <v>0</v>
      </c>
      <c r="Q201" s="4">
        <f ca="1">IF(ISNA(M201),0,COUNTIF($M$6:M201,M201))</f>
        <v>0</v>
      </c>
      <c r="R201" s="4" t="e">
        <f t="shared" ca="1" si="21"/>
        <v>#N/A</v>
      </c>
      <c r="S201" s="4">
        <f ca="1">IF(ISNA(M201),0,COUNTIF($R$6:R201,R201))</f>
        <v>0</v>
      </c>
      <c r="T201" s="4" t="e">
        <f t="shared" ca="1" si="5"/>
        <v>#N/A</v>
      </c>
    </row>
    <row r="202" spans="2:20" x14ac:dyDescent="0.3">
      <c r="B202" s="48"/>
      <c r="C202" s="48"/>
      <c r="D202" s="10" t="str">
        <f t="shared" ca="1" si="19"/>
        <v/>
      </c>
      <c r="E202" s="48"/>
      <c r="F202" s="48"/>
      <c r="G202" s="10" t="str">
        <f t="shared" ca="1" si="18"/>
        <v/>
      </c>
      <c r="I202" s="10" t="str">
        <f t="shared" ca="1" si="20"/>
        <v/>
      </c>
      <c r="K202" s="4" t="e">
        <f t="shared" ca="1" si="3"/>
        <v>#N/A</v>
      </c>
      <c r="L202" s="4" t="e">
        <f>VLOOKUP(C202,_resources!B:D,3,0)</f>
        <v>#N/A</v>
      </c>
      <c r="M202" s="4" t="e" cm="1">
        <f t="array" aca="1" ref="M202" ca="1">IF(abbrAtEnd,"",L202&amp;"-")&amp;E202&amp;"-"&amp;INDIRECT(OFFSET(element3,MATCH($C202,resources,0)-1,0))&amp;"-"&amp;INDIRECT(OFFSET(element4,MATCH($C202,resources,0)-1,0))&amp;"-"&amp;INDIRECT(OFFSET(element5,MATCH($C202,resources,0)-1,0))&amp;IF(OFFSET(element6,MATCH($C202,resources,0)-1,0)="","","-"&amp;INDIRECT(OFFSET(element6,MATCH($C202,resources,0)-1,0)))&amp;IF(abbrAtEnd,"-"&amp;L202,"")</f>
        <v>#N/A</v>
      </c>
      <c r="N202" s="4" t="str">
        <f t="shared" si="17"/>
        <v>-000</v>
      </c>
      <c r="O202" s="4">
        <f ca="1">IF(totalElements+COUNTIF(Entities!$C$10,"*")+COUNTIF(B202:C202,"*")+COUNTIF(E202:F202,"*")=9,1,0)</f>
        <v>0</v>
      </c>
      <c r="P202" s="4">
        <f>COUNTIF($C$6:C202,C202)</f>
        <v>0</v>
      </c>
      <c r="Q202" s="4">
        <f ca="1">IF(ISNA(M202),0,COUNTIF($M$6:M202,M202))</f>
        <v>0</v>
      </c>
      <c r="R202" s="4" t="e">
        <f t="shared" ca="1" si="21"/>
        <v>#N/A</v>
      </c>
      <c r="S202" s="4">
        <f ca="1">IF(ISNA(M202),0,COUNTIF($R$6:R202,R202))</f>
        <v>0</v>
      </c>
      <c r="T202" s="4" t="e">
        <f t="shared" ca="1" si="5"/>
        <v>#N/A</v>
      </c>
    </row>
    <row r="203" spans="2:20" x14ac:dyDescent="0.3">
      <c r="B203" s="48"/>
      <c r="C203" s="48"/>
      <c r="D203" s="10" t="str">
        <f t="shared" ca="1" si="19"/>
        <v/>
      </c>
      <c r="E203" s="48"/>
      <c r="F203" s="48"/>
      <c r="G203" s="10" t="str">
        <f t="shared" ca="1" si="18"/>
        <v/>
      </c>
      <c r="I203" s="10" t="str">
        <f t="shared" ca="1" si="20"/>
        <v/>
      </c>
      <c r="K203" s="4" t="e">
        <f t="shared" ca="1" si="3"/>
        <v>#N/A</v>
      </c>
      <c r="L203" s="4" t="e">
        <f>VLOOKUP(C203,_resources!B:D,3,0)</f>
        <v>#N/A</v>
      </c>
      <c r="M203" s="4" t="e" cm="1">
        <f t="array" aca="1" ref="M203" ca="1">IF(abbrAtEnd,"",L203&amp;"-")&amp;E203&amp;"-"&amp;INDIRECT(OFFSET(element3,MATCH($C203,resources,0)-1,0))&amp;"-"&amp;INDIRECT(OFFSET(element4,MATCH($C203,resources,0)-1,0))&amp;"-"&amp;INDIRECT(OFFSET(element5,MATCH($C203,resources,0)-1,0))&amp;IF(OFFSET(element6,MATCH($C203,resources,0)-1,0)="","","-"&amp;INDIRECT(OFFSET(element6,MATCH($C203,resources,0)-1,0)))&amp;IF(abbrAtEnd,"-"&amp;L203,"")</f>
        <v>#N/A</v>
      </c>
      <c r="N203" s="4" t="str">
        <f t="shared" si="17"/>
        <v>-000</v>
      </c>
      <c r="O203" s="4">
        <f ca="1">IF(totalElements+COUNTIF(Entities!$C$10,"*")+COUNTIF(B203:C203,"*")+COUNTIF(E203:F203,"*")=9,1,0)</f>
        <v>0</v>
      </c>
      <c r="P203" s="4">
        <f>COUNTIF($C$6:C203,C203)</f>
        <v>0</v>
      </c>
      <c r="Q203" s="4">
        <f ca="1">IF(ISNA(M203),0,COUNTIF($M$6:M203,M203))</f>
        <v>0</v>
      </c>
      <c r="R203" s="4" t="e">
        <f t="shared" ca="1" si="21"/>
        <v>#N/A</v>
      </c>
      <c r="S203" s="4">
        <f ca="1">IF(ISNA(M203),0,COUNTIF($R$6:R203,R203))</f>
        <v>0</v>
      </c>
      <c r="T203" s="4" t="e">
        <f t="shared" ca="1" si="5"/>
        <v>#N/A</v>
      </c>
    </row>
    <row r="204" spans="2:20" x14ac:dyDescent="0.3">
      <c r="B204" s="48"/>
      <c r="C204" s="48"/>
      <c r="D204" s="10" t="str">
        <f t="shared" ca="1" si="19"/>
        <v/>
      </c>
      <c r="E204" s="48"/>
      <c r="F204" s="48"/>
      <c r="G204" s="10" t="str">
        <f t="shared" ca="1" si="18"/>
        <v/>
      </c>
      <c r="I204" s="10" t="str">
        <f t="shared" ca="1" si="20"/>
        <v/>
      </c>
      <c r="K204" s="4" t="e">
        <f t="shared" ca="1" si="3"/>
        <v>#N/A</v>
      </c>
      <c r="L204" s="4" t="e">
        <f>VLOOKUP(C204,_resources!B:D,3,0)</f>
        <v>#N/A</v>
      </c>
      <c r="M204" s="4" t="e" cm="1">
        <f t="array" aca="1" ref="M204" ca="1">IF(abbrAtEnd,"",L204&amp;"-")&amp;E204&amp;"-"&amp;INDIRECT(OFFSET(element3,MATCH($C204,resources,0)-1,0))&amp;"-"&amp;INDIRECT(OFFSET(element4,MATCH($C204,resources,0)-1,0))&amp;"-"&amp;INDIRECT(OFFSET(element5,MATCH($C204,resources,0)-1,0))&amp;IF(OFFSET(element6,MATCH($C204,resources,0)-1,0)="","","-"&amp;INDIRECT(OFFSET(element6,MATCH($C204,resources,0)-1,0)))&amp;IF(abbrAtEnd,"-"&amp;L204,"")</f>
        <v>#N/A</v>
      </c>
      <c r="N204" s="4" t="str">
        <f t="shared" si="17"/>
        <v>-000</v>
      </c>
      <c r="O204" s="4">
        <f ca="1">IF(totalElements+COUNTIF(Entities!$C$10,"*")+COUNTIF(B204:C204,"*")+COUNTIF(E204:F204,"*")=9,1,0)</f>
        <v>0</v>
      </c>
      <c r="P204" s="4">
        <f>COUNTIF($C$6:C204,C204)</f>
        <v>0</v>
      </c>
      <c r="Q204" s="4">
        <f ca="1">IF(ISNA(M204),0,COUNTIF($M$6:M204,M204))</f>
        <v>0</v>
      </c>
      <c r="R204" s="4" t="e">
        <f t="shared" ca="1" si="21"/>
        <v>#N/A</v>
      </c>
      <c r="S204" s="4">
        <f ca="1">IF(ISNA(M204),0,COUNTIF($R$6:R204,R204))</f>
        <v>0</v>
      </c>
      <c r="T204" s="4" t="e">
        <f t="shared" ca="1" si="5"/>
        <v>#N/A</v>
      </c>
    </row>
    <row r="205" spans="2:20" x14ac:dyDescent="0.3">
      <c r="B205" s="48"/>
      <c r="C205" s="48"/>
      <c r="D205" s="10" t="str">
        <f t="shared" ca="1" si="19"/>
        <v/>
      </c>
      <c r="E205" s="48"/>
      <c r="F205" s="48"/>
      <c r="G205" s="10" t="str">
        <f t="shared" ca="1" si="18"/>
        <v/>
      </c>
      <c r="I205" s="10" t="str">
        <f t="shared" ca="1" si="20"/>
        <v/>
      </c>
      <c r="K205" s="4" t="e">
        <f t="shared" ca="1" si="3"/>
        <v>#N/A</v>
      </c>
      <c r="L205" s="4" t="e">
        <f>VLOOKUP(C205,_resources!B:D,3,0)</f>
        <v>#N/A</v>
      </c>
      <c r="M205" s="4" t="e" cm="1">
        <f t="array" aca="1" ref="M205" ca="1">IF(abbrAtEnd,"",L205&amp;"-")&amp;E205&amp;"-"&amp;INDIRECT(OFFSET(element3,MATCH($C205,resources,0)-1,0))&amp;"-"&amp;INDIRECT(OFFSET(element4,MATCH($C205,resources,0)-1,0))&amp;"-"&amp;INDIRECT(OFFSET(element5,MATCH($C205,resources,0)-1,0))&amp;IF(OFFSET(element6,MATCH($C205,resources,0)-1,0)="","","-"&amp;INDIRECT(OFFSET(element6,MATCH($C205,resources,0)-1,0)))&amp;IF(abbrAtEnd,"-"&amp;L205,"")</f>
        <v>#N/A</v>
      </c>
      <c r="N205" s="4" t="str">
        <f t="shared" si="17"/>
        <v>-000</v>
      </c>
      <c r="O205" s="4">
        <f ca="1">IF(totalElements+COUNTIF(Entities!$C$10,"*")+COUNTIF(B205:C205,"*")+COUNTIF(E205:F205,"*")=9,1,0)</f>
        <v>0</v>
      </c>
      <c r="P205" s="4">
        <f>COUNTIF($C$6:C205,C205)</f>
        <v>0</v>
      </c>
      <c r="Q205" s="4">
        <f ca="1">IF(ISNA(M205),0,COUNTIF($M$6:M205,M205))</f>
        <v>0</v>
      </c>
      <c r="R205" s="4" t="e">
        <f t="shared" ca="1" si="21"/>
        <v>#N/A</v>
      </c>
      <c r="S205" s="4">
        <f ca="1">IF(ISNA(M205),0,COUNTIF($R$6:R205,R205))</f>
        <v>0</v>
      </c>
      <c r="T205" s="4" t="e">
        <f t="shared" ca="1" si="5"/>
        <v>#N/A</v>
      </c>
    </row>
    <row r="206" spans="2:20" x14ac:dyDescent="0.3">
      <c r="B206" s="48"/>
      <c r="C206" s="48"/>
      <c r="D206" s="10" t="str">
        <f t="shared" ca="1" si="19"/>
        <v/>
      </c>
      <c r="E206" s="48"/>
      <c r="F206" s="48"/>
      <c r="G206" s="10" t="str">
        <f t="shared" ca="1" si="18"/>
        <v/>
      </c>
      <c r="I206" s="10" t="str">
        <f t="shared" ca="1" si="20"/>
        <v/>
      </c>
      <c r="K206" s="4" t="e">
        <f t="shared" ca="1" si="3"/>
        <v>#N/A</v>
      </c>
      <c r="L206" s="4" t="e">
        <f>VLOOKUP(C206,_resources!B:D,3,0)</f>
        <v>#N/A</v>
      </c>
      <c r="M206" s="4" t="e" cm="1">
        <f t="array" aca="1" ref="M206" ca="1">IF(abbrAtEnd,"",L206&amp;"-")&amp;E206&amp;"-"&amp;INDIRECT(OFFSET(element3,MATCH($C206,resources,0)-1,0))&amp;"-"&amp;INDIRECT(OFFSET(element4,MATCH($C206,resources,0)-1,0))&amp;"-"&amp;INDIRECT(OFFSET(element5,MATCH($C206,resources,0)-1,0))&amp;IF(OFFSET(element6,MATCH($C206,resources,0)-1,0)="","","-"&amp;INDIRECT(OFFSET(element6,MATCH($C206,resources,0)-1,0)))&amp;IF(abbrAtEnd,"-"&amp;L206,"")</f>
        <v>#N/A</v>
      </c>
      <c r="N206" s="4" t="str">
        <f t="shared" ref="N206:N269" si="22">IF($M$4,"-"&amp;TEXT(P206,"000"),"-"&amp;TEXT(Q206,"000"))</f>
        <v>-000</v>
      </c>
      <c r="O206" s="4">
        <f ca="1">IF(totalElements+COUNTIF(Entities!$C$10,"*")+COUNTIF(B206:C206,"*")+COUNTIF(E206:F206,"*")=9,1,0)</f>
        <v>0</v>
      </c>
      <c r="P206" s="4">
        <f>COUNTIF($C$6:C206,C206)</f>
        <v>0</v>
      </c>
      <c r="Q206" s="4">
        <f ca="1">IF(ISNA(M206),0,COUNTIF($M$6:M206,M206))</f>
        <v>0</v>
      </c>
      <c r="R206" s="4" t="e">
        <f t="shared" ca="1" si="21"/>
        <v>#N/A</v>
      </c>
      <c r="S206" s="4">
        <f ca="1">IF(ISNA(M206),0,COUNTIF($R$6:R206,R206))</f>
        <v>0</v>
      </c>
      <c r="T206" s="4" t="e">
        <f t="shared" ca="1" si="5"/>
        <v>#N/A</v>
      </c>
    </row>
    <row r="207" spans="2:20" x14ac:dyDescent="0.3">
      <c r="B207" s="48"/>
      <c r="C207" s="48"/>
      <c r="D207" s="10" t="str">
        <f t="shared" ca="1" si="19"/>
        <v/>
      </c>
      <c r="E207" s="48"/>
      <c r="F207" s="48"/>
      <c r="G207" s="10" t="str">
        <f t="shared" ca="1" si="18"/>
        <v/>
      </c>
      <c r="I207" s="10" t="str">
        <f t="shared" ca="1" si="20"/>
        <v/>
      </c>
      <c r="K207" s="4" t="e">
        <f t="shared" ca="1" si="3"/>
        <v>#N/A</v>
      </c>
      <c r="L207" s="4" t="e">
        <f>VLOOKUP(C207,_resources!B:D,3,0)</f>
        <v>#N/A</v>
      </c>
      <c r="M207" s="4" t="e" cm="1">
        <f t="array" aca="1" ref="M207" ca="1">IF(abbrAtEnd,"",L207&amp;"-")&amp;E207&amp;"-"&amp;INDIRECT(OFFSET(element3,MATCH($C207,resources,0)-1,0))&amp;"-"&amp;INDIRECT(OFFSET(element4,MATCH($C207,resources,0)-1,0))&amp;"-"&amp;INDIRECT(OFFSET(element5,MATCH($C207,resources,0)-1,0))&amp;IF(OFFSET(element6,MATCH($C207,resources,0)-1,0)="","","-"&amp;INDIRECT(OFFSET(element6,MATCH($C207,resources,0)-1,0)))&amp;IF(abbrAtEnd,"-"&amp;L207,"")</f>
        <v>#N/A</v>
      </c>
      <c r="N207" s="4" t="str">
        <f t="shared" si="22"/>
        <v>-000</v>
      </c>
      <c r="O207" s="4">
        <f ca="1">IF(totalElements+COUNTIF(Entities!$C$10,"*")+COUNTIF(B207:C207,"*")+COUNTIF(E207:F207,"*")=9,1,0)</f>
        <v>0</v>
      </c>
      <c r="P207" s="4">
        <f>COUNTIF($C$6:C207,C207)</f>
        <v>0</v>
      </c>
      <c r="Q207" s="4">
        <f ca="1">IF(ISNA(M207),0,COUNTIF($M$6:M207,M207))</f>
        <v>0</v>
      </c>
      <c r="R207" s="4" t="e">
        <f t="shared" ca="1" si="21"/>
        <v>#N/A</v>
      </c>
      <c r="S207" s="4">
        <f ca="1">IF(ISNA(M207),0,COUNTIF($R$6:R207,R207))</f>
        <v>0</v>
      </c>
      <c r="T207" s="4" t="e">
        <f t="shared" ca="1" si="5"/>
        <v>#N/A</v>
      </c>
    </row>
    <row r="208" spans="2:20" x14ac:dyDescent="0.3">
      <c r="B208" s="48"/>
      <c r="C208" s="48"/>
      <c r="D208" s="10" t="str">
        <f t="shared" ca="1" si="19"/>
        <v/>
      </c>
      <c r="E208" s="48"/>
      <c r="F208" s="48"/>
      <c r="G208" s="10" t="str">
        <f t="shared" ca="1" si="18"/>
        <v/>
      </c>
      <c r="I208" s="10" t="str">
        <f t="shared" ca="1" si="20"/>
        <v/>
      </c>
      <c r="K208" s="4" t="e">
        <f t="shared" ca="1" si="3"/>
        <v>#N/A</v>
      </c>
      <c r="L208" s="4" t="e">
        <f>VLOOKUP(C208,_resources!B:D,3,0)</f>
        <v>#N/A</v>
      </c>
      <c r="M208" s="4" t="e" cm="1">
        <f t="array" aca="1" ref="M208" ca="1">IF(abbrAtEnd,"",L208&amp;"-")&amp;E208&amp;"-"&amp;INDIRECT(OFFSET(element3,MATCH($C208,resources,0)-1,0))&amp;"-"&amp;INDIRECT(OFFSET(element4,MATCH($C208,resources,0)-1,0))&amp;"-"&amp;INDIRECT(OFFSET(element5,MATCH($C208,resources,0)-1,0))&amp;IF(OFFSET(element6,MATCH($C208,resources,0)-1,0)="","","-"&amp;INDIRECT(OFFSET(element6,MATCH($C208,resources,0)-1,0)))&amp;IF(abbrAtEnd,"-"&amp;L208,"")</f>
        <v>#N/A</v>
      </c>
      <c r="N208" s="4" t="str">
        <f t="shared" si="22"/>
        <v>-000</v>
      </c>
      <c r="O208" s="4">
        <f ca="1">IF(totalElements+COUNTIF(Entities!$C$10,"*")+COUNTIF(B208:C208,"*")+COUNTIF(E208:F208,"*")=9,1,0)</f>
        <v>0</v>
      </c>
      <c r="P208" s="4">
        <f>COUNTIF($C$6:C208,C208)</f>
        <v>0</v>
      </c>
      <c r="Q208" s="4">
        <f ca="1">IF(ISNA(M208),0,COUNTIF($M$6:M208,M208))</f>
        <v>0</v>
      </c>
      <c r="R208" s="4" t="e">
        <f t="shared" ca="1" si="21"/>
        <v>#N/A</v>
      </c>
      <c r="S208" s="4">
        <f ca="1">IF(ISNA(M208),0,COUNTIF($R$6:R208,R208))</f>
        <v>0</v>
      </c>
      <c r="T208" s="4" t="e">
        <f t="shared" ca="1" si="5"/>
        <v>#N/A</v>
      </c>
    </row>
    <row r="209" spans="2:20" x14ac:dyDescent="0.3">
      <c r="B209" s="48"/>
      <c r="C209" s="48"/>
      <c r="D209" s="10" t="str">
        <f t="shared" ca="1" si="19"/>
        <v/>
      </c>
      <c r="E209" s="48"/>
      <c r="F209" s="48"/>
      <c r="G209" s="10" t="str">
        <f t="shared" ca="1" si="18"/>
        <v/>
      </c>
      <c r="I209" s="10" t="str">
        <f t="shared" ca="1" si="20"/>
        <v/>
      </c>
      <c r="K209" s="4" t="e">
        <f t="shared" ca="1" si="3"/>
        <v>#N/A</v>
      </c>
      <c r="L209" s="4" t="e">
        <f>VLOOKUP(C209,_resources!B:D,3,0)</f>
        <v>#N/A</v>
      </c>
      <c r="M209" s="4" t="e" cm="1">
        <f t="array" aca="1" ref="M209" ca="1">IF(abbrAtEnd,"",L209&amp;"-")&amp;E209&amp;"-"&amp;INDIRECT(OFFSET(element3,MATCH($C209,resources,0)-1,0))&amp;"-"&amp;INDIRECT(OFFSET(element4,MATCH($C209,resources,0)-1,0))&amp;"-"&amp;INDIRECT(OFFSET(element5,MATCH($C209,resources,0)-1,0))&amp;IF(OFFSET(element6,MATCH($C209,resources,0)-1,0)="","","-"&amp;INDIRECT(OFFSET(element6,MATCH($C209,resources,0)-1,0)))&amp;IF(abbrAtEnd,"-"&amp;L209,"")</f>
        <v>#N/A</v>
      </c>
      <c r="N209" s="4" t="str">
        <f t="shared" si="22"/>
        <v>-000</v>
      </c>
      <c r="O209" s="4">
        <f ca="1">IF(totalElements+COUNTIF(Entities!$C$10,"*")+COUNTIF(B209:C209,"*")+COUNTIF(E209:F209,"*")=9,1,0)</f>
        <v>0</v>
      </c>
      <c r="P209" s="4">
        <f>COUNTIF($C$6:C209,C209)</f>
        <v>0</v>
      </c>
      <c r="Q209" s="4">
        <f ca="1">IF(ISNA(M209),0,COUNTIF($M$6:M209,M209))</f>
        <v>0</v>
      </c>
      <c r="R209" s="4" t="e">
        <f t="shared" ca="1" si="21"/>
        <v>#N/A</v>
      </c>
      <c r="S209" s="4">
        <f ca="1">IF(ISNA(M209),0,COUNTIF($R$6:R209,R209))</f>
        <v>0</v>
      </c>
      <c r="T209" s="4" t="e">
        <f t="shared" ca="1" si="5"/>
        <v>#N/A</v>
      </c>
    </row>
    <row r="210" spans="2:20" x14ac:dyDescent="0.3">
      <c r="B210" s="48"/>
      <c r="C210" s="48"/>
      <c r="D210" s="10" t="str">
        <f t="shared" ca="1" si="19"/>
        <v/>
      </c>
      <c r="E210" s="48"/>
      <c r="F210" s="48"/>
      <c r="G210" s="10" t="str">
        <f t="shared" ca="1" si="18"/>
        <v/>
      </c>
      <c r="I210" s="10" t="str">
        <f t="shared" ca="1" si="20"/>
        <v/>
      </c>
      <c r="K210" s="4" t="e">
        <f t="shared" ca="1" si="3"/>
        <v>#N/A</v>
      </c>
      <c r="L210" s="4" t="e">
        <f>VLOOKUP(C210,_resources!B:D,3,0)</f>
        <v>#N/A</v>
      </c>
      <c r="M210" s="4" t="e" cm="1">
        <f t="array" aca="1" ref="M210" ca="1">IF(abbrAtEnd,"",L210&amp;"-")&amp;E210&amp;"-"&amp;INDIRECT(OFFSET(element3,MATCH($C210,resources,0)-1,0))&amp;"-"&amp;INDIRECT(OFFSET(element4,MATCH($C210,resources,0)-1,0))&amp;"-"&amp;INDIRECT(OFFSET(element5,MATCH($C210,resources,0)-1,0))&amp;IF(OFFSET(element6,MATCH($C210,resources,0)-1,0)="","","-"&amp;INDIRECT(OFFSET(element6,MATCH($C210,resources,0)-1,0)))&amp;IF(abbrAtEnd,"-"&amp;L210,"")</f>
        <v>#N/A</v>
      </c>
      <c r="N210" s="4" t="str">
        <f t="shared" si="22"/>
        <v>-000</v>
      </c>
      <c r="O210" s="4">
        <f ca="1">IF(totalElements+COUNTIF(Entities!$C$10,"*")+COUNTIF(B210:C210,"*")+COUNTIF(E210:F210,"*")=9,1,0)</f>
        <v>0</v>
      </c>
      <c r="P210" s="4">
        <f>COUNTIF($C$6:C210,C210)</f>
        <v>0</v>
      </c>
      <c r="Q210" s="4">
        <f ca="1">IF(ISNA(M210),0,COUNTIF($M$6:M210,M210))</f>
        <v>0</v>
      </c>
      <c r="R210" s="4" t="e">
        <f t="shared" ca="1" si="21"/>
        <v>#N/A</v>
      </c>
      <c r="S210" s="4">
        <f ca="1">IF(ISNA(M210),0,COUNTIF($R$6:R210,R210))</f>
        <v>0</v>
      </c>
      <c r="T210" s="4" t="e">
        <f t="shared" ca="1" si="5"/>
        <v>#N/A</v>
      </c>
    </row>
    <row r="211" spans="2:20" x14ac:dyDescent="0.3">
      <c r="B211" s="48"/>
      <c r="C211" s="48"/>
      <c r="D211" s="10" t="str">
        <f t="shared" ca="1" si="19"/>
        <v/>
      </c>
      <c r="E211" s="48"/>
      <c r="F211" s="48"/>
      <c r="G211" s="10" t="str">
        <f t="shared" ref="G211:G274" ca="1" si="23">IF(O211,IF(K211="hyphenated",M211&amp;N211,IF(K211="dnsname",E211,IF(K211="alphanumeric",SUBSTITUTE(M211&amp;N211,"-",""),"unknown or missing resource structure"))),"")</f>
        <v/>
      </c>
      <c r="I211" s="10" t="str">
        <f t="shared" ca="1" si="20"/>
        <v/>
      </c>
      <c r="K211" s="4" t="e">
        <f t="shared" ca="1" si="3"/>
        <v>#N/A</v>
      </c>
      <c r="L211" s="4" t="e">
        <f>VLOOKUP(C211,_resources!B:D,3,0)</f>
        <v>#N/A</v>
      </c>
      <c r="M211" s="4" t="e" cm="1">
        <f t="array" aca="1" ref="M211" ca="1">IF(abbrAtEnd,"",L211&amp;"-")&amp;E211&amp;"-"&amp;INDIRECT(OFFSET(element3,MATCH($C211,resources,0)-1,0))&amp;"-"&amp;INDIRECT(OFFSET(element4,MATCH($C211,resources,0)-1,0))&amp;"-"&amp;INDIRECT(OFFSET(element5,MATCH($C211,resources,0)-1,0))&amp;IF(OFFSET(element6,MATCH($C211,resources,0)-1,0)="","","-"&amp;INDIRECT(OFFSET(element6,MATCH($C211,resources,0)-1,0)))&amp;IF(abbrAtEnd,"-"&amp;L211,"")</f>
        <v>#N/A</v>
      </c>
      <c r="N211" s="4" t="str">
        <f t="shared" si="22"/>
        <v>-000</v>
      </c>
      <c r="O211" s="4">
        <f ca="1">IF(totalElements+COUNTIF(Entities!$C$10,"*")+COUNTIF(B211:C211,"*")+COUNTIF(E211:F211,"*")=9,1,0)</f>
        <v>0</v>
      </c>
      <c r="P211" s="4">
        <f>COUNTIF($C$6:C211,C211)</f>
        <v>0</v>
      </c>
      <c r="Q211" s="4">
        <f ca="1">IF(ISNA(M211),0,COUNTIF($M$6:M211,M211))</f>
        <v>0</v>
      </c>
      <c r="R211" s="4" t="e">
        <f t="shared" ca="1" si="21"/>
        <v>#N/A</v>
      </c>
      <c r="S211" s="4">
        <f ca="1">IF(ISNA(M211),0,COUNTIF($R$6:R211,R211))</f>
        <v>0</v>
      </c>
      <c r="T211" s="4" t="e">
        <f t="shared" ca="1" si="5"/>
        <v>#N/A</v>
      </c>
    </row>
    <row r="212" spans="2:20" x14ac:dyDescent="0.3">
      <c r="B212" s="48"/>
      <c r="C212" s="48"/>
      <c r="D212" s="10" t="str">
        <f t="shared" ca="1" si="19"/>
        <v/>
      </c>
      <c r="E212" s="48"/>
      <c r="F212" s="48"/>
      <c r="G212" s="10" t="str">
        <f t="shared" ca="1" si="23"/>
        <v/>
      </c>
      <c r="I212" s="10" t="str">
        <f t="shared" ca="1" si="20"/>
        <v/>
      </c>
      <c r="K212" s="4" t="e">
        <f t="shared" ca="1" si="3"/>
        <v>#N/A</v>
      </c>
      <c r="L212" s="4" t="e">
        <f>VLOOKUP(C212,_resources!B:D,3,0)</f>
        <v>#N/A</v>
      </c>
      <c r="M212" s="4" t="e" cm="1">
        <f t="array" aca="1" ref="M212" ca="1">IF(abbrAtEnd,"",L212&amp;"-")&amp;E212&amp;"-"&amp;INDIRECT(OFFSET(element3,MATCH($C212,resources,0)-1,0))&amp;"-"&amp;INDIRECT(OFFSET(element4,MATCH($C212,resources,0)-1,0))&amp;"-"&amp;INDIRECT(OFFSET(element5,MATCH($C212,resources,0)-1,0))&amp;IF(OFFSET(element6,MATCH($C212,resources,0)-1,0)="","","-"&amp;INDIRECT(OFFSET(element6,MATCH($C212,resources,0)-1,0)))&amp;IF(abbrAtEnd,"-"&amp;L212,"")</f>
        <v>#N/A</v>
      </c>
      <c r="N212" s="4" t="str">
        <f t="shared" si="22"/>
        <v>-000</v>
      </c>
      <c r="O212" s="4">
        <f ca="1">IF(totalElements+COUNTIF(Entities!$C$10,"*")+COUNTIF(B212:C212,"*")+COUNTIF(E212:F212,"*")=9,1,0)</f>
        <v>0</v>
      </c>
      <c r="P212" s="4">
        <f>COUNTIF($C$6:C212,C212)</f>
        <v>0</v>
      </c>
      <c r="Q212" s="4">
        <f ca="1">IF(ISNA(M212),0,COUNTIF($M$6:M212,M212))</f>
        <v>0</v>
      </c>
      <c r="R212" s="4" t="e">
        <f t="shared" ca="1" si="21"/>
        <v>#N/A</v>
      </c>
      <c r="S212" s="4">
        <f ca="1">IF(ISNA(M212),0,COUNTIF($R$6:R212,R212))</f>
        <v>0</v>
      </c>
      <c r="T212" s="4" t="e">
        <f t="shared" ca="1" si="5"/>
        <v>#N/A</v>
      </c>
    </row>
    <row r="213" spans="2:20" x14ac:dyDescent="0.3">
      <c r="B213" s="48"/>
      <c r="C213" s="48"/>
      <c r="D213" s="10" t="str">
        <f t="shared" ca="1" si="19"/>
        <v/>
      </c>
      <c r="E213" s="48"/>
      <c r="F213" s="48"/>
      <c r="G213" s="10" t="str">
        <f t="shared" ca="1" si="23"/>
        <v/>
      </c>
      <c r="I213" s="10" t="str">
        <f t="shared" ca="1" si="20"/>
        <v/>
      </c>
      <c r="K213" s="4" t="e">
        <f t="shared" ca="1" si="3"/>
        <v>#N/A</v>
      </c>
      <c r="L213" s="4" t="e">
        <f>VLOOKUP(C213,_resources!B:D,3,0)</f>
        <v>#N/A</v>
      </c>
      <c r="M213" s="4" t="e" cm="1">
        <f t="array" aca="1" ref="M213" ca="1">IF(abbrAtEnd,"",L213&amp;"-")&amp;E213&amp;"-"&amp;INDIRECT(OFFSET(element3,MATCH($C213,resources,0)-1,0))&amp;"-"&amp;INDIRECT(OFFSET(element4,MATCH($C213,resources,0)-1,0))&amp;"-"&amp;INDIRECT(OFFSET(element5,MATCH($C213,resources,0)-1,0))&amp;IF(OFFSET(element6,MATCH($C213,resources,0)-1,0)="","","-"&amp;INDIRECT(OFFSET(element6,MATCH($C213,resources,0)-1,0)))&amp;IF(abbrAtEnd,"-"&amp;L213,"")</f>
        <v>#N/A</v>
      </c>
      <c r="N213" s="4" t="str">
        <f t="shared" si="22"/>
        <v>-000</v>
      </c>
      <c r="O213" s="4">
        <f ca="1">IF(totalElements+COUNTIF(Entities!$C$10,"*")+COUNTIF(B213:C213,"*")+COUNTIF(E213:F213,"*")=9,1,0)</f>
        <v>0</v>
      </c>
      <c r="P213" s="4">
        <f>COUNTIF($C$6:C213,C213)</f>
        <v>0</v>
      </c>
      <c r="Q213" s="4">
        <f ca="1">IF(ISNA(M213),0,COUNTIF($M$6:M213,M213))</f>
        <v>0</v>
      </c>
      <c r="R213" s="4" t="e">
        <f t="shared" ca="1" si="21"/>
        <v>#N/A</v>
      </c>
      <c r="S213" s="4">
        <f ca="1">IF(ISNA(M213),0,COUNTIF($R$6:R213,R213))</f>
        <v>0</v>
      </c>
      <c r="T213" s="4" t="e">
        <f t="shared" ca="1" si="5"/>
        <v>#N/A</v>
      </c>
    </row>
    <row r="214" spans="2:20" x14ac:dyDescent="0.3">
      <c r="B214" s="48"/>
      <c r="C214" s="48"/>
      <c r="D214" s="10" t="str">
        <f t="shared" ca="1" si="19"/>
        <v/>
      </c>
      <c r="E214" s="48"/>
      <c r="F214" s="48"/>
      <c r="G214" s="10" t="str">
        <f t="shared" ca="1" si="23"/>
        <v/>
      </c>
      <c r="I214" s="10" t="str">
        <f t="shared" ca="1" si="20"/>
        <v/>
      </c>
      <c r="K214" s="4" t="e">
        <f t="shared" ca="1" si="3"/>
        <v>#N/A</v>
      </c>
      <c r="L214" s="4" t="e">
        <f>VLOOKUP(C214,_resources!B:D,3,0)</f>
        <v>#N/A</v>
      </c>
      <c r="M214" s="4" t="e" cm="1">
        <f t="array" aca="1" ref="M214" ca="1">IF(abbrAtEnd,"",L214&amp;"-")&amp;E214&amp;"-"&amp;INDIRECT(OFFSET(element3,MATCH($C214,resources,0)-1,0))&amp;"-"&amp;INDIRECT(OFFSET(element4,MATCH($C214,resources,0)-1,0))&amp;"-"&amp;INDIRECT(OFFSET(element5,MATCH($C214,resources,0)-1,0))&amp;IF(OFFSET(element6,MATCH($C214,resources,0)-1,0)="","","-"&amp;INDIRECT(OFFSET(element6,MATCH($C214,resources,0)-1,0)))&amp;IF(abbrAtEnd,"-"&amp;L214,"")</f>
        <v>#N/A</v>
      </c>
      <c r="N214" s="4" t="str">
        <f t="shared" si="22"/>
        <v>-000</v>
      </c>
      <c r="O214" s="4">
        <f ca="1">IF(totalElements+COUNTIF(Entities!$C$10,"*")+COUNTIF(B214:C214,"*")+COUNTIF(E214:F214,"*")=9,1,0)</f>
        <v>0</v>
      </c>
      <c r="P214" s="4">
        <f>COUNTIF($C$6:C214,C214)</f>
        <v>0</v>
      </c>
      <c r="Q214" s="4">
        <f ca="1">IF(ISNA(M214),0,COUNTIF($M$6:M214,M214))</f>
        <v>0</v>
      </c>
      <c r="R214" s="4" t="e">
        <f t="shared" ca="1" si="21"/>
        <v>#N/A</v>
      </c>
      <c r="S214" s="4">
        <f ca="1">IF(ISNA(M214),0,COUNTIF($R$6:R214,R214))</f>
        <v>0</v>
      </c>
      <c r="T214" s="4" t="e">
        <f t="shared" ca="1" si="5"/>
        <v>#N/A</v>
      </c>
    </row>
    <row r="215" spans="2:20" x14ac:dyDescent="0.3">
      <c r="B215" s="48"/>
      <c r="C215" s="48"/>
      <c r="D215" s="10" t="str">
        <f t="shared" ca="1" si="19"/>
        <v/>
      </c>
      <c r="E215" s="48"/>
      <c r="F215" s="48"/>
      <c r="G215" s="10" t="str">
        <f t="shared" ca="1" si="23"/>
        <v/>
      </c>
      <c r="I215" s="10" t="str">
        <f t="shared" ca="1" si="20"/>
        <v/>
      </c>
      <c r="K215" s="4" t="e">
        <f t="shared" ca="1" si="3"/>
        <v>#N/A</v>
      </c>
      <c r="L215" s="4" t="e">
        <f>VLOOKUP(C215,_resources!B:D,3,0)</f>
        <v>#N/A</v>
      </c>
      <c r="M215" s="4" t="e" cm="1">
        <f t="array" aca="1" ref="M215" ca="1">IF(abbrAtEnd,"",L215&amp;"-")&amp;E215&amp;"-"&amp;INDIRECT(OFFSET(element3,MATCH($C215,resources,0)-1,0))&amp;"-"&amp;INDIRECT(OFFSET(element4,MATCH($C215,resources,0)-1,0))&amp;"-"&amp;INDIRECT(OFFSET(element5,MATCH($C215,resources,0)-1,0))&amp;IF(OFFSET(element6,MATCH($C215,resources,0)-1,0)="","","-"&amp;INDIRECT(OFFSET(element6,MATCH($C215,resources,0)-1,0)))&amp;IF(abbrAtEnd,"-"&amp;L215,"")</f>
        <v>#N/A</v>
      </c>
      <c r="N215" s="4" t="str">
        <f t="shared" si="22"/>
        <v>-000</v>
      </c>
      <c r="O215" s="4">
        <f ca="1">IF(totalElements+COUNTIF(Entities!$C$10,"*")+COUNTIF(B215:C215,"*")+COUNTIF(E215:F215,"*")=9,1,0)</f>
        <v>0</v>
      </c>
      <c r="P215" s="4">
        <f>COUNTIF($C$6:C215,C215)</f>
        <v>0</v>
      </c>
      <c r="Q215" s="4">
        <f ca="1">IF(ISNA(M215),0,COUNTIF($M$6:M215,M215))</f>
        <v>0</v>
      </c>
      <c r="R215" s="4" t="e">
        <f t="shared" ca="1" si="21"/>
        <v>#N/A</v>
      </c>
      <c r="S215" s="4">
        <f ca="1">IF(ISNA(M215),0,COUNTIF($R$6:R215,R215))</f>
        <v>0</v>
      </c>
      <c r="T215" s="4" t="e">
        <f t="shared" ca="1" si="5"/>
        <v>#N/A</v>
      </c>
    </row>
    <row r="216" spans="2:20" x14ac:dyDescent="0.3">
      <c r="B216" s="48"/>
      <c r="C216" s="48"/>
      <c r="D216" s="10" t="str">
        <f t="shared" ca="1" si="19"/>
        <v/>
      </c>
      <c r="E216" s="48"/>
      <c r="F216" s="48"/>
      <c r="G216" s="10" t="str">
        <f t="shared" ca="1" si="23"/>
        <v/>
      </c>
      <c r="I216" s="10" t="str">
        <f t="shared" ca="1" si="20"/>
        <v/>
      </c>
      <c r="K216" s="4" t="e">
        <f t="shared" ca="1" si="3"/>
        <v>#N/A</v>
      </c>
      <c r="L216" s="4" t="e">
        <f>VLOOKUP(C216,_resources!B:D,3,0)</f>
        <v>#N/A</v>
      </c>
      <c r="M216" s="4" t="e" cm="1">
        <f t="array" aca="1" ref="M216" ca="1">IF(abbrAtEnd,"",L216&amp;"-")&amp;E216&amp;"-"&amp;INDIRECT(OFFSET(element3,MATCH($C216,resources,0)-1,0))&amp;"-"&amp;INDIRECT(OFFSET(element4,MATCH($C216,resources,0)-1,0))&amp;"-"&amp;INDIRECT(OFFSET(element5,MATCH($C216,resources,0)-1,0))&amp;IF(OFFSET(element6,MATCH($C216,resources,0)-1,0)="","","-"&amp;INDIRECT(OFFSET(element6,MATCH($C216,resources,0)-1,0)))&amp;IF(abbrAtEnd,"-"&amp;L216,"")</f>
        <v>#N/A</v>
      </c>
      <c r="N216" s="4" t="str">
        <f t="shared" si="22"/>
        <v>-000</v>
      </c>
      <c r="O216" s="4">
        <f ca="1">IF(totalElements+COUNTIF(Entities!$C$10,"*")+COUNTIF(B216:C216,"*")+COUNTIF(E216:F216,"*")=9,1,0)</f>
        <v>0</v>
      </c>
      <c r="P216" s="4">
        <f>COUNTIF($C$6:C216,C216)</f>
        <v>0</v>
      </c>
      <c r="Q216" s="4">
        <f ca="1">IF(ISNA(M216),0,COUNTIF($M$6:M216,M216))</f>
        <v>0</v>
      </c>
      <c r="R216" s="4" t="e">
        <f t="shared" ca="1" si="21"/>
        <v>#N/A</v>
      </c>
      <c r="S216" s="4">
        <f ca="1">IF(ISNA(M216),0,COUNTIF($R$6:R216,R216))</f>
        <v>0</v>
      </c>
      <c r="T216" s="4" t="e">
        <f t="shared" ca="1" si="5"/>
        <v>#N/A</v>
      </c>
    </row>
    <row r="217" spans="2:20" x14ac:dyDescent="0.3">
      <c r="B217" s="48"/>
      <c r="C217" s="48"/>
      <c r="D217" s="10" t="str">
        <f t="shared" ca="1" si="19"/>
        <v/>
      </c>
      <c r="E217" s="48"/>
      <c r="F217" s="48"/>
      <c r="G217" s="10" t="str">
        <f t="shared" ca="1" si="23"/>
        <v/>
      </c>
      <c r="I217" s="10" t="str">
        <f t="shared" ca="1" si="20"/>
        <v/>
      </c>
      <c r="K217" s="4" t="e">
        <f t="shared" ca="1" si="3"/>
        <v>#N/A</v>
      </c>
      <c r="L217" s="4" t="e">
        <f>VLOOKUP(C217,_resources!B:D,3,0)</f>
        <v>#N/A</v>
      </c>
      <c r="M217" s="4" t="e" cm="1">
        <f t="array" aca="1" ref="M217" ca="1">IF(abbrAtEnd,"",L217&amp;"-")&amp;E217&amp;"-"&amp;INDIRECT(OFFSET(element3,MATCH($C217,resources,0)-1,0))&amp;"-"&amp;INDIRECT(OFFSET(element4,MATCH($C217,resources,0)-1,0))&amp;"-"&amp;INDIRECT(OFFSET(element5,MATCH($C217,resources,0)-1,0))&amp;IF(OFFSET(element6,MATCH($C217,resources,0)-1,0)="","","-"&amp;INDIRECT(OFFSET(element6,MATCH($C217,resources,0)-1,0)))&amp;IF(abbrAtEnd,"-"&amp;L217,"")</f>
        <v>#N/A</v>
      </c>
      <c r="N217" s="4" t="str">
        <f t="shared" si="22"/>
        <v>-000</v>
      </c>
      <c r="O217" s="4">
        <f ca="1">IF(totalElements+COUNTIF(Entities!$C$10,"*")+COUNTIF(B217:C217,"*")+COUNTIF(E217:F217,"*")=9,1,0)</f>
        <v>0</v>
      </c>
      <c r="P217" s="4">
        <f>COUNTIF($C$6:C217,C217)</f>
        <v>0</v>
      </c>
      <c r="Q217" s="4">
        <f ca="1">IF(ISNA(M217),0,COUNTIF($M$6:M217,M217))</f>
        <v>0</v>
      </c>
      <c r="R217" s="4" t="e">
        <f t="shared" ca="1" si="21"/>
        <v>#N/A</v>
      </c>
      <c r="S217" s="4">
        <f ca="1">IF(ISNA(M217),0,COUNTIF($R$6:R217,R217))</f>
        <v>0</v>
      </c>
      <c r="T217" s="4" t="e">
        <f t="shared" ca="1" si="5"/>
        <v>#N/A</v>
      </c>
    </row>
    <row r="218" spans="2:20" x14ac:dyDescent="0.3">
      <c r="B218" s="48"/>
      <c r="C218" s="48"/>
      <c r="D218" s="10" t="str">
        <f t="shared" ca="1" si="19"/>
        <v/>
      </c>
      <c r="E218" s="48"/>
      <c r="F218" s="48"/>
      <c r="G218" s="10" t="str">
        <f t="shared" ca="1" si="23"/>
        <v/>
      </c>
      <c r="I218" s="10" t="str">
        <f t="shared" ca="1" si="20"/>
        <v/>
      </c>
      <c r="K218" s="4" t="e">
        <f t="shared" ca="1" si="3"/>
        <v>#N/A</v>
      </c>
      <c r="L218" s="4" t="e">
        <f>VLOOKUP(C218,_resources!B:D,3,0)</f>
        <v>#N/A</v>
      </c>
      <c r="M218" s="4" t="e" cm="1">
        <f t="array" aca="1" ref="M218" ca="1">IF(abbrAtEnd,"",L218&amp;"-")&amp;E218&amp;"-"&amp;INDIRECT(OFFSET(element3,MATCH($C218,resources,0)-1,0))&amp;"-"&amp;INDIRECT(OFFSET(element4,MATCH($C218,resources,0)-1,0))&amp;"-"&amp;INDIRECT(OFFSET(element5,MATCH($C218,resources,0)-1,0))&amp;IF(OFFSET(element6,MATCH($C218,resources,0)-1,0)="","","-"&amp;INDIRECT(OFFSET(element6,MATCH($C218,resources,0)-1,0)))&amp;IF(abbrAtEnd,"-"&amp;L218,"")</f>
        <v>#N/A</v>
      </c>
      <c r="N218" s="4" t="str">
        <f t="shared" si="22"/>
        <v>-000</v>
      </c>
      <c r="O218" s="4">
        <f ca="1">IF(totalElements+COUNTIF(Entities!$C$10,"*")+COUNTIF(B218:C218,"*")+COUNTIF(E218:F218,"*")=9,1,0)</f>
        <v>0</v>
      </c>
      <c r="P218" s="4">
        <f>COUNTIF($C$6:C218,C218)</f>
        <v>0</v>
      </c>
      <c r="Q218" s="4">
        <f ca="1">IF(ISNA(M218),0,COUNTIF($M$6:M218,M218))</f>
        <v>0</v>
      </c>
      <c r="R218" s="4" t="e">
        <f t="shared" ca="1" si="21"/>
        <v>#N/A</v>
      </c>
      <c r="S218" s="4">
        <f ca="1">IF(ISNA(M218),0,COUNTIF($R$6:R218,R218))</f>
        <v>0</v>
      </c>
      <c r="T218" s="4" t="e">
        <f t="shared" ca="1" si="5"/>
        <v>#N/A</v>
      </c>
    </row>
    <row r="219" spans="2:20" x14ac:dyDescent="0.3">
      <c r="B219" s="48"/>
      <c r="C219" s="48"/>
      <c r="D219" s="10" t="str">
        <f t="shared" ca="1" si="19"/>
        <v/>
      </c>
      <c r="E219" s="48"/>
      <c r="F219" s="48"/>
      <c r="G219" s="10" t="str">
        <f t="shared" ca="1" si="23"/>
        <v/>
      </c>
      <c r="I219" s="10" t="str">
        <f t="shared" ca="1" si="20"/>
        <v/>
      </c>
      <c r="K219" s="4" t="e">
        <f t="shared" ca="1" si="3"/>
        <v>#N/A</v>
      </c>
      <c r="L219" s="4" t="e">
        <f>VLOOKUP(C219,_resources!B:D,3,0)</f>
        <v>#N/A</v>
      </c>
      <c r="M219" s="4" t="e" cm="1">
        <f t="array" aca="1" ref="M219" ca="1">IF(abbrAtEnd,"",L219&amp;"-")&amp;E219&amp;"-"&amp;INDIRECT(OFFSET(element3,MATCH($C219,resources,0)-1,0))&amp;"-"&amp;INDIRECT(OFFSET(element4,MATCH($C219,resources,0)-1,0))&amp;"-"&amp;INDIRECT(OFFSET(element5,MATCH($C219,resources,0)-1,0))&amp;IF(OFFSET(element6,MATCH($C219,resources,0)-1,0)="","","-"&amp;INDIRECT(OFFSET(element6,MATCH($C219,resources,0)-1,0)))&amp;IF(abbrAtEnd,"-"&amp;L219,"")</f>
        <v>#N/A</v>
      </c>
      <c r="N219" s="4" t="str">
        <f t="shared" si="22"/>
        <v>-000</v>
      </c>
      <c r="O219" s="4">
        <f ca="1">IF(totalElements+COUNTIF(Entities!$C$10,"*")+COUNTIF(B219:C219,"*")+COUNTIF(E219:F219,"*")=9,1,0)</f>
        <v>0</v>
      </c>
      <c r="P219" s="4">
        <f>COUNTIF($C$6:C219,C219)</f>
        <v>0</v>
      </c>
      <c r="Q219" s="4">
        <f ca="1">IF(ISNA(M219),0,COUNTIF($M$6:M219,M219))</f>
        <v>0</v>
      </c>
      <c r="R219" s="4" t="e">
        <f t="shared" ca="1" si="21"/>
        <v>#N/A</v>
      </c>
      <c r="S219" s="4">
        <f ca="1">IF(ISNA(M219),0,COUNTIF($R$6:R219,R219))</f>
        <v>0</v>
      </c>
      <c r="T219" s="4" t="e">
        <f t="shared" ca="1" si="5"/>
        <v>#N/A</v>
      </c>
    </row>
    <row r="220" spans="2:20" x14ac:dyDescent="0.3">
      <c r="B220" s="48"/>
      <c r="C220" s="48"/>
      <c r="D220" s="10" t="str">
        <f t="shared" ca="1" si="19"/>
        <v/>
      </c>
      <c r="E220" s="48"/>
      <c r="F220" s="48"/>
      <c r="G220" s="10" t="str">
        <f t="shared" ca="1" si="23"/>
        <v/>
      </c>
      <c r="I220" s="10" t="str">
        <f t="shared" ca="1" si="20"/>
        <v/>
      </c>
      <c r="K220" s="4" t="e">
        <f t="shared" ca="1" si="3"/>
        <v>#N/A</v>
      </c>
      <c r="L220" s="4" t="e">
        <f>VLOOKUP(C220,_resources!B:D,3,0)</f>
        <v>#N/A</v>
      </c>
      <c r="M220" s="4" t="e" cm="1">
        <f t="array" aca="1" ref="M220" ca="1">IF(abbrAtEnd,"",L220&amp;"-")&amp;E220&amp;"-"&amp;INDIRECT(OFFSET(element3,MATCH($C220,resources,0)-1,0))&amp;"-"&amp;INDIRECT(OFFSET(element4,MATCH($C220,resources,0)-1,0))&amp;"-"&amp;INDIRECT(OFFSET(element5,MATCH($C220,resources,0)-1,0))&amp;IF(OFFSET(element6,MATCH($C220,resources,0)-1,0)="","","-"&amp;INDIRECT(OFFSET(element6,MATCH($C220,resources,0)-1,0)))&amp;IF(abbrAtEnd,"-"&amp;L220,"")</f>
        <v>#N/A</v>
      </c>
      <c r="N220" s="4" t="str">
        <f t="shared" si="22"/>
        <v>-000</v>
      </c>
      <c r="O220" s="4">
        <f ca="1">IF(totalElements+COUNTIF(Entities!$C$10,"*")+COUNTIF(B220:C220,"*")+COUNTIF(E220:F220,"*")=9,1,0)</f>
        <v>0</v>
      </c>
      <c r="P220" s="4">
        <f>COUNTIF($C$6:C220,C220)</f>
        <v>0</v>
      </c>
      <c r="Q220" s="4">
        <f ca="1">IF(ISNA(M220),0,COUNTIF($M$6:M220,M220))</f>
        <v>0</v>
      </c>
      <c r="R220" s="4" t="e">
        <f t="shared" ca="1" si="21"/>
        <v>#N/A</v>
      </c>
      <c r="S220" s="4">
        <f ca="1">IF(ISNA(M220),0,COUNTIF($R$6:R220,R220))</f>
        <v>0</v>
      </c>
      <c r="T220" s="4" t="e">
        <f t="shared" ca="1" si="5"/>
        <v>#N/A</v>
      </c>
    </row>
    <row r="221" spans="2:20" x14ac:dyDescent="0.3">
      <c r="B221" s="48"/>
      <c r="C221" s="48"/>
      <c r="D221" s="10" t="str">
        <f t="shared" ca="1" si="19"/>
        <v/>
      </c>
      <c r="E221" s="48"/>
      <c r="F221" s="48"/>
      <c r="G221" s="10" t="str">
        <f t="shared" ca="1" si="23"/>
        <v/>
      </c>
      <c r="I221" s="10" t="str">
        <f t="shared" ca="1" si="20"/>
        <v/>
      </c>
      <c r="K221" s="4" t="e">
        <f t="shared" ca="1" si="3"/>
        <v>#N/A</v>
      </c>
      <c r="L221" s="4" t="e">
        <f>VLOOKUP(C221,_resources!B:D,3,0)</f>
        <v>#N/A</v>
      </c>
      <c r="M221" s="4" t="e" cm="1">
        <f t="array" aca="1" ref="M221" ca="1">IF(abbrAtEnd,"",L221&amp;"-")&amp;E221&amp;"-"&amp;INDIRECT(OFFSET(element3,MATCH($C221,resources,0)-1,0))&amp;"-"&amp;INDIRECT(OFFSET(element4,MATCH($C221,resources,0)-1,0))&amp;"-"&amp;INDIRECT(OFFSET(element5,MATCH($C221,resources,0)-1,0))&amp;IF(OFFSET(element6,MATCH($C221,resources,0)-1,0)="","","-"&amp;INDIRECT(OFFSET(element6,MATCH($C221,resources,0)-1,0)))&amp;IF(abbrAtEnd,"-"&amp;L221,"")</f>
        <v>#N/A</v>
      </c>
      <c r="N221" s="4" t="str">
        <f t="shared" si="22"/>
        <v>-000</v>
      </c>
      <c r="O221" s="4">
        <f ca="1">IF(totalElements+COUNTIF(Entities!$C$10,"*")+COUNTIF(B221:C221,"*")+COUNTIF(E221:F221,"*")=9,1,0)</f>
        <v>0</v>
      </c>
      <c r="P221" s="4">
        <f>COUNTIF($C$6:C221,C221)</f>
        <v>0</v>
      </c>
      <c r="Q221" s="4">
        <f ca="1">IF(ISNA(M221),0,COUNTIF($M$6:M221,M221))</f>
        <v>0</v>
      </c>
      <c r="R221" s="4" t="e">
        <f t="shared" ca="1" si="21"/>
        <v>#N/A</v>
      </c>
      <c r="S221" s="4">
        <f ca="1">IF(ISNA(M221),0,COUNTIF($R$6:R221,R221))</f>
        <v>0</v>
      </c>
      <c r="T221" s="4" t="e">
        <f t="shared" ca="1" si="5"/>
        <v>#N/A</v>
      </c>
    </row>
    <row r="222" spans="2:20" x14ac:dyDescent="0.3">
      <c r="B222" s="48"/>
      <c r="C222" s="48"/>
      <c r="D222" s="10" t="str">
        <f t="shared" ca="1" si="19"/>
        <v/>
      </c>
      <c r="E222" s="48"/>
      <c r="F222" s="48"/>
      <c r="G222" s="10" t="str">
        <f t="shared" ca="1" si="23"/>
        <v/>
      </c>
      <c r="I222" s="10" t="str">
        <f t="shared" ca="1" si="20"/>
        <v/>
      </c>
      <c r="K222" s="4" t="e">
        <f t="shared" ca="1" si="3"/>
        <v>#N/A</v>
      </c>
      <c r="L222" s="4" t="e">
        <f>VLOOKUP(C222,_resources!B:D,3,0)</f>
        <v>#N/A</v>
      </c>
      <c r="M222" s="4" t="e" cm="1">
        <f t="array" aca="1" ref="M222" ca="1">IF(abbrAtEnd,"",L222&amp;"-")&amp;E222&amp;"-"&amp;INDIRECT(OFFSET(element3,MATCH($C222,resources,0)-1,0))&amp;"-"&amp;INDIRECT(OFFSET(element4,MATCH($C222,resources,0)-1,0))&amp;"-"&amp;INDIRECT(OFFSET(element5,MATCH($C222,resources,0)-1,0))&amp;IF(OFFSET(element6,MATCH($C222,resources,0)-1,0)="","","-"&amp;INDIRECT(OFFSET(element6,MATCH($C222,resources,0)-1,0)))&amp;IF(abbrAtEnd,"-"&amp;L222,"")</f>
        <v>#N/A</v>
      </c>
      <c r="N222" s="4" t="str">
        <f t="shared" si="22"/>
        <v>-000</v>
      </c>
      <c r="O222" s="4">
        <f ca="1">IF(totalElements+COUNTIF(Entities!$C$10,"*")+COUNTIF(B222:C222,"*")+COUNTIF(E222:F222,"*")=9,1,0)</f>
        <v>0</v>
      </c>
      <c r="P222" s="4">
        <f>COUNTIF($C$6:C222,C222)</f>
        <v>0</v>
      </c>
      <c r="Q222" s="4">
        <f ca="1">IF(ISNA(M222),0,COUNTIF($M$6:M222,M222))</f>
        <v>0</v>
      </c>
      <c r="R222" s="4" t="e">
        <f t="shared" ca="1" si="21"/>
        <v>#N/A</v>
      </c>
      <c r="S222" s="4">
        <f ca="1">IF(ISNA(M222),0,COUNTIF($R$6:R222,R222))</f>
        <v>0</v>
      </c>
      <c r="T222" s="4" t="e">
        <f t="shared" ca="1" si="5"/>
        <v>#N/A</v>
      </c>
    </row>
    <row r="223" spans="2:20" x14ac:dyDescent="0.3">
      <c r="B223" s="48"/>
      <c r="C223" s="48"/>
      <c r="D223" s="10" t="str">
        <f t="shared" ca="1" si="19"/>
        <v/>
      </c>
      <c r="E223" s="48"/>
      <c r="F223" s="48"/>
      <c r="G223" s="10" t="str">
        <f t="shared" ca="1" si="23"/>
        <v/>
      </c>
      <c r="I223" s="10" t="str">
        <f t="shared" ca="1" si="20"/>
        <v/>
      </c>
      <c r="K223" s="4" t="e">
        <f t="shared" ca="1" si="3"/>
        <v>#N/A</v>
      </c>
      <c r="L223" s="4" t="e">
        <f>VLOOKUP(C223,_resources!B:D,3,0)</f>
        <v>#N/A</v>
      </c>
      <c r="M223" s="4" t="e" cm="1">
        <f t="array" aca="1" ref="M223" ca="1">IF(abbrAtEnd,"",L223&amp;"-")&amp;E223&amp;"-"&amp;INDIRECT(OFFSET(element3,MATCH($C223,resources,0)-1,0))&amp;"-"&amp;INDIRECT(OFFSET(element4,MATCH($C223,resources,0)-1,0))&amp;"-"&amp;INDIRECT(OFFSET(element5,MATCH($C223,resources,0)-1,0))&amp;IF(OFFSET(element6,MATCH($C223,resources,0)-1,0)="","","-"&amp;INDIRECT(OFFSET(element6,MATCH($C223,resources,0)-1,0)))&amp;IF(abbrAtEnd,"-"&amp;L223,"")</f>
        <v>#N/A</v>
      </c>
      <c r="N223" s="4" t="str">
        <f t="shared" si="22"/>
        <v>-000</v>
      </c>
      <c r="O223" s="4">
        <f ca="1">IF(totalElements+COUNTIF(Entities!$C$10,"*")+COUNTIF(B223:C223,"*")+COUNTIF(E223:F223,"*")=9,1,0)</f>
        <v>0</v>
      </c>
      <c r="P223" s="4">
        <f>COUNTIF($C$6:C223,C223)</f>
        <v>0</v>
      </c>
      <c r="Q223" s="4">
        <f ca="1">IF(ISNA(M223),0,COUNTIF($M$6:M223,M223))</f>
        <v>0</v>
      </c>
      <c r="R223" s="4" t="e">
        <f t="shared" ca="1" si="21"/>
        <v>#N/A</v>
      </c>
      <c r="S223" s="4">
        <f ca="1">IF(ISNA(M223),0,COUNTIF($R$6:R223,R223))</f>
        <v>0</v>
      </c>
      <c r="T223" s="4" t="e">
        <f t="shared" ca="1" si="5"/>
        <v>#N/A</v>
      </c>
    </row>
    <row r="224" spans="2:20" x14ac:dyDescent="0.3">
      <c r="B224" s="48"/>
      <c r="C224" s="48"/>
      <c r="D224" s="10" t="str">
        <f t="shared" ca="1" si="19"/>
        <v/>
      </c>
      <c r="E224" s="48"/>
      <c r="F224" s="48"/>
      <c r="G224" s="10" t="str">
        <f t="shared" ca="1" si="23"/>
        <v/>
      </c>
      <c r="I224" s="10" t="str">
        <f t="shared" ca="1" si="20"/>
        <v/>
      </c>
      <c r="K224" s="4" t="e">
        <f t="shared" ca="1" si="3"/>
        <v>#N/A</v>
      </c>
      <c r="L224" s="4" t="e">
        <f>VLOOKUP(C224,_resources!B:D,3,0)</f>
        <v>#N/A</v>
      </c>
      <c r="M224" s="4" t="e" cm="1">
        <f t="array" aca="1" ref="M224" ca="1">IF(abbrAtEnd,"",L224&amp;"-")&amp;E224&amp;"-"&amp;INDIRECT(OFFSET(element3,MATCH($C224,resources,0)-1,0))&amp;"-"&amp;INDIRECT(OFFSET(element4,MATCH($C224,resources,0)-1,0))&amp;"-"&amp;INDIRECT(OFFSET(element5,MATCH($C224,resources,0)-1,0))&amp;IF(OFFSET(element6,MATCH($C224,resources,0)-1,0)="","","-"&amp;INDIRECT(OFFSET(element6,MATCH($C224,resources,0)-1,0)))&amp;IF(abbrAtEnd,"-"&amp;L224,"")</f>
        <v>#N/A</v>
      </c>
      <c r="N224" s="4" t="str">
        <f t="shared" si="22"/>
        <v>-000</v>
      </c>
      <c r="O224" s="4">
        <f ca="1">IF(totalElements+COUNTIF(Entities!$C$10,"*")+COUNTIF(B224:C224,"*")+COUNTIF(E224:F224,"*")=9,1,0)</f>
        <v>0</v>
      </c>
      <c r="P224" s="4">
        <f>COUNTIF($C$6:C224,C224)</f>
        <v>0</v>
      </c>
      <c r="Q224" s="4">
        <f ca="1">IF(ISNA(M224),0,COUNTIF($M$6:M224,M224))</f>
        <v>0</v>
      </c>
      <c r="R224" s="4" t="e">
        <f t="shared" ca="1" si="21"/>
        <v>#N/A</v>
      </c>
      <c r="S224" s="4">
        <f ca="1">IF(ISNA(M224),0,COUNTIF($R$6:R224,R224))</f>
        <v>0</v>
      </c>
      <c r="T224" s="4" t="e">
        <f t="shared" ca="1" si="5"/>
        <v>#N/A</v>
      </c>
    </row>
    <row r="225" spans="2:20" x14ac:dyDescent="0.3">
      <c r="B225" s="48"/>
      <c r="C225" s="48"/>
      <c r="D225" s="10" t="str">
        <f t="shared" ca="1" si="19"/>
        <v/>
      </c>
      <c r="E225" s="48"/>
      <c r="F225" s="48"/>
      <c r="G225" s="10" t="str">
        <f t="shared" ca="1" si="23"/>
        <v/>
      </c>
      <c r="I225" s="10" t="str">
        <f t="shared" ca="1" si="20"/>
        <v/>
      </c>
      <c r="K225" s="4" t="e">
        <f t="shared" ca="1" si="3"/>
        <v>#N/A</v>
      </c>
      <c r="L225" s="4" t="e">
        <f>VLOOKUP(C225,_resources!B:D,3,0)</f>
        <v>#N/A</v>
      </c>
      <c r="M225" s="4" t="e" cm="1">
        <f t="array" aca="1" ref="M225" ca="1">IF(abbrAtEnd,"",L225&amp;"-")&amp;E225&amp;"-"&amp;INDIRECT(OFFSET(element3,MATCH($C225,resources,0)-1,0))&amp;"-"&amp;INDIRECT(OFFSET(element4,MATCH($C225,resources,0)-1,0))&amp;"-"&amp;INDIRECT(OFFSET(element5,MATCH($C225,resources,0)-1,0))&amp;IF(OFFSET(element6,MATCH($C225,resources,0)-1,0)="","","-"&amp;INDIRECT(OFFSET(element6,MATCH($C225,resources,0)-1,0)))&amp;IF(abbrAtEnd,"-"&amp;L225,"")</f>
        <v>#N/A</v>
      </c>
      <c r="N225" s="4" t="str">
        <f t="shared" si="22"/>
        <v>-000</v>
      </c>
      <c r="O225" s="4">
        <f ca="1">IF(totalElements+COUNTIF(Entities!$C$10,"*")+COUNTIF(B225:C225,"*")+COUNTIF(E225:F225,"*")=9,1,0)</f>
        <v>0</v>
      </c>
      <c r="P225" s="4">
        <f>COUNTIF($C$6:C225,C225)</f>
        <v>0</v>
      </c>
      <c r="Q225" s="4">
        <f ca="1">IF(ISNA(M225),0,COUNTIF($M$6:M225,M225))</f>
        <v>0</v>
      </c>
      <c r="R225" s="4" t="e">
        <f t="shared" ca="1" si="21"/>
        <v>#N/A</v>
      </c>
      <c r="S225" s="4">
        <f ca="1">IF(ISNA(M225),0,COUNTIF($R$6:R225,R225))</f>
        <v>0</v>
      </c>
      <c r="T225" s="4" t="e">
        <f t="shared" ca="1" si="5"/>
        <v>#N/A</v>
      </c>
    </row>
    <row r="226" spans="2:20" x14ac:dyDescent="0.3">
      <c r="B226" s="48"/>
      <c r="C226" s="48"/>
      <c r="D226" s="10" t="str">
        <f t="shared" ca="1" si="19"/>
        <v/>
      </c>
      <c r="E226" s="48"/>
      <c r="F226" s="48"/>
      <c r="G226" s="10" t="str">
        <f t="shared" ca="1" si="23"/>
        <v/>
      </c>
      <c r="I226" s="10" t="str">
        <f t="shared" ca="1" si="20"/>
        <v/>
      </c>
      <c r="K226" s="4" t="e">
        <f t="shared" ca="1" si="3"/>
        <v>#N/A</v>
      </c>
      <c r="L226" s="4" t="e">
        <f>VLOOKUP(C226,_resources!B:D,3,0)</f>
        <v>#N/A</v>
      </c>
      <c r="M226" s="4" t="e" cm="1">
        <f t="array" aca="1" ref="M226" ca="1">IF(abbrAtEnd,"",L226&amp;"-")&amp;E226&amp;"-"&amp;INDIRECT(OFFSET(element3,MATCH($C226,resources,0)-1,0))&amp;"-"&amp;INDIRECT(OFFSET(element4,MATCH($C226,resources,0)-1,0))&amp;"-"&amp;INDIRECT(OFFSET(element5,MATCH($C226,resources,0)-1,0))&amp;IF(OFFSET(element6,MATCH($C226,resources,0)-1,0)="","","-"&amp;INDIRECT(OFFSET(element6,MATCH($C226,resources,0)-1,0)))&amp;IF(abbrAtEnd,"-"&amp;L226,"")</f>
        <v>#N/A</v>
      </c>
      <c r="N226" s="4" t="str">
        <f t="shared" si="22"/>
        <v>-000</v>
      </c>
      <c r="O226" s="4">
        <f ca="1">IF(totalElements+COUNTIF(Entities!$C$10,"*")+COUNTIF(B226:C226,"*")+COUNTIF(E226:F226,"*")=9,1,0)</f>
        <v>0</v>
      </c>
      <c r="P226" s="4">
        <f>COUNTIF($C$6:C226,C226)</f>
        <v>0</v>
      </c>
      <c r="Q226" s="4">
        <f ca="1">IF(ISNA(M226),0,COUNTIF($M$6:M226,M226))</f>
        <v>0</v>
      </c>
      <c r="R226" s="4" t="e">
        <f t="shared" ca="1" si="21"/>
        <v>#N/A</v>
      </c>
      <c r="S226" s="4">
        <f ca="1">IF(ISNA(M226),0,COUNTIF($R$6:R226,R226))</f>
        <v>0</v>
      </c>
      <c r="T226" s="4" t="e">
        <f t="shared" ca="1" si="5"/>
        <v>#N/A</v>
      </c>
    </row>
    <row r="227" spans="2:20" x14ac:dyDescent="0.3">
      <c r="B227" s="48"/>
      <c r="C227" s="48"/>
      <c r="D227" s="10" t="str">
        <f t="shared" ca="1" si="19"/>
        <v/>
      </c>
      <c r="E227" s="48"/>
      <c r="F227" s="48"/>
      <c r="G227" s="10" t="str">
        <f t="shared" ca="1" si="23"/>
        <v/>
      </c>
      <c r="I227" s="10" t="str">
        <f t="shared" ca="1" si="20"/>
        <v/>
      </c>
      <c r="K227" s="4" t="e">
        <f t="shared" ca="1" si="3"/>
        <v>#N/A</v>
      </c>
      <c r="L227" s="4" t="e">
        <f>VLOOKUP(C227,_resources!B:D,3,0)</f>
        <v>#N/A</v>
      </c>
      <c r="M227" s="4" t="e" cm="1">
        <f t="array" aca="1" ref="M227" ca="1">IF(abbrAtEnd,"",L227&amp;"-")&amp;E227&amp;"-"&amp;INDIRECT(OFFSET(element3,MATCH($C227,resources,0)-1,0))&amp;"-"&amp;INDIRECT(OFFSET(element4,MATCH($C227,resources,0)-1,0))&amp;"-"&amp;INDIRECT(OFFSET(element5,MATCH($C227,resources,0)-1,0))&amp;IF(OFFSET(element6,MATCH($C227,resources,0)-1,0)="","","-"&amp;INDIRECT(OFFSET(element6,MATCH($C227,resources,0)-1,0)))&amp;IF(abbrAtEnd,"-"&amp;L227,"")</f>
        <v>#N/A</v>
      </c>
      <c r="N227" s="4" t="str">
        <f t="shared" si="22"/>
        <v>-000</v>
      </c>
      <c r="O227" s="4">
        <f ca="1">IF(totalElements+COUNTIF(Entities!$C$10,"*")+COUNTIF(B227:C227,"*")+COUNTIF(E227:F227,"*")=9,1,0)</f>
        <v>0</v>
      </c>
      <c r="P227" s="4">
        <f>COUNTIF($C$6:C227,C227)</f>
        <v>0</v>
      </c>
      <c r="Q227" s="4">
        <f ca="1">IF(ISNA(M227),0,COUNTIF($M$6:M227,M227))</f>
        <v>0</v>
      </c>
      <c r="R227" s="4" t="e">
        <f t="shared" ca="1" si="21"/>
        <v>#N/A</v>
      </c>
      <c r="S227" s="4">
        <f ca="1">IF(ISNA(M227),0,COUNTIF($R$6:R227,R227))</f>
        <v>0</v>
      </c>
      <c r="T227" s="4" t="e">
        <f t="shared" ca="1" si="5"/>
        <v>#N/A</v>
      </c>
    </row>
    <row r="228" spans="2:20" x14ac:dyDescent="0.3">
      <c r="B228" s="48"/>
      <c r="C228" s="48"/>
      <c r="D228" s="10" t="str">
        <f t="shared" ca="1" si="19"/>
        <v/>
      </c>
      <c r="E228" s="48"/>
      <c r="F228" s="48"/>
      <c r="G228" s="10" t="str">
        <f t="shared" ca="1" si="23"/>
        <v/>
      </c>
      <c r="I228" s="10" t="str">
        <f t="shared" ca="1" si="20"/>
        <v/>
      </c>
      <c r="K228" s="4" t="e">
        <f t="shared" ca="1" si="3"/>
        <v>#N/A</v>
      </c>
      <c r="L228" s="4" t="e">
        <f>VLOOKUP(C228,_resources!B:D,3,0)</f>
        <v>#N/A</v>
      </c>
      <c r="M228" s="4" t="e" cm="1">
        <f t="array" aca="1" ref="M228" ca="1">IF(abbrAtEnd,"",L228&amp;"-")&amp;E228&amp;"-"&amp;INDIRECT(OFFSET(element3,MATCH($C228,resources,0)-1,0))&amp;"-"&amp;INDIRECT(OFFSET(element4,MATCH($C228,resources,0)-1,0))&amp;"-"&amp;INDIRECT(OFFSET(element5,MATCH($C228,resources,0)-1,0))&amp;IF(OFFSET(element6,MATCH($C228,resources,0)-1,0)="","","-"&amp;INDIRECT(OFFSET(element6,MATCH($C228,resources,0)-1,0)))&amp;IF(abbrAtEnd,"-"&amp;L228,"")</f>
        <v>#N/A</v>
      </c>
      <c r="N228" s="4" t="str">
        <f t="shared" si="22"/>
        <v>-000</v>
      </c>
      <c r="O228" s="4">
        <f ca="1">IF(totalElements+COUNTIF(Entities!$C$10,"*")+COUNTIF(B228:C228,"*")+COUNTIF(E228:F228,"*")=9,1,0)</f>
        <v>0</v>
      </c>
      <c r="P228" s="4">
        <f>COUNTIF($C$6:C228,C228)</f>
        <v>0</v>
      </c>
      <c r="Q228" s="4">
        <f ca="1">IF(ISNA(M228),0,COUNTIF($M$6:M228,M228))</f>
        <v>0</v>
      </c>
      <c r="R228" s="4" t="e">
        <f t="shared" ca="1" si="21"/>
        <v>#N/A</v>
      </c>
      <c r="S228" s="4">
        <f ca="1">IF(ISNA(M228),0,COUNTIF($R$6:R228,R228))</f>
        <v>0</v>
      </c>
      <c r="T228" s="4" t="e">
        <f t="shared" ca="1" si="5"/>
        <v>#N/A</v>
      </c>
    </row>
    <row r="229" spans="2:20" x14ac:dyDescent="0.3">
      <c r="B229" s="48"/>
      <c r="C229" s="48"/>
      <c r="D229" s="10" t="str">
        <f t="shared" ca="1" si="19"/>
        <v/>
      </c>
      <c r="E229" s="48"/>
      <c r="F229" s="48"/>
      <c r="G229" s="10" t="str">
        <f t="shared" ca="1" si="23"/>
        <v/>
      </c>
      <c r="I229" s="10" t="str">
        <f t="shared" ca="1" si="20"/>
        <v/>
      </c>
      <c r="K229" s="4" t="e">
        <f t="shared" ca="1" si="3"/>
        <v>#N/A</v>
      </c>
      <c r="L229" s="4" t="e">
        <f>VLOOKUP(C229,_resources!B:D,3,0)</f>
        <v>#N/A</v>
      </c>
      <c r="M229" s="4" t="e" cm="1">
        <f t="array" aca="1" ref="M229" ca="1">IF(abbrAtEnd,"",L229&amp;"-")&amp;E229&amp;"-"&amp;INDIRECT(OFFSET(element3,MATCH($C229,resources,0)-1,0))&amp;"-"&amp;INDIRECT(OFFSET(element4,MATCH($C229,resources,0)-1,0))&amp;"-"&amp;INDIRECT(OFFSET(element5,MATCH($C229,resources,0)-1,0))&amp;IF(OFFSET(element6,MATCH($C229,resources,0)-1,0)="","","-"&amp;INDIRECT(OFFSET(element6,MATCH($C229,resources,0)-1,0)))&amp;IF(abbrAtEnd,"-"&amp;L229,"")</f>
        <v>#N/A</v>
      </c>
      <c r="N229" s="4" t="str">
        <f t="shared" si="22"/>
        <v>-000</v>
      </c>
      <c r="O229" s="4">
        <f ca="1">IF(totalElements+COUNTIF(Entities!$C$10,"*")+COUNTIF(B229:C229,"*")+COUNTIF(E229:F229,"*")=9,1,0)</f>
        <v>0</v>
      </c>
      <c r="P229" s="4">
        <f>COUNTIF($C$6:C229,C229)</f>
        <v>0</v>
      </c>
      <c r="Q229" s="4">
        <f ca="1">IF(ISNA(M229),0,COUNTIF($M$6:M229,M229))</f>
        <v>0</v>
      </c>
      <c r="R229" s="4" t="e">
        <f t="shared" ca="1" si="21"/>
        <v>#N/A</v>
      </c>
      <c r="S229" s="4">
        <f ca="1">IF(ISNA(M229),0,COUNTIF($R$6:R229,R229))</f>
        <v>0</v>
      </c>
      <c r="T229" s="4" t="e">
        <f t="shared" ca="1" si="5"/>
        <v>#N/A</v>
      </c>
    </row>
    <row r="230" spans="2:20" x14ac:dyDescent="0.3">
      <c r="B230" s="48"/>
      <c r="C230" s="48"/>
      <c r="D230" s="10" t="str">
        <f t="shared" ca="1" si="19"/>
        <v/>
      </c>
      <c r="E230" s="48"/>
      <c r="F230" s="48"/>
      <c r="G230" s="10" t="str">
        <f t="shared" ca="1" si="23"/>
        <v/>
      </c>
      <c r="I230" s="10" t="str">
        <f t="shared" ca="1" si="20"/>
        <v/>
      </c>
      <c r="K230" s="4" t="e">
        <f t="shared" ca="1" si="3"/>
        <v>#N/A</v>
      </c>
      <c r="L230" s="4" t="e">
        <f>VLOOKUP(C230,_resources!B:D,3,0)</f>
        <v>#N/A</v>
      </c>
      <c r="M230" s="4" t="e" cm="1">
        <f t="array" aca="1" ref="M230" ca="1">IF(abbrAtEnd,"",L230&amp;"-")&amp;E230&amp;"-"&amp;INDIRECT(OFFSET(element3,MATCH($C230,resources,0)-1,0))&amp;"-"&amp;INDIRECT(OFFSET(element4,MATCH($C230,resources,0)-1,0))&amp;"-"&amp;INDIRECT(OFFSET(element5,MATCH($C230,resources,0)-1,0))&amp;IF(OFFSET(element6,MATCH($C230,resources,0)-1,0)="","","-"&amp;INDIRECT(OFFSET(element6,MATCH($C230,resources,0)-1,0)))&amp;IF(abbrAtEnd,"-"&amp;L230,"")</f>
        <v>#N/A</v>
      </c>
      <c r="N230" s="4" t="str">
        <f t="shared" si="22"/>
        <v>-000</v>
      </c>
      <c r="O230" s="4">
        <f ca="1">IF(totalElements+COUNTIF(Entities!$C$10,"*")+COUNTIF(B230:C230,"*")+COUNTIF(E230:F230,"*")=9,1,0)</f>
        <v>0</v>
      </c>
      <c r="P230" s="4">
        <f>COUNTIF($C$6:C230,C230)</f>
        <v>0</v>
      </c>
      <c r="Q230" s="4">
        <f ca="1">IF(ISNA(M230),0,COUNTIF($M$6:M230,M230))</f>
        <v>0</v>
      </c>
      <c r="R230" s="4" t="e">
        <f t="shared" ca="1" si="21"/>
        <v>#N/A</v>
      </c>
      <c r="S230" s="4">
        <f ca="1">IF(ISNA(M230),0,COUNTIF($R$6:R230,R230))</f>
        <v>0</v>
      </c>
      <c r="T230" s="4" t="e">
        <f t="shared" ca="1" si="5"/>
        <v>#N/A</v>
      </c>
    </row>
    <row r="231" spans="2:20" x14ac:dyDescent="0.3">
      <c r="B231" s="48"/>
      <c r="C231" s="48"/>
      <c r="D231" s="10" t="str">
        <f t="shared" ca="1" si="19"/>
        <v/>
      </c>
      <c r="E231" s="48"/>
      <c r="F231" s="48"/>
      <c r="G231" s="10" t="str">
        <f t="shared" ca="1" si="23"/>
        <v/>
      </c>
      <c r="I231" s="10" t="str">
        <f t="shared" ca="1" si="20"/>
        <v/>
      </c>
      <c r="K231" s="4" t="e">
        <f t="shared" ca="1" si="3"/>
        <v>#N/A</v>
      </c>
      <c r="L231" s="4" t="e">
        <f>VLOOKUP(C231,_resources!B:D,3,0)</f>
        <v>#N/A</v>
      </c>
      <c r="M231" s="4" t="e" cm="1">
        <f t="array" aca="1" ref="M231" ca="1">IF(abbrAtEnd,"",L231&amp;"-")&amp;E231&amp;"-"&amp;INDIRECT(OFFSET(element3,MATCH($C231,resources,0)-1,0))&amp;"-"&amp;INDIRECT(OFFSET(element4,MATCH($C231,resources,0)-1,0))&amp;"-"&amp;INDIRECT(OFFSET(element5,MATCH($C231,resources,0)-1,0))&amp;IF(OFFSET(element6,MATCH($C231,resources,0)-1,0)="","","-"&amp;INDIRECT(OFFSET(element6,MATCH($C231,resources,0)-1,0)))&amp;IF(abbrAtEnd,"-"&amp;L231,"")</f>
        <v>#N/A</v>
      </c>
      <c r="N231" s="4" t="str">
        <f t="shared" si="22"/>
        <v>-000</v>
      </c>
      <c r="O231" s="4">
        <f ca="1">IF(totalElements+COUNTIF(Entities!$C$10,"*")+COUNTIF(B231:C231,"*")+COUNTIF(E231:F231,"*")=9,1,0)</f>
        <v>0</v>
      </c>
      <c r="P231" s="4">
        <f>COUNTIF($C$6:C231,C231)</f>
        <v>0</v>
      </c>
      <c r="Q231" s="4">
        <f ca="1">IF(ISNA(M231),0,COUNTIF($M$6:M231,M231))</f>
        <v>0</v>
      </c>
      <c r="R231" s="4" t="e">
        <f t="shared" ca="1" si="21"/>
        <v>#N/A</v>
      </c>
      <c r="S231" s="4">
        <f ca="1">IF(ISNA(M231),0,COUNTIF($R$6:R231,R231))</f>
        <v>0</v>
      </c>
      <c r="T231" s="4" t="e">
        <f t="shared" ca="1" si="5"/>
        <v>#N/A</v>
      </c>
    </row>
    <row r="232" spans="2:20" x14ac:dyDescent="0.3">
      <c r="B232" s="48"/>
      <c r="C232" s="48"/>
      <c r="D232" s="10" t="str">
        <f t="shared" ca="1" si="19"/>
        <v/>
      </c>
      <c r="E232" s="48"/>
      <c r="F232" s="48"/>
      <c r="G232" s="10" t="str">
        <f t="shared" ca="1" si="23"/>
        <v/>
      </c>
      <c r="I232" s="10" t="str">
        <f t="shared" ca="1" si="20"/>
        <v/>
      </c>
      <c r="K232" s="4" t="e">
        <f t="shared" ca="1" si="3"/>
        <v>#N/A</v>
      </c>
      <c r="L232" s="4" t="e">
        <f>VLOOKUP(C232,_resources!B:D,3,0)</f>
        <v>#N/A</v>
      </c>
      <c r="M232" s="4" t="e" cm="1">
        <f t="array" aca="1" ref="M232" ca="1">IF(abbrAtEnd,"",L232&amp;"-")&amp;E232&amp;"-"&amp;INDIRECT(OFFSET(element3,MATCH($C232,resources,0)-1,0))&amp;"-"&amp;INDIRECT(OFFSET(element4,MATCH($C232,resources,0)-1,0))&amp;"-"&amp;INDIRECT(OFFSET(element5,MATCH($C232,resources,0)-1,0))&amp;IF(OFFSET(element6,MATCH($C232,resources,0)-1,0)="","","-"&amp;INDIRECT(OFFSET(element6,MATCH($C232,resources,0)-1,0)))&amp;IF(abbrAtEnd,"-"&amp;L232,"")</f>
        <v>#N/A</v>
      </c>
      <c r="N232" s="4" t="str">
        <f t="shared" si="22"/>
        <v>-000</v>
      </c>
      <c r="O232" s="4">
        <f ca="1">IF(totalElements+COUNTIF(Entities!$C$10,"*")+COUNTIF(B232:C232,"*")+COUNTIF(E232:F232,"*")=9,1,0)</f>
        <v>0</v>
      </c>
      <c r="P232" s="4">
        <f>COUNTIF($C$6:C232,C232)</f>
        <v>0</v>
      </c>
      <c r="Q232" s="4">
        <f ca="1">IF(ISNA(M232),0,COUNTIF($M$6:M232,M232))</f>
        <v>0</v>
      </c>
      <c r="R232" s="4" t="e">
        <f t="shared" ca="1" si="21"/>
        <v>#N/A</v>
      </c>
      <c r="S232" s="4">
        <f ca="1">IF(ISNA(M232),0,COUNTIF($R$6:R232,R232))</f>
        <v>0</v>
      </c>
      <c r="T232" s="4" t="e">
        <f t="shared" ca="1" si="5"/>
        <v>#N/A</v>
      </c>
    </row>
    <row r="233" spans="2:20" x14ac:dyDescent="0.3">
      <c r="B233" s="48"/>
      <c r="C233" s="48"/>
      <c r="D233" s="10" t="str">
        <f t="shared" ca="1" si="19"/>
        <v/>
      </c>
      <c r="E233" s="48"/>
      <c r="F233" s="48"/>
      <c r="G233" s="10" t="str">
        <f t="shared" ca="1" si="23"/>
        <v/>
      </c>
      <c r="I233" s="10" t="str">
        <f t="shared" ca="1" si="20"/>
        <v/>
      </c>
      <c r="K233" s="4" t="e">
        <f t="shared" ca="1" si="3"/>
        <v>#N/A</v>
      </c>
      <c r="L233" s="4" t="e">
        <f>VLOOKUP(C233,_resources!B:D,3,0)</f>
        <v>#N/A</v>
      </c>
      <c r="M233" s="4" t="e" cm="1">
        <f t="array" aca="1" ref="M233" ca="1">IF(abbrAtEnd,"",L233&amp;"-")&amp;E233&amp;"-"&amp;INDIRECT(OFFSET(element3,MATCH($C233,resources,0)-1,0))&amp;"-"&amp;INDIRECT(OFFSET(element4,MATCH($C233,resources,0)-1,0))&amp;"-"&amp;INDIRECT(OFFSET(element5,MATCH($C233,resources,0)-1,0))&amp;IF(OFFSET(element6,MATCH($C233,resources,0)-1,0)="","","-"&amp;INDIRECT(OFFSET(element6,MATCH($C233,resources,0)-1,0)))&amp;IF(abbrAtEnd,"-"&amp;L233,"")</f>
        <v>#N/A</v>
      </c>
      <c r="N233" s="4" t="str">
        <f t="shared" si="22"/>
        <v>-000</v>
      </c>
      <c r="O233" s="4">
        <f ca="1">IF(totalElements+COUNTIF(Entities!$C$10,"*")+COUNTIF(B233:C233,"*")+COUNTIF(E233:F233,"*")=9,1,0)</f>
        <v>0</v>
      </c>
      <c r="P233" s="4">
        <f>COUNTIF($C$6:C233,C233)</f>
        <v>0</v>
      </c>
      <c r="Q233" s="4">
        <f ca="1">IF(ISNA(M233),0,COUNTIF($M$6:M233,M233))</f>
        <v>0</v>
      </c>
      <c r="R233" s="4" t="e">
        <f t="shared" ca="1" si="21"/>
        <v>#N/A</v>
      </c>
      <c r="S233" s="4">
        <f ca="1">IF(ISNA(M233),0,COUNTIF($R$6:R233,R233))</f>
        <v>0</v>
      </c>
      <c r="T233" s="4" t="e">
        <f t="shared" ca="1" si="5"/>
        <v>#N/A</v>
      </c>
    </row>
    <row r="234" spans="2:20" x14ac:dyDescent="0.3">
      <c r="B234" s="48"/>
      <c r="C234" s="48"/>
      <c r="D234" s="10" t="str">
        <f t="shared" ca="1" si="19"/>
        <v/>
      </c>
      <c r="E234" s="48"/>
      <c r="F234" s="48"/>
      <c r="G234" s="10" t="str">
        <f t="shared" ca="1" si="23"/>
        <v/>
      </c>
      <c r="I234" s="10" t="str">
        <f t="shared" ca="1" si="20"/>
        <v/>
      </c>
      <c r="K234" s="4" t="e">
        <f t="shared" ca="1" si="3"/>
        <v>#N/A</v>
      </c>
      <c r="L234" s="4" t="e">
        <f>VLOOKUP(C234,_resources!B:D,3,0)</f>
        <v>#N/A</v>
      </c>
      <c r="M234" s="4" t="e" cm="1">
        <f t="array" aca="1" ref="M234" ca="1">IF(abbrAtEnd,"",L234&amp;"-")&amp;E234&amp;"-"&amp;INDIRECT(OFFSET(element3,MATCH($C234,resources,0)-1,0))&amp;"-"&amp;INDIRECT(OFFSET(element4,MATCH($C234,resources,0)-1,0))&amp;"-"&amp;INDIRECT(OFFSET(element5,MATCH($C234,resources,0)-1,0))&amp;IF(OFFSET(element6,MATCH($C234,resources,0)-1,0)="","","-"&amp;INDIRECT(OFFSET(element6,MATCH($C234,resources,0)-1,0)))&amp;IF(abbrAtEnd,"-"&amp;L234,"")</f>
        <v>#N/A</v>
      </c>
      <c r="N234" s="4" t="str">
        <f t="shared" si="22"/>
        <v>-000</v>
      </c>
      <c r="O234" s="4">
        <f ca="1">IF(totalElements+COUNTIF(Entities!$C$10,"*")+COUNTIF(B234:C234,"*")+COUNTIF(E234:F234,"*")=9,1,0)</f>
        <v>0</v>
      </c>
      <c r="P234" s="4">
        <f>COUNTIF($C$6:C234,C234)</f>
        <v>0</v>
      </c>
      <c r="Q234" s="4">
        <f ca="1">IF(ISNA(M234),0,COUNTIF($M$6:M234,M234))</f>
        <v>0</v>
      </c>
      <c r="R234" s="4" t="e">
        <f t="shared" ca="1" si="21"/>
        <v>#N/A</v>
      </c>
      <c r="S234" s="4">
        <f ca="1">IF(ISNA(M234),0,COUNTIF($R$6:R234,R234))</f>
        <v>0</v>
      </c>
      <c r="T234" s="4" t="e">
        <f t="shared" ca="1" si="5"/>
        <v>#N/A</v>
      </c>
    </row>
    <row r="235" spans="2:20" x14ac:dyDescent="0.3">
      <c r="B235" s="48"/>
      <c r="C235" s="48"/>
      <c r="D235" s="10" t="str">
        <f t="shared" ca="1" si="19"/>
        <v/>
      </c>
      <c r="E235" s="48"/>
      <c r="F235" s="48"/>
      <c r="G235" s="10" t="str">
        <f t="shared" ca="1" si="23"/>
        <v/>
      </c>
      <c r="I235" s="10" t="str">
        <f t="shared" ca="1" si="20"/>
        <v/>
      </c>
      <c r="K235" s="4" t="e">
        <f t="shared" ca="1" si="3"/>
        <v>#N/A</v>
      </c>
      <c r="L235" s="4" t="e">
        <f>VLOOKUP(C235,_resources!B:D,3,0)</f>
        <v>#N/A</v>
      </c>
      <c r="M235" s="4" t="e" cm="1">
        <f t="array" aca="1" ref="M235" ca="1">IF(abbrAtEnd,"",L235&amp;"-")&amp;E235&amp;"-"&amp;INDIRECT(OFFSET(element3,MATCH($C235,resources,0)-1,0))&amp;"-"&amp;INDIRECT(OFFSET(element4,MATCH($C235,resources,0)-1,0))&amp;"-"&amp;INDIRECT(OFFSET(element5,MATCH($C235,resources,0)-1,0))&amp;IF(OFFSET(element6,MATCH($C235,resources,0)-1,0)="","","-"&amp;INDIRECT(OFFSET(element6,MATCH($C235,resources,0)-1,0)))&amp;IF(abbrAtEnd,"-"&amp;L235,"")</f>
        <v>#N/A</v>
      </c>
      <c r="N235" s="4" t="str">
        <f t="shared" si="22"/>
        <v>-000</v>
      </c>
      <c r="O235" s="4">
        <f ca="1">IF(totalElements+COUNTIF(Entities!$C$10,"*")+COUNTIF(B235:C235,"*")+COUNTIF(E235:F235,"*")=9,1,0)</f>
        <v>0</v>
      </c>
      <c r="P235" s="4">
        <f>COUNTIF($C$6:C235,C235)</f>
        <v>0</v>
      </c>
      <c r="Q235" s="4">
        <f ca="1">IF(ISNA(M235),0,COUNTIF($M$6:M235,M235))</f>
        <v>0</v>
      </c>
      <c r="R235" s="4" t="e">
        <f t="shared" ca="1" si="21"/>
        <v>#N/A</v>
      </c>
      <c r="S235" s="4">
        <f ca="1">IF(ISNA(M235),0,COUNTIF($R$6:R235,R235))</f>
        <v>0</v>
      </c>
      <c r="T235" s="4" t="e">
        <f t="shared" ca="1" si="5"/>
        <v>#N/A</v>
      </c>
    </row>
    <row r="236" spans="2:20" x14ac:dyDescent="0.3">
      <c r="B236" s="48"/>
      <c r="C236" s="48"/>
      <c r="D236" s="10" t="str">
        <f t="shared" ca="1" si="19"/>
        <v/>
      </c>
      <c r="E236" s="48"/>
      <c r="F236" s="48"/>
      <c r="G236" s="10" t="str">
        <f t="shared" ca="1" si="23"/>
        <v/>
      </c>
      <c r="I236" s="10" t="str">
        <f t="shared" ca="1" si="20"/>
        <v/>
      </c>
      <c r="K236" s="4" t="e">
        <f t="shared" ca="1" si="3"/>
        <v>#N/A</v>
      </c>
      <c r="L236" s="4" t="e">
        <f>VLOOKUP(C236,_resources!B:D,3,0)</f>
        <v>#N/A</v>
      </c>
      <c r="M236" s="4" t="e" cm="1">
        <f t="array" aca="1" ref="M236" ca="1">IF(abbrAtEnd,"",L236&amp;"-")&amp;E236&amp;"-"&amp;INDIRECT(OFFSET(element3,MATCH($C236,resources,0)-1,0))&amp;"-"&amp;INDIRECT(OFFSET(element4,MATCH($C236,resources,0)-1,0))&amp;"-"&amp;INDIRECT(OFFSET(element5,MATCH($C236,resources,0)-1,0))&amp;IF(OFFSET(element6,MATCH($C236,resources,0)-1,0)="","","-"&amp;INDIRECT(OFFSET(element6,MATCH($C236,resources,0)-1,0)))&amp;IF(abbrAtEnd,"-"&amp;L236,"")</f>
        <v>#N/A</v>
      </c>
      <c r="N236" s="4" t="str">
        <f t="shared" si="22"/>
        <v>-000</v>
      </c>
      <c r="O236" s="4">
        <f ca="1">IF(totalElements+COUNTIF(Entities!$C$10,"*")+COUNTIF(B236:C236,"*")+COUNTIF(E236:F236,"*")=9,1,0)</f>
        <v>0</v>
      </c>
      <c r="P236" s="4">
        <f>COUNTIF($C$6:C236,C236)</f>
        <v>0</v>
      </c>
      <c r="Q236" s="4">
        <f ca="1">IF(ISNA(M236),0,COUNTIF($M$6:M236,M236))</f>
        <v>0</v>
      </c>
      <c r="R236" s="4" t="e">
        <f t="shared" ca="1" si="21"/>
        <v>#N/A</v>
      </c>
      <c r="S236" s="4">
        <f ca="1">IF(ISNA(M236),0,COUNTIF($R$6:R236,R236))</f>
        <v>0</v>
      </c>
      <c r="T236" s="4" t="e">
        <f t="shared" ca="1" si="5"/>
        <v>#N/A</v>
      </c>
    </row>
    <row r="237" spans="2:20" x14ac:dyDescent="0.3">
      <c r="B237" s="48"/>
      <c r="C237" s="48"/>
      <c r="D237" s="10" t="str">
        <f t="shared" ca="1" si="19"/>
        <v/>
      </c>
      <c r="E237" s="48"/>
      <c r="F237" s="48"/>
      <c r="G237" s="10" t="str">
        <f t="shared" ca="1" si="23"/>
        <v/>
      </c>
      <c r="I237" s="10" t="str">
        <f t="shared" ca="1" si="20"/>
        <v/>
      </c>
      <c r="K237" s="4" t="e">
        <f t="shared" ca="1" si="3"/>
        <v>#N/A</v>
      </c>
      <c r="L237" s="4" t="e">
        <f>VLOOKUP(C237,_resources!B:D,3,0)</f>
        <v>#N/A</v>
      </c>
      <c r="M237" s="4" t="e" cm="1">
        <f t="array" aca="1" ref="M237" ca="1">IF(abbrAtEnd,"",L237&amp;"-")&amp;E237&amp;"-"&amp;INDIRECT(OFFSET(element3,MATCH($C237,resources,0)-1,0))&amp;"-"&amp;INDIRECT(OFFSET(element4,MATCH($C237,resources,0)-1,0))&amp;"-"&amp;INDIRECT(OFFSET(element5,MATCH($C237,resources,0)-1,0))&amp;IF(OFFSET(element6,MATCH($C237,resources,0)-1,0)="","","-"&amp;INDIRECT(OFFSET(element6,MATCH($C237,resources,0)-1,0)))&amp;IF(abbrAtEnd,"-"&amp;L237,"")</f>
        <v>#N/A</v>
      </c>
      <c r="N237" s="4" t="str">
        <f t="shared" si="22"/>
        <v>-000</v>
      </c>
      <c r="O237" s="4">
        <f ca="1">IF(totalElements+COUNTIF(Entities!$C$10,"*")+COUNTIF(B237:C237,"*")+COUNTIF(E237:F237,"*")=9,1,0)</f>
        <v>0</v>
      </c>
      <c r="P237" s="4">
        <f>COUNTIF($C$6:C237,C237)</f>
        <v>0</v>
      </c>
      <c r="Q237" s="4">
        <f ca="1">IF(ISNA(M237),0,COUNTIF($M$6:M237,M237))</f>
        <v>0</v>
      </c>
      <c r="R237" s="4" t="e">
        <f t="shared" ca="1" si="21"/>
        <v>#N/A</v>
      </c>
      <c r="S237" s="4">
        <f ca="1">IF(ISNA(M237),0,COUNTIF($R$6:R237,R237))</f>
        <v>0</v>
      </c>
      <c r="T237" s="4" t="e">
        <f t="shared" ca="1" si="5"/>
        <v>#N/A</v>
      </c>
    </row>
    <row r="238" spans="2:20" x14ac:dyDescent="0.3">
      <c r="B238" s="48"/>
      <c r="C238" s="48"/>
      <c r="D238" s="10" t="str">
        <f t="shared" ca="1" si="19"/>
        <v/>
      </c>
      <c r="E238" s="48"/>
      <c r="F238" s="48"/>
      <c r="G238" s="10" t="str">
        <f t="shared" ca="1" si="23"/>
        <v/>
      </c>
      <c r="I238" s="10" t="str">
        <f t="shared" ca="1" si="20"/>
        <v/>
      </c>
      <c r="K238" s="4" t="e">
        <f t="shared" ca="1" si="3"/>
        <v>#N/A</v>
      </c>
      <c r="L238" s="4" t="e">
        <f>VLOOKUP(C238,_resources!B:D,3,0)</f>
        <v>#N/A</v>
      </c>
      <c r="M238" s="4" t="e" cm="1">
        <f t="array" aca="1" ref="M238" ca="1">IF(abbrAtEnd,"",L238&amp;"-")&amp;E238&amp;"-"&amp;INDIRECT(OFFSET(element3,MATCH($C238,resources,0)-1,0))&amp;"-"&amp;INDIRECT(OFFSET(element4,MATCH($C238,resources,0)-1,0))&amp;"-"&amp;INDIRECT(OFFSET(element5,MATCH($C238,resources,0)-1,0))&amp;IF(OFFSET(element6,MATCH($C238,resources,0)-1,0)="","","-"&amp;INDIRECT(OFFSET(element6,MATCH($C238,resources,0)-1,0)))&amp;IF(abbrAtEnd,"-"&amp;L238,"")</f>
        <v>#N/A</v>
      </c>
      <c r="N238" s="4" t="str">
        <f t="shared" si="22"/>
        <v>-000</v>
      </c>
      <c r="O238" s="4">
        <f ca="1">IF(totalElements+COUNTIF(Entities!$C$10,"*")+COUNTIF(B238:C238,"*")+COUNTIF(E238:F238,"*")=9,1,0)</f>
        <v>0</v>
      </c>
      <c r="P238" s="4">
        <f>COUNTIF($C$6:C238,C238)</f>
        <v>0</v>
      </c>
      <c r="Q238" s="4">
        <f ca="1">IF(ISNA(M238),0,COUNTIF($M$6:M238,M238))</f>
        <v>0</v>
      </c>
      <c r="R238" s="4" t="e">
        <f t="shared" ca="1" si="21"/>
        <v>#N/A</v>
      </c>
      <c r="S238" s="4">
        <f ca="1">IF(ISNA(M238),0,COUNTIF($R$6:R238,R238))</f>
        <v>0</v>
      </c>
      <c r="T238" s="4" t="e">
        <f t="shared" ca="1" si="5"/>
        <v>#N/A</v>
      </c>
    </row>
    <row r="239" spans="2:20" x14ac:dyDescent="0.3">
      <c r="B239" s="48"/>
      <c r="C239" s="48"/>
      <c r="D239" s="10" t="str">
        <f t="shared" ca="1" si="19"/>
        <v/>
      </c>
      <c r="E239" s="48"/>
      <c r="F239" s="48"/>
      <c r="G239" s="10" t="str">
        <f t="shared" ca="1" si="23"/>
        <v/>
      </c>
      <c r="I239" s="10" t="str">
        <f t="shared" ca="1" si="20"/>
        <v/>
      </c>
      <c r="K239" s="4" t="e">
        <f t="shared" ca="1" si="3"/>
        <v>#N/A</v>
      </c>
      <c r="L239" s="4" t="e">
        <f>VLOOKUP(C239,_resources!B:D,3,0)</f>
        <v>#N/A</v>
      </c>
      <c r="M239" s="4" t="e" cm="1">
        <f t="array" aca="1" ref="M239" ca="1">IF(abbrAtEnd,"",L239&amp;"-")&amp;E239&amp;"-"&amp;INDIRECT(OFFSET(element3,MATCH($C239,resources,0)-1,0))&amp;"-"&amp;INDIRECT(OFFSET(element4,MATCH($C239,resources,0)-1,0))&amp;"-"&amp;INDIRECT(OFFSET(element5,MATCH($C239,resources,0)-1,0))&amp;IF(OFFSET(element6,MATCH($C239,resources,0)-1,0)="","","-"&amp;INDIRECT(OFFSET(element6,MATCH($C239,resources,0)-1,0)))&amp;IF(abbrAtEnd,"-"&amp;L239,"")</f>
        <v>#N/A</v>
      </c>
      <c r="N239" s="4" t="str">
        <f t="shared" si="22"/>
        <v>-000</v>
      </c>
      <c r="O239" s="4">
        <f ca="1">IF(totalElements+COUNTIF(Entities!$C$10,"*")+COUNTIF(B239:C239,"*")+COUNTIF(E239:F239,"*")=9,1,0)</f>
        <v>0</v>
      </c>
      <c r="P239" s="4">
        <f>COUNTIF($C$6:C239,C239)</f>
        <v>0</v>
      </c>
      <c r="Q239" s="4">
        <f ca="1">IF(ISNA(M239),0,COUNTIF($M$6:M239,M239))</f>
        <v>0</v>
      </c>
      <c r="R239" s="4" t="e">
        <f t="shared" ca="1" si="21"/>
        <v>#N/A</v>
      </c>
      <c r="S239" s="4">
        <f ca="1">IF(ISNA(M239),0,COUNTIF($R$6:R239,R239))</f>
        <v>0</v>
      </c>
      <c r="T239" s="4" t="e">
        <f t="shared" ca="1" si="5"/>
        <v>#N/A</v>
      </c>
    </row>
    <row r="240" spans="2:20" x14ac:dyDescent="0.3">
      <c r="B240" s="48"/>
      <c r="C240" s="48"/>
      <c r="D240" s="10" t="str">
        <f t="shared" ca="1" si="19"/>
        <v/>
      </c>
      <c r="E240" s="48"/>
      <c r="F240" s="48"/>
      <c r="G240" s="10" t="str">
        <f t="shared" ca="1" si="23"/>
        <v/>
      </c>
      <c r="I240" s="10" t="str">
        <f t="shared" ca="1" si="20"/>
        <v/>
      </c>
      <c r="K240" s="4" t="e">
        <f t="shared" ca="1" si="3"/>
        <v>#N/A</v>
      </c>
      <c r="L240" s="4" t="e">
        <f>VLOOKUP(C240,_resources!B:D,3,0)</f>
        <v>#N/A</v>
      </c>
      <c r="M240" s="4" t="e" cm="1">
        <f t="array" aca="1" ref="M240" ca="1">IF(abbrAtEnd,"",L240&amp;"-")&amp;E240&amp;"-"&amp;INDIRECT(OFFSET(element3,MATCH($C240,resources,0)-1,0))&amp;"-"&amp;INDIRECT(OFFSET(element4,MATCH($C240,resources,0)-1,0))&amp;"-"&amp;INDIRECT(OFFSET(element5,MATCH($C240,resources,0)-1,0))&amp;IF(OFFSET(element6,MATCH($C240,resources,0)-1,0)="","","-"&amp;INDIRECT(OFFSET(element6,MATCH($C240,resources,0)-1,0)))&amp;IF(abbrAtEnd,"-"&amp;L240,"")</f>
        <v>#N/A</v>
      </c>
      <c r="N240" s="4" t="str">
        <f t="shared" si="22"/>
        <v>-000</v>
      </c>
      <c r="O240" s="4">
        <f ca="1">IF(totalElements+COUNTIF(Entities!$C$10,"*")+COUNTIF(B240:C240,"*")+COUNTIF(E240:F240,"*")=9,1,0)</f>
        <v>0</v>
      </c>
      <c r="P240" s="4">
        <f>COUNTIF($C$6:C240,C240)</f>
        <v>0</v>
      </c>
      <c r="Q240" s="4">
        <f ca="1">IF(ISNA(M240),0,COUNTIF($M$6:M240,M240))</f>
        <v>0</v>
      </c>
      <c r="R240" s="4" t="e">
        <f t="shared" ca="1" si="21"/>
        <v>#N/A</v>
      </c>
      <c r="S240" s="4">
        <f ca="1">IF(ISNA(M240),0,COUNTIF($R$6:R240,R240))</f>
        <v>0</v>
      </c>
      <c r="T240" s="4" t="e">
        <f t="shared" ca="1" si="5"/>
        <v>#N/A</v>
      </c>
    </row>
    <row r="241" spans="2:20" x14ac:dyDescent="0.3">
      <c r="B241" s="48"/>
      <c r="C241" s="48"/>
      <c r="D241" s="10" t="str">
        <f t="shared" ref="D241:D304" ca="1" si="24">IF(ISBLANK(C241),"",OFFSET(element2,MATCH($C241,resources,0)-1,0))</f>
        <v/>
      </c>
      <c r="E241" s="48"/>
      <c r="F241" s="48"/>
      <c r="G241" s="10" t="str">
        <f t="shared" ca="1" si="23"/>
        <v/>
      </c>
      <c r="I241" s="10" t="str">
        <f t="shared" ref="I241:I304" ca="1" si="25">IF(O241,IF(LEN(G241)&gt;T241,"Name too Long (length: "&amp;LEN(G241)&amp;", max. "&amp;T241&amp;")","None"),"")</f>
        <v/>
      </c>
      <c r="K241" s="4" t="e">
        <f t="shared" ca="1" si="3"/>
        <v>#N/A</v>
      </c>
      <c r="L241" s="4" t="e">
        <f>VLOOKUP(C241,_resources!B:D,3,0)</f>
        <v>#N/A</v>
      </c>
      <c r="M241" s="4" t="e" cm="1">
        <f t="array" aca="1" ref="M241" ca="1">IF(abbrAtEnd,"",L241&amp;"-")&amp;E241&amp;"-"&amp;INDIRECT(OFFSET(element3,MATCH($C241,resources,0)-1,0))&amp;"-"&amp;INDIRECT(OFFSET(element4,MATCH($C241,resources,0)-1,0))&amp;"-"&amp;INDIRECT(OFFSET(element5,MATCH($C241,resources,0)-1,0))&amp;IF(OFFSET(element6,MATCH($C241,resources,0)-1,0)="","","-"&amp;INDIRECT(OFFSET(element6,MATCH($C241,resources,0)-1,0)))&amp;IF(abbrAtEnd,"-"&amp;L241,"")</f>
        <v>#N/A</v>
      </c>
      <c r="N241" s="4" t="str">
        <f t="shared" si="22"/>
        <v>-000</v>
      </c>
      <c r="O241" s="4">
        <f ca="1">IF(totalElements+COUNTIF(Entities!$C$10,"*")+COUNTIF(B241:C241,"*")+COUNTIF(E241:F241,"*")=9,1,0)</f>
        <v>0</v>
      </c>
      <c r="P241" s="4">
        <f>COUNTIF($C$6:C241,C241)</f>
        <v>0</v>
      </c>
      <c r="Q241" s="4">
        <f ca="1">IF(ISNA(M241),0,COUNTIF($M$6:M241,M241))</f>
        <v>0</v>
      </c>
      <c r="R241" s="4" t="e">
        <f t="shared" ca="1" si="21"/>
        <v>#N/A</v>
      </c>
      <c r="S241" s="4">
        <f ca="1">IF(ISNA(M241),0,COUNTIF($R$6:R241,R241))</f>
        <v>0</v>
      </c>
      <c r="T241" s="4" t="e">
        <f t="shared" ca="1" si="5"/>
        <v>#N/A</v>
      </c>
    </row>
    <row r="242" spans="2:20" x14ac:dyDescent="0.3">
      <c r="B242" s="48"/>
      <c r="C242" s="48"/>
      <c r="D242" s="10" t="str">
        <f t="shared" ca="1" si="24"/>
        <v/>
      </c>
      <c r="E242" s="48"/>
      <c r="F242" s="48"/>
      <c r="G242" s="10" t="str">
        <f t="shared" ca="1" si="23"/>
        <v/>
      </c>
      <c r="I242" s="10" t="str">
        <f t="shared" ca="1" si="25"/>
        <v/>
      </c>
      <c r="K242" s="4" t="e">
        <f t="shared" ca="1" si="3"/>
        <v>#N/A</v>
      </c>
      <c r="L242" s="4" t="e">
        <f>VLOOKUP(C242,_resources!B:D,3,0)</f>
        <v>#N/A</v>
      </c>
      <c r="M242" s="4" t="e" cm="1">
        <f t="array" aca="1" ref="M242" ca="1">IF(abbrAtEnd,"",L242&amp;"-")&amp;E242&amp;"-"&amp;INDIRECT(OFFSET(element3,MATCH($C242,resources,0)-1,0))&amp;"-"&amp;INDIRECT(OFFSET(element4,MATCH($C242,resources,0)-1,0))&amp;"-"&amp;INDIRECT(OFFSET(element5,MATCH($C242,resources,0)-1,0))&amp;IF(OFFSET(element6,MATCH($C242,resources,0)-1,0)="","","-"&amp;INDIRECT(OFFSET(element6,MATCH($C242,resources,0)-1,0)))&amp;IF(abbrAtEnd,"-"&amp;L242,"")</f>
        <v>#N/A</v>
      </c>
      <c r="N242" s="4" t="str">
        <f t="shared" si="22"/>
        <v>-000</v>
      </c>
      <c r="O242" s="4">
        <f ca="1">IF(totalElements+COUNTIF(Entities!$C$10,"*")+COUNTIF(B242:C242,"*")+COUNTIF(E242:F242,"*")=9,1,0)</f>
        <v>0</v>
      </c>
      <c r="P242" s="4">
        <f>COUNTIF($C$6:C242,C242)</f>
        <v>0</v>
      </c>
      <c r="Q242" s="4">
        <f ca="1">IF(ISNA(M242),0,COUNTIF($M$6:M242,M242))</f>
        <v>0</v>
      </c>
      <c r="R242" s="4" t="e">
        <f t="shared" ca="1" si="21"/>
        <v>#N/A</v>
      </c>
      <c r="S242" s="4">
        <f ca="1">IF(ISNA(M242),0,COUNTIF($R$6:R242,R242))</f>
        <v>0</v>
      </c>
      <c r="T242" s="4" t="e">
        <f t="shared" ca="1" si="5"/>
        <v>#N/A</v>
      </c>
    </row>
    <row r="243" spans="2:20" x14ac:dyDescent="0.3">
      <c r="B243" s="48"/>
      <c r="C243" s="48"/>
      <c r="D243" s="10" t="str">
        <f t="shared" ca="1" si="24"/>
        <v/>
      </c>
      <c r="E243" s="48"/>
      <c r="F243" s="48"/>
      <c r="G243" s="10" t="str">
        <f t="shared" ca="1" si="23"/>
        <v/>
      </c>
      <c r="I243" s="10" t="str">
        <f t="shared" ca="1" si="25"/>
        <v/>
      </c>
      <c r="K243" s="4" t="e">
        <f t="shared" ca="1" si="3"/>
        <v>#N/A</v>
      </c>
      <c r="L243" s="4" t="e">
        <f>VLOOKUP(C243,_resources!B:D,3,0)</f>
        <v>#N/A</v>
      </c>
      <c r="M243" s="4" t="e" cm="1">
        <f t="array" aca="1" ref="M243" ca="1">IF(abbrAtEnd,"",L243&amp;"-")&amp;E243&amp;"-"&amp;INDIRECT(OFFSET(element3,MATCH($C243,resources,0)-1,0))&amp;"-"&amp;INDIRECT(OFFSET(element4,MATCH($C243,resources,0)-1,0))&amp;"-"&amp;INDIRECT(OFFSET(element5,MATCH($C243,resources,0)-1,0))&amp;IF(OFFSET(element6,MATCH($C243,resources,0)-1,0)="","","-"&amp;INDIRECT(OFFSET(element6,MATCH($C243,resources,0)-1,0)))&amp;IF(abbrAtEnd,"-"&amp;L243,"")</f>
        <v>#N/A</v>
      </c>
      <c r="N243" s="4" t="str">
        <f t="shared" si="22"/>
        <v>-000</v>
      </c>
      <c r="O243" s="4">
        <f ca="1">IF(totalElements+COUNTIF(Entities!$C$10,"*")+COUNTIF(B243:C243,"*")+COUNTIF(E243:F243,"*")=9,1,0)</f>
        <v>0</v>
      </c>
      <c r="P243" s="4">
        <f>COUNTIF($C$6:C243,C243)</f>
        <v>0</v>
      </c>
      <c r="Q243" s="4">
        <f ca="1">IF(ISNA(M243),0,COUNTIF($M$6:M243,M243))</f>
        <v>0</v>
      </c>
      <c r="R243" s="4" t="e">
        <f t="shared" ca="1" si="21"/>
        <v>#N/A</v>
      </c>
      <c r="S243" s="4">
        <f ca="1">IF(ISNA(M243),0,COUNTIF($R$6:R243,R243))</f>
        <v>0</v>
      </c>
      <c r="T243" s="4" t="e">
        <f t="shared" ca="1" si="5"/>
        <v>#N/A</v>
      </c>
    </row>
    <row r="244" spans="2:20" x14ac:dyDescent="0.3">
      <c r="B244" s="48"/>
      <c r="C244" s="48"/>
      <c r="D244" s="10" t="str">
        <f t="shared" ca="1" si="24"/>
        <v/>
      </c>
      <c r="E244" s="48"/>
      <c r="F244" s="48"/>
      <c r="G244" s="10" t="str">
        <f t="shared" ca="1" si="23"/>
        <v/>
      </c>
      <c r="I244" s="10" t="str">
        <f t="shared" ca="1" si="25"/>
        <v/>
      </c>
      <c r="K244" s="4" t="e">
        <f t="shared" ca="1" si="3"/>
        <v>#N/A</v>
      </c>
      <c r="L244" s="4" t="e">
        <f>VLOOKUP(C244,_resources!B:D,3,0)</f>
        <v>#N/A</v>
      </c>
      <c r="M244" s="4" t="e" cm="1">
        <f t="array" aca="1" ref="M244" ca="1">IF(abbrAtEnd,"",L244&amp;"-")&amp;E244&amp;"-"&amp;INDIRECT(OFFSET(element3,MATCH($C244,resources,0)-1,0))&amp;"-"&amp;INDIRECT(OFFSET(element4,MATCH($C244,resources,0)-1,0))&amp;"-"&amp;INDIRECT(OFFSET(element5,MATCH($C244,resources,0)-1,0))&amp;IF(OFFSET(element6,MATCH($C244,resources,0)-1,0)="","","-"&amp;INDIRECT(OFFSET(element6,MATCH($C244,resources,0)-1,0)))&amp;IF(abbrAtEnd,"-"&amp;L244,"")</f>
        <v>#N/A</v>
      </c>
      <c r="N244" s="4" t="str">
        <f t="shared" si="22"/>
        <v>-000</v>
      </c>
      <c r="O244" s="4">
        <f ca="1">IF(totalElements+COUNTIF(Entities!$C$10,"*")+COUNTIF(B244:C244,"*")+COUNTIF(E244:F244,"*")=9,1,0)</f>
        <v>0</v>
      </c>
      <c r="P244" s="4">
        <f>COUNTIF($C$6:C244,C244)</f>
        <v>0</v>
      </c>
      <c r="Q244" s="4">
        <f ca="1">IF(ISNA(M244),0,COUNTIF($M$6:M244,M244))</f>
        <v>0</v>
      </c>
      <c r="R244" s="4" t="e">
        <f t="shared" ca="1" si="21"/>
        <v>#N/A</v>
      </c>
      <c r="S244" s="4">
        <f ca="1">IF(ISNA(M244),0,COUNTIF($R$6:R244,R244))</f>
        <v>0</v>
      </c>
      <c r="T244" s="4" t="e">
        <f t="shared" ca="1" si="5"/>
        <v>#N/A</v>
      </c>
    </row>
    <row r="245" spans="2:20" x14ac:dyDescent="0.3">
      <c r="B245" s="48"/>
      <c r="C245" s="48"/>
      <c r="D245" s="10" t="str">
        <f t="shared" ca="1" si="24"/>
        <v/>
      </c>
      <c r="E245" s="48"/>
      <c r="F245" s="48"/>
      <c r="G245" s="10" t="str">
        <f t="shared" ca="1" si="23"/>
        <v/>
      </c>
      <c r="I245" s="10" t="str">
        <f t="shared" ca="1" si="25"/>
        <v/>
      </c>
      <c r="K245" s="4" t="e">
        <f t="shared" ca="1" si="3"/>
        <v>#N/A</v>
      </c>
      <c r="L245" s="4" t="e">
        <f>VLOOKUP(C245,_resources!B:D,3,0)</f>
        <v>#N/A</v>
      </c>
      <c r="M245" s="4" t="e" cm="1">
        <f t="array" aca="1" ref="M245" ca="1">IF(abbrAtEnd,"",L245&amp;"-")&amp;E245&amp;"-"&amp;INDIRECT(OFFSET(element3,MATCH($C245,resources,0)-1,0))&amp;"-"&amp;INDIRECT(OFFSET(element4,MATCH($C245,resources,0)-1,0))&amp;"-"&amp;INDIRECT(OFFSET(element5,MATCH($C245,resources,0)-1,0))&amp;IF(OFFSET(element6,MATCH($C245,resources,0)-1,0)="","","-"&amp;INDIRECT(OFFSET(element6,MATCH($C245,resources,0)-1,0)))&amp;IF(abbrAtEnd,"-"&amp;L245,"")</f>
        <v>#N/A</v>
      </c>
      <c r="N245" s="4" t="str">
        <f t="shared" si="22"/>
        <v>-000</v>
      </c>
      <c r="O245" s="4">
        <f ca="1">IF(totalElements+COUNTIF(Entities!$C$10,"*")+COUNTIF(B245:C245,"*")+COUNTIF(E245:F245,"*")=9,1,0)</f>
        <v>0</v>
      </c>
      <c r="P245" s="4">
        <f>COUNTIF($C$6:C245,C245)</f>
        <v>0</v>
      </c>
      <c r="Q245" s="4">
        <f ca="1">IF(ISNA(M245),0,COUNTIF($M$6:M245,M245))</f>
        <v>0</v>
      </c>
      <c r="R245" s="4" t="e">
        <f t="shared" ca="1" si="21"/>
        <v>#N/A</v>
      </c>
      <c r="S245" s="4">
        <f ca="1">IF(ISNA(M245),0,COUNTIF($R$6:R245,R245))</f>
        <v>0</v>
      </c>
      <c r="T245" s="4" t="e">
        <f t="shared" ca="1" si="5"/>
        <v>#N/A</v>
      </c>
    </row>
    <row r="246" spans="2:20" x14ac:dyDescent="0.3">
      <c r="B246" s="48"/>
      <c r="C246" s="48"/>
      <c r="D246" s="10" t="str">
        <f t="shared" ca="1" si="24"/>
        <v/>
      </c>
      <c r="E246" s="48"/>
      <c r="F246" s="48"/>
      <c r="G246" s="10" t="str">
        <f t="shared" ca="1" si="23"/>
        <v/>
      </c>
      <c r="I246" s="10" t="str">
        <f t="shared" ca="1" si="25"/>
        <v/>
      </c>
      <c r="K246" s="4" t="e">
        <f t="shared" ca="1" si="3"/>
        <v>#N/A</v>
      </c>
      <c r="L246" s="4" t="e">
        <f>VLOOKUP(C246,_resources!B:D,3,0)</f>
        <v>#N/A</v>
      </c>
      <c r="M246" s="4" t="e" cm="1">
        <f t="array" aca="1" ref="M246" ca="1">IF(abbrAtEnd,"",L246&amp;"-")&amp;E246&amp;"-"&amp;INDIRECT(OFFSET(element3,MATCH($C246,resources,0)-1,0))&amp;"-"&amp;INDIRECT(OFFSET(element4,MATCH($C246,resources,0)-1,0))&amp;"-"&amp;INDIRECT(OFFSET(element5,MATCH($C246,resources,0)-1,0))&amp;IF(OFFSET(element6,MATCH($C246,resources,0)-1,0)="","","-"&amp;INDIRECT(OFFSET(element6,MATCH($C246,resources,0)-1,0)))&amp;IF(abbrAtEnd,"-"&amp;L246,"")</f>
        <v>#N/A</v>
      </c>
      <c r="N246" s="4" t="str">
        <f t="shared" si="22"/>
        <v>-000</v>
      </c>
      <c r="O246" s="4">
        <f ca="1">IF(totalElements+COUNTIF(Entities!$C$10,"*")+COUNTIF(B246:C246,"*")+COUNTIF(E246:F246,"*")=9,1,0)</f>
        <v>0</v>
      </c>
      <c r="P246" s="4">
        <f>COUNTIF($C$6:C246,C246)</f>
        <v>0</v>
      </c>
      <c r="Q246" s="4">
        <f ca="1">IF(ISNA(M246),0,COUNTIF($M$6:M246,M246))</f>
        <v>0</v>
      </c>
      <c r="R246" s="4" t="e">
        <f t="shared" ca="1" si="21"/>
        <v>#N/A</v>
      </c>
      <c r="S246" s="4">
        <f ca="1">IF(ISNA(M246),0,COUNTIF($R$6:R246,R246))</f>
        <v>0</v>
      </c>
      <c r="T246" s="4" t="e">
        <f t="shared" ca="1" si="5"/>
        <v>#N/A</v>
      </c>
    </row>
    <row r="247" spans="2:20" x14ac:dyDescent="0.3">
      <c r="B247" s="48"/>
      <c r="C247" s="48"/>
      <c r="D247" s="10" t="str">
        <f t="shared" ca="1" si="24"/>
        <v/>
      </c>
      <c r="E247" s="48"/>
      <c r="F247" s="48"/>
      <c r="G247" s="10" t="str">
        <f t="shared" ca="1" si="23"/>
        <v/>
      </c>
      <c r="I247" s="10" t="str">
        <f t="shared" ca="1" si="25"/>
        <v/>
      </c>
      <c r="K247" s="4" t="e">
        <f t="shared" ca="1" si="3"/>
        <v>#N/A</v>
      </c>
      <c r="L247" s="4" t="e">
        <f>VLOOKUP(C247,_resources!B:D,3,0)</f>
        <v>#N/A</v>
      </c>
      <c r="M247" s="4" t="e" cm="1">
        <f t="array" aca="1" ref="M247" ca="1">IF(abbrAtEnd,"",L247&amp;"-")&amp;E247&amp;"-"&amp;INDIRECT(OFFSET(element3,MATCH($C247,resources,0)-1,0))&amp;"-"&amp;INDIRECT(OFFSET(element4,MATCH($C247,resources,0)-1,0))&amp;"-"&amp;INDIRECT(OFFSET(element5,MATCH($C247,resources,0)-1,0))&amp;IF(OFFSET(element6,MATCH($C247,resources,0)-1,0)="","","-"&amp;INDIRECT(OFFSET(element6,MATCH($C247,resources,0)-1,0)))&amp;IF(abbrAtEnd,"-"&amp;L247,"")</f>
        <v>#N/A</v>
      </c>
      <c r="N247" s="4" t="str">
        <f t="shared" si="22"/>
        <v>-000</v>
      </c>
      <c r="O247" s="4">
        <f ca="1">IF(totalElements+COUNTIF(Entities!$C$10,"*")+COUNTIF(B247:C247,"*")+COUNTIF(E247:F247,"*")=9,1,0)</f>
        <v>0</v>
      </c>
      <c r="P247" s="4">
        <f>COUNTIF($C$6:C247,C247)</f>
        <v>0</v>
      </c>
      <c r="Q247" s="4">
        <f ca="1">IF(ISNA(M247),0,COUNTIF($M$6:M247,M247))</f>
        <v>0</v>
      </c>
      <c r="R247" s="4" t="e">
        <f t="shared" ca="1" si="21"/>
        <v>#N/A</v>
      </c>
      <c r="S247" s="4">
        <f ca="1">IF(ISNA(M247),0,COUNTIF($R$6:R247,R247))</f>
        <v>0</v>
      </c>
      <c r="T247" s="4" t="e">
        <f t="shared" ca="1" si="5"/>
        <v>#N/A</v>
      </c>
    </row>
    <row r="248" spans="2:20" x14ac:dyDescent="0.3">
      <c r="B248" s="48"/>
      <c r="C248" s="48"/>
      <c r="D248" s="10" t="str">
        <f t="shared" ca="1" si="24"/>
        <v/>
      </c>
      <c r="E248" s="48"/>
      <c r="F248" s="48"/>
      <c r="G248" s="10" t="str">
        <f t="shared" ca="1" si="23"/>
        <v/>
      </c>
      <c r="I248" s="10" t="str">
        <f t="shared" ca="1" si="25"/>
        <v/>
      </c>
      <c r="K248" s="4" t="e">
        <f t="shared" ca="1" si="3"/>
        <v>#N/A</v>
      </c>
      <c r="L248" s="4" t="e">
        <f>VLOOKUP(C248,_resources!B:D,3,0)</f>
        <v>#N/A</v>
      </c>
      <c r="M248" s="4" t="e" cm="1">
        <f t="array" aca="1" ref="M248" ca="1">IF(abbrAtEnd,"",L248&amp;"-")&amp;E248&amp;"-"&amp;INDIRECT(OFFSET(element3,MATCH($C248,resources,0)-1,0))&amp;"-"&amp;INDIRECT(OFFSET(element4,MATCH($C248,resources,0)-1,0))&amp;"-"&amp;INDIRECT(OFFSET(element5,MATCH($C248,resources,0)-1,0))&amp;IF(OFFSET(element6,MATCH($C248,resources,0)-1,0)="","","-"&amp;INDIRECT(OFFSET(element6,MATCH($C248,resources,0)-1,0)))&amp;IF(abbrAtEnd,"-"&amp;L248,"")</f>
        <v>#N/A</v>
      </c>
      <c r="N248" s="4" t="str">
        <f t="shared" si="22"/>
        <v>-000</v>
      </c>
      <c r="O248" s="4">
        <f ca="1">IF(totalElements+COUNTIF(Entities!$C$10,"*")+COUNTIF(B248:C248,"*")+COUNTIF(E248:F248,"*")=9,1,0)</f>
        <v>0</v>
      </c>
      <c r="P248" s="4">
        <f>COUNTIF($C$6:C248,C248)</f>
        <v>0</v>
      </c>
      <c r="Q248" s="4">
        <f ca="1">IF(ISNA(M248),0,COUNTIF($M$6:M248,M248))</f>
        <v>0</v>
      </c>
      <c r="R248" s="4" t="e">
        <f t="shared" ca="1" si="21"/>
        <v>#N/A</v>
      </c>
      <c r="S248" s="4">
        <f ca="1">IF(ISNA(M248),0,COUNTIF($R$6:R248,R248))</f>
        <v>0</v>
      </c>
      <c r="T248" s="4" t="e">
        <f t="shared" ca="1" si="5"/>
        <v>#N/A</v>
      </c>
    </row>
    <row r="249" spans="2:20" x14ac:dyDescent="0.3">
      <c r="B249" s="48"/>
      <c r="C249" s="48"/>
      <c r="D249" s="10" t="str">
        <f t="shared" ca="1" si="24"/>
        <v/>
      </c>
      <c r="E249" s="48"/>
      <c r="F249" s="48"/>
      <c r="G249" s="10" t="str">
        <f t="shared" ca="1" si="23"/>
        <v/>
      </c>
      <c r="I249" s="10" t="str">
        <f t="shared" ca="1" si="25"/>
        <v/>
      </c>
      <c r="K249" s="4" t="e">
        <f t="shared" ca="1" si="3"/>
        <v>#N/A</v>
      </c>
      <c r="L249" s="4" t="e">
        <f>VLOOKUP(C249,_resources!B:D,3,0)</f>
        <v>#N/A</v>
      </c>
      <c r="M249" s="4" t="e" cm="1">
        <f t="array" aca="1" ref="M249" ca="1">IF(abbrAtEnd,"",L249&amp;"-")&amp;E249&amp;"-"&amp;INDIRECT(OFFSET(element3,MATCH($C249,resources,0)-1,0))&amp;"-"&amp;INDIRECT(OFFSET(element4,MATCH($C249,resources,0)-1,0))&amp;"-"&amp;INDIRECT(OFFSET(element5,MATCH($C249,resources,0)-1,0))&amp;IF(OFFSET(element6,MATCH($C249,resources,0)-1,0)="","","-"&amp;INDIRECT(OFFSET(element6,MATCH($C249,resources,0)-1,0)))&amp;IF(abbrAtEnd,"-"&amp;L249,"")</f>
        <v>#N/A</v>
      </c>
      <c r="N249" s="4" t="str">
        <f t="shared" si="22"/>
        <v>-000</v>
      </c>
      <c r="O249" s="4">
        <f ca="1">IF(totalElements+COUNTIF(Entities!$C$10,"*")+COUNTIF(B249:C249,"*")+COUNTIF(E249:F249,"*")=9,1,0)</f>
        <v>0</v>
      </c>
      <c r="P249" s="4">
        <f>COUNTIF($C$6:C249,C249)</f>
        <v>0</v>
      </c>
      <c r="Q249" s="4">
        <f ca="1">IF(ISNA(M249),0,COUNTIF($M$6:M249,M249))</f>
        <v>0</v>
      </c>
      <c r="R249" s="4" t="e">
        <f t="shared" ca="1" si="21"/>
        <v>#N/A</v>
      </c>
      <c r="S249" s="4">
        <f ca="1">IF(ISNA(M249),0,COUNTIF($R$6:R249,R249))</f>
        <v>0</v>
      </c>
      <c r="T249" s="4" t="e">
        <f t="shared" ca="1" si="5"/>
        <v>#N/A</v>
      </c>
    </row>
    <row r="250" spans="2:20" x14ac:dyDescent="0.3">
      <c r="B250" s="48"/>
      <c r="C250" s="48"/>
      <c r="D250" s="10" t="str">
        <f t="shared" ca="1" si="24"/>
        <v/>
      </c>
      <c r="E250" s="48"/>
      <c r="F250" s="48"/>
      <c r="G250" s="10" t="str">
        <f t="shared" ca="1" si="23"/>
        <v/>
      </c>
      <c r="I250" s="10" t="str">
        <f t="shared" ca="1" si="25"/>
        <v/>
      </c>
      <c r="K250" s="4" t="e">
        <f t="shared" ca="1" si="3"/>
        <v>#N/A</v>
      </c>
      <c r="L250" s="4" t="e">
        <f>VLOOKUP(C250,_resources!B:D,3,0)</f>
        <v>#N/A</v>
      </c>
      <c r="M250" s="4" t="e" cm="1">
        <f t="array" aca="1" ref="M250" ca="1">IF(abbrAtEnd,"",L250&amp;"-")&amp;E250&amp;"-"&amp;INDIRECT(OFFSET(element3,MATCH($C250,resources,0)-1,0))&amp;"-"&amp;INDIRECT(OFFSET(element4,MATCH($C250,resources,0)-1,0))&amp;"-"&amp;INDIRECT(OFFSET(element5,MATCH($C250,resources,0)-1,0))&amp;IF(OFFSET(element6,MATCH($C250,resources,0)-1,0)="","","-"&amp;INDIRECT(OFFSET(element6,MATCH($C250,resources,0)-1,0)))&amp;IF(abbrAtEnd,"-"&amp;L250,"")</f>
        <v>#N/A</v>
      </c>
      <c r="N250" s="4" t="str">
        <f t="shared" si="22"/>
        <v>-000</v>
      </c>
      <c r="O250" s="4">
        <f ca="1">IF(totalElements+COUNTIF(Entities!$C$10,"*")+COUNTIF(B250:C250,"*")+COUNTIF(E250:F250,"*")=9,1,0)</f>
        <v>0</v>
      </c>
      <c r="P250" s="4">
        <f>COUNTIF($C$6:C250,C250)</f>
        <v>0</v>
      </c>
      <c r="Q250" s="4">
        <f ca="1">IF(ISNA(M250),0,COUNTIF($M$6:M250,M250))</f>
        <v>0</v>
      </c>
      <c r="R250" s="4" t="e">
        <f t="shared" ca="1" si="21"/>
        <v>#N/A</v>
      </c>
      <c r="S250" s="4">
        <f ca="1">IF(ISNA(M250),0,COUNTIF($R$6:R250,R250))</f>
        <v>0</v>
      </c>
      <c r="T250" s="4" t="e">
        <f t="shared" ca="1" si="5"/>
        <v>#N/A</v>
      </c>
    </row>
    <row r="251" spans="2:20" x14ac:dyDescent="0.3">
      <c r="B251" s="48"/>
      <c r="C251" s="48"/>
      <c r="D251" s="10" t="str">
        <f t="shared" ca="1" si="24"/>
        <v/>
      </c>
      <c r="E251" s="48"/>
      <c r="F251" s="48"/>
      <c r="G251" s="10" t="str">
        <f t="shared" ca="1" si="23"/>
        <v/>
      </c>
      <c r="I251" s="10" t="str">
        <f t="shared" ca="1" si="25"/>
        <v/>
      </c>
      <c r="K251" s="4" t="e">
        <f t="shared" ca="1" si="3"/>
        <v>#N/A</v>
      </c>
      <c r="L251" s="4" t="e">
        <f>VLOOKUP(C251,_resources!B:D,3,0)</f>
        <v>#N/A</v>
      </c>
      <c r="M251" s="4" t="e" cm="1">
        <f t="array" aca="1" ref="M251" ca="1">IF(abbrAtEnd,"",L251&amp;"-")&amp;E251&amp;"-"&amp;INDIRECT(OFFSET(element3,MATCH($C251,resources,0)-1,0))&amp;"-"&amp;INDIRECT(OFFSET(element4,MATCH($C251,resources,0)-1,0))&amp;"-"&amp;INDIRECT(OFFSET(element5,MATCH($C251,resources,0)-1,0))&amp;IF(OFFSET(element6,MATCH($C251,resources,0)-1,0)="","","-"&amp;INDIRECT(OFFSET(element6,MATCH($C251,resources,0)-1,0)))&amp;IF(abbrAtEnd,"-"&amp;L251,"")</f>
        <v>#N/A</v>
      </c>
      <c r="N251" s="4" t="str">
        <f t="shared" si="22"/>
        <v>-000</v>
      </c>
      <c r="O251" s="4">
        <f ca="1">IF(totalElements+COUNTIF(Entities!$C$10,"*")+COUNTIF(B251:C251,"*")+COUNTIF(E251:F251,"*")=9,1,0)</f>
        <v>0</v>
      </c>
      <c r="P251" s="4">
        <f>COUNTIF($C$6:C251,C251)</f>
        <v>0</v>
      </c>
      <c r="Q251" s="4">
        <f ca="1">IF(ISNA(M251),0,COUNTIF($M$6:M251,M251))</f>
        <v>0</v>
      </c>
      <c r="R251" s="4" t="e">
        <f t="shared" ca="1" si="21"/>
        <v>#N/A</v>
      </c>
      <c r="S251" s="4">
        <f ca="1">IF(ISNA(M251),0,COUNTIF($R$6:R251,R251))</f>
        <v>0</v>
      </c>
      <c r="T251" s="4" t="e">
        <f t="shared" ca="1" si="5"/>
        <v>#N/A</v>
      </c>
    </row>
    <row r="252" spans="2:20" x14ac:dyDescent="0.3">
      <c r="B252" s="48"/>
      <c r="C252" s="48"/>
      <c r="D252" s="10" t="str">
        <f t="shared" ca="1" si="24"/>
        <v/>
      </c>
      <c r="E252" s="48"/>
      <c r="F252" s="48"/>
      <c r="G252" s="10" t="str">
        <f t="shared" ca="1" si="23"/>
        <v/>
      </c>
      <c r="I252" s="10" t="str">
        <f t="shared" ca="1" si="25"/>
        <v/>
      </c>
      <c r="K252" s="4" t="e">
        <f t="shared" ca="1" si="3"/>
        <v>#N/A</v>
      </c>
      <c r="L252" s="4" t="e">
        <f>VLOOKUP(C252,_resources!B:D,3,0)</f>
        <v>#N/A</v>
      </c>
      <c r="M252" s="4" t="e" cm="1">
        <f t="array" aca="1" ref="M252" ca="1">IF(abbrAtEnd,"",L252&amp;"-")&amp;E252&amp;"-"&amp;INDIRECT(OFFSET(element3,MATCH($C252,resources,0)-1,0))&amp;"-"&amp;INDIRECT(OFFSET(element4,MATCH($C252,resources,0)-1,0))&amp;"-"&amp;INDIRECT(OFFSET(element5,MATCH($C252,resources,0)-1,0))&amp;IF(OFFSET(element6,MATCH($C252,resources,0)-1,0)="","","-"&amp;INDIRECT(OFFSET(element6,MATCH($C252,resources,0)-1,0)))&amp;IF(abbrAtEnd,"-"&amp;L252,"")</f>
        <v>#N/A</v>
      </c>
      <c r="N252" s="4" t="str">
        <f t="shared" si="22"/>
        <v>-000</v>
      </c>
      <c r="O252" s="4">
        <f ca="1">IF(totalElements+COUNTIF(Entities!$C$10,"*")+COUNTIF(B252:C252,"*")+COUNTIF(E252:F252,"*")=9,1,0)</f>
        <v>0</v>
      </c>
      <c r="P252" s="4">
        <f>COUNTIF($C$6:C252,C252)</f>
        <v>0</v>
      </c>
      <c r="Q252" s="4">
        <f ca="1">IF(ISNA(M252),0,COUNTIF($M$6:M252,M252))</f>
        <v>0</v>
      </c>
      <c r="R252" s="4" t="e">
        <f t="shared" ca="1" si="21"/>
        <v>#N/A</v>
      </c>
      <c r="S252" s="4">
        <f ca="1">IF(ISNA(M252),0,COUNTIF($R$6:R252,R252))</f>
        <v>0</v>
      </c>
      <c r="T252" s="4" t="e">
        <f t="shared" ca="1" si="5"/>
        <v>#N/A</v>
      </c>
    </row>
    <row r="253" spans="2:20" x14ac:dyDescent="0.3">
      <c r="B253" s="48"/>
      <c r="C253" s="48"/>
      <c r="D253" s="10" t="str">
        <f t="shared" ca="1" si="24"/>
        <v/>
      </c>
      <c r="E253" s="48"/>
      <c r="F253" s="48"/>
      <c r="G253" s="10" t="str">
        <f t="shared" ca="1" si="23"/>
        <v/>
      </c>
      <c r="I253" s="10" t="str">
        <f t="shared" ca="1" si="25"/>
        <v/>
      </c>
      <c r="K253" s="4" t="e">
        <f t="shared" ca="1" si="3"/>
        <v>#N/A</v>
      </c>
      <c r="L253" s="4" t="e">
        <f>VLOOKUP(C253,_resources!B:D,3,0)</f>
        <v>#N/A</v>
      </c>
      <c r="M253" s="4" t="e" cm="1">
        <f t="array" aca="1" ref="M253" ca="1">IF(abbrAtEnd,"",L253&amp;"-")&amp;E253&amp;"-"&amp;INDIRECT(OFFSET(element3,MATCH($C253,resources,0)-1,0))&amp;"-"&amp;INDIRECT(OFFSET(element4,MATCH($C253,resources,0)-1,0))&amp;"-"&amp;INDIRECT(OFFSET(element5,MATCH($C253,resources,0)-1,0))&amp;IF(OFFSET(element6,MATCH($C253,resources,0)-1,0)="","","-"&amp;INDIRECT(OFFSET(element6,MATCH($C253,resources,0)-1,0)))&amp;IF(abbrAtEnd,"-"&amp;L253,"")</f>
        <v>#N/A</v>
      </c>
      <c r="N253" s="4" t="str">
        <f t="shared" si="22"/>
        <v>-000</v>
      </c>
      <c r="O253" s="4">
        <f ca="1">IF(totalElements+COUNTIF(Entities!$C$10,"*")+COUNTIF(B253:C253,"*")+COUNTIF(E253:F253,"*")=9,1,0)</f>
        <v>0</v>
      </c>
      <c r="P253" s="4">
        <f>COUNTIF($C$6:C253,C253)</f>
        <v>0</v>
      </c>
      <c r="Q253" s="4">
        <f ca="1">IF(ISNA(M253),0,COUNTIF($M$6:M253,M253))</f>
        <v>0</v>
      </c>
      <c r="R253" s="4" t="e">
        <f t="shared" ca="1" si="21"/>
        <v>#N/A</v>
      </c>
      <c r="S253" s="4">
        <f ca="1">IF(ISNA(M253),0,COUNTIF($R$6:R253,R253))</f>
        <v>0</v>
      </c>
      <c r="T253" s="4" t="e">
        <f t="shared" ca="1" si="5"/>
        <v>#N/A</v>
      </c>
    </row>
    <row r="254" spans="2:20" x14ac:dyDescent="0.3">
      <c r="B254" s="48"/>
      <c r="C254" s="48"/>
      <c r="D254" s="10" t="str">
        <f t="shared" ca="1" si="24"/>
        <v/>
      </c>
      <c r="E254" s="48"/>
      <c r="F254" s="48"/>
      <c r="G254" s="10" t="str">
        <f t="shared" ca="1" si="23"/>
        <v/>
      </c>
      <c r="I254" s="10" t="str">
        <f t="shared" ca="1" si="25"/>
        <v/>
      </c>
      <c r="K254" s="4" t="e">
        <f t="shared" ca="1" si="3"/>
        <v>#N/A</v>
      </c>
      <c r="L254" s="4" t="e">
        <f>VLOOKUP(C254,_resources!B:D,3,0)</f>
        <v>#N/A</v>
      </c>
      <c r="M254" s="4" t="e" cm="1">
        <f t="array" aca="1" ref="M254" ca="1">IF(abbrAtEnd,"",L254&amp;"-")&amp;E254&amp;"-"&amp;INDIRECT(OFFSET(element3,MATCH($C254,resources,0)-1,0))&amp;"-"&amp;INDIRECT(OFFSET(element4,MATCH($C254,resources,0)-1,0))&amp;"-"&amp;INDIRECT(OFFSET(element5,MATCH($C254,resources,0)-1,0))&amp;IF(OFFSET(element6,MATCH($C254,resources,0)-1,0)="","","-"&amp;INDIRECT(OFFSET(element6,MATCH($C254,resources,0)-1,0)))&amp;IF(abbrAtEnd,"-"&amp;L254,"")</f>
        <v>#N/A</v>
      </c>
      <c r="N254" s="4" t="str">
        <f t="shared" si="22"/>
        <v>-000</v>
      </c>
      <c r="O254" s="4">
        <f ca="1">IF(totalElements+COUNTIF(Entities!$C$10,"*")+COUNTIF(B254:C254,"*")+COUNTIF(E254:F254,"*")=9,1,0)</f>
        <v>0</v>
      </c>
      <c r="P254" s="4">
        <f>COUNTIF($C$6:C254,C254)</f>
        <v>0</v>
      </c>
      <c r="Q254" s="4">
        <f ca="1">IF(ISNA(M254),0,COUNTIF($M$6:M254,M254))</f>
        <v>0</v>
      </c>
      <c r="R254" s="4" t="e">
        <f t="shared" ca="1" si="21"/>
        <v>#N/A</v>
      </c>
      <c r="S254" s="4">
        <f ca="1">IF(ISNA(M254),0,COUNTIF($R$6:R254,R254))</f>
        <v>0</v>
      </c>
      <c r="T254" s="4" t="e">
        <f t="shared" ca="1" si="5"/>
        <v>#N/A</v>
      </c>
    </row>
    <row r="255" spans="2:20" x14ac:dyDescent="0.3">
      <c r="B255" s="48"/>
      <c r="C255" s="48"/>
      <c r="D255" s="10" t="str">
        <f t="shared" ca="1" si="24"/>
        <v/>
      </c>
      <c r="E255" s="48"/>
      <c r="F255" s="48"/>
      <c r="G255" s="10" t="str">
        <f t="shared" ca="1" si="23"/>
        <v/>
      </c>
      <c r="I255" s="10" t="str">
        <f t="shared" ca="1" si="25"/>
        <v/>
      </c>
      <c r="K255" s="4" t="e">
        <f t="shared" ca="1" si="3"/>
        <v>#N/A</v>
      </c>
      <c r="L255" s="4" t="e">
        <f>VLOOKUP(C255,_resources!B:D,3,0)</f>
        <v>#N/A</v>
      </c>
      <c r="M255" s="4" t="e" cm="1">
        <f t="array" aca="1" ref="M255" ca="1">IF(abbrAtEnd,"",L255&amp;"-")&amp;E255&amp;"-"&amp;INDIRECT(OFFSET(element3,MATCH($C255,resources,0)-1,0))&amp;"-"&amp;INDIRECT(OFFSET(element4,MATCH($C255,resources,0)-1,0))&amp;"-"&amp;INDIRECT(OFFSET(element5,MATCH($C255,resources,0)-1,0))&amp;IF(OFFSET(element6,MATCH($C255,resources,0)-1,0)="","","-"&amp;INDIRECT(OFFSET(element6,MATCH($C255,resources,0)-1,0)))&amp;IF(abbrAtEnd,"-"&amp;L255,"")</f>
        <v>#N/A</v>
      </c>
      <c r="N255" s="4" t="str">
        <f t="shared" si="22"/>
        <v>-000</v>
      </c>
      <c r="O255" s="4">
        <f ca="1">IF(totalElements+COUNTIF(Entities!$C$10,"*")+COUNTIF(B255:C255,"*")+COUNTIF(E255:F255,"*")=9,1,0)</f>
        <v>0</v>
      </c>
      <c r="P255" s="4">
        <f>COUNTIF($C$6:C255,C255)</f>
        <v>0</v>
      </c>
      <c r="Q255" s="4">
        <f ca="1">IF(ISNA(M255),0,COUNTIF($M$6:M255,M255))</f>
        <v>0</v>
      </c>
      <c r="R255" s="4" t="e">
        <f t="shared" ca="1" si="21"/>
        <v>#N/A</v>
      </c>
      <c r="S255" s="4">
        <f ca="1">IF(ISNA(M255),0,COUNTIF($R$6:R255,R255))</f>
        <v>0</v>
      </c>
      <c r="T255" s="4" t="e">
        <f t="shared" ca="1" si="5"/>
        <v>#N/A</v>
      </c>
    </row>
    <row r="256" spans="2:20" x14ac:dyDescent="0.3">
      <c r="B256" s="48"/>
      <c r="C256" s="48"/>
      <c r="D256" s="10" t="str">
        <f t="shared" ca="1" si="24"/>
        <v/>
      </c>
      <c r="E256" s="48"/>
      <c r="F256" s="48"/>
      <c r="G256" s="10" t="str">
        <f t="shared" ca="1" si="23"/>
        <v/>
      </c>
      <c r="I256" s="10" t="str">
        <f t="shared" ca="1" si="25"/>
        <v/>
      </c>
      <c r="K256" s="4" t="e">
        <f t="shared" ca="1" si="3"/>
        <v>#N/A</v>
      </c>
      <c r="L256" s="4" t="e">
        <f>VLOOKUP(C256,_resources!B:D,3,0)</f>
        <v>#N/A</v>
      </c>
      <c r="M256" s="4" t="e" cm="1">
        <f t="array" aca="1" ref="M256" ca="1">IF(abbrAtEnd,"",L256&amp;"-")&amp;E256&amp;"-"&amp;INDIRECT(OFFSET(element3,MATCH($C256,resources,0)-1,0))&amp;"-"&amp;INDIRECT(OFFSET(element4,MATCH($C256,resources,0)-1,0))&amp;"-"&amp;INDIRECT(OFFSET(element5,MATCH($C256,resources,0)-1,0))&amp;IF(OFFSET(element6,MATCH($C256,resources,0)-1,0)="","","-"&amp;INDIRECT(OFFSET(element6,MATCH($C256,resources,0)-1,0)))&amp;IF(abbrAtEnd,"-"&amp;L256,"")</f>
        <v>#N/A</v>
      </c>
      <c r="N256" s="4" t="str">
        <f t="shared" si="22"/>
        <v>-000</v>
      </c>
      <c r="O256" s="4">
        <f ca="1">IF(totalElements+COUNTIF(Entities!$C$10,"*")+COUNTIF(B256:C256,"*")+COUNTIF(E256:F256,"*")=9,1,0)</f>
        <v>0</v>
      </c>
      <c r="P256" s="4">
        <f>COUNTIF($C$6:C256,C256)</f>
        <v>0</v>
      </c>
      <c r="Q256" s="4">
        <f ca="1">IF(ISNA(M256),0,COUNTIF($M$6:M256,M256))</f>
        <v>0</v>
      </c>
      <c r="R256" s="4" t="e">
        <f t="shared" ca="1" si="21"/>
        <v>#N/A</v>
      </c>
      <c r="S256" s="4">
        <f ca="1">IF(ISNA(M256),0,COUNTIF($R$6:R256,R256))</f>
        <v>0</v>
      </c>
      <c r="T256" s="4" t="e">
        <f t="shared" ca="1" si="5"/>
        <v>#N/A</v>
      </c>
    </row>
    <row r="257" spans="2:20" x14ac:dyDescent="0.3">
      <c r="B257" s="48"/>
      <c r="C257" s="48"/>
      <c r="D257" s="10" t="str">
        <f t="shared" ca="1" si="24"/>
        <v/>
      </c>
      <c r="E257" s="48"/>
      <c r="F257" s="48"/>
      <c r="G257" s="10" t="str">
        <f t="shared" ca="1" si="23"/>
        <v/>
      </c>
      <c r="I257" s="10" t="str">
        <f t="shared" ca="1" si="25"/>
        <v/>
      </c>
      <c r="K257" s="4" t="e">
        <f t="shared" ca="1" si="3"/>
        <v>#N/A</v>
      </c>
      <c r="L257" s="4" t="e">
        <f>VLOOKUP(C257,_resources!B:D,3,0)</f>
        <v>#N/A</v>
      </c>
      <c r="M257" s="4" t="e" cm="1">
        <f t="array" aca="1" ref="M257" ca="1">IF(abbrAtEnd,"",L257&amp;"-")&amp;E257&amp;"-"&amp;INDIRECT(OFFSET(element3,MATCH($C257,resources,0)-1,0))&amp;"-"&amp;INDIRECT(OFFSET(element4,MATCH($C257,resources,0)-1,0))&amp;"-"&amp;INDIRECT(OFFSET(element5,MATCH($C257,resources,0)-1,0))&amp;IF(OFFSET(element6,MATCH($C257,resources,0)-1,0)="","","-"&amp;INDIRECT(OFFSET(element6,MATCH($C257,resources,0)-1,0)))&amp;IF(abbrAtEnd,"-"&amp;L257,"")</f>
        <v>#N/A</v>
      </c>
      <c r="N257" s="4" t="str">
        <f t="shared" si="22"/>
        <v>-000</v>
      </c>
      <c r="O257" s="4">
        <f ca="1">IF(totalElements+COUNTIF(Entities!$C$10,"*")+COUNTIF(B257:C257,"*")+COUNTIF(E257:F257,"*")=9,1,0)</f>
        <v>0</v>
      </c>
      <c r="P257" s="4">
        <f>COUNTIF($C$6:C257,C257)</f>
        <v>0</v>
      </c>
      <c r="Q257" s="4">
        <f ca="1">IF(ISNA(M257),0,COUNTIF($M$6:M257,M257))</f>
        <v>0</v>
      </c>
      <c r="R257" s="4" t="e">
        <f t="shared" ca="1" si="21"/>
        <v>#N/A</v>
      </c>
      <c r="S257" s="4">
        <f ca="1">IF(ISNA(M257),0,COUNTIF($R$6:R257,R257))</f>
        <v>0</v>
      </c>
      <c r="T257" s="4" t="e">
        <f t="shared" ca="1" si="5"/>
        <v>#N/A</v>
      </c>
    </row>
    <row r="258" spans="2:20" x14ac:dyDescent="0.3">
      <c r="B258" s="48"/>
      <c r="C258" s="48"/>
      <c r="D258" s="10" t="str">
        <f t="shared" ca="1" si="24"/>
        <v/>
      </c>
      <c r="E258" s="48"/>
      <c r="F258" s="48"/>
      <c r="G258" s="10" t="str">
        <f t="shared" ca="1" si="23"/>
        <v/>
      </c>
      <c r="I258" s="10" t="str">
        <f t="shared" ca="1" si="25"/>
        <v/>
      </c>
      <c r="K258" s="4" t="e">
        <f t="shared" ca="1" si="3"/>
        <v>#N/A</v>
      </c>
      <c r="L258" s="4" t="e">
        <f>VLOOKUP(C258,_resources!B:D,3,0)</f>
        <v>#N/A</v>
      </c>
      <c r="M258" s="4" t="e" cm="1">
        <f t="array" aca="1" ref="M258" ca="1">IF(abbrAtEnd,"",L258&amp;"-")&amp;E258&amp;"-"&amp;INDIRECT(OFFSET(element3,MATCH($C258,resources,0)-1,0))&amp;"-"&amp;INDIRECT(OFFSET(element4,MATCH($C258,resources,0)-1,0))&amp;"-"&amp;INDIRECT(OFFSET(element5,MATCH($C258,resources,0)-1,0))&amp;IF(OFFSET(element6,MATCH($C258,resources,0)-1,0)="","","-"&amp;INDIRECT(OFFSET(element6,MATCH($C258,resources,0)-1,0)))&amp;IF(abbrAtEnd,"-"&amp;L258,"")</f>
        <v>#N/A</v>
      </c>
      <c r="N258" s="4" t="str">
        <f t="shared" si="22"/>
        <v>-000</v>
      </c>
      <c r="O258" s="4">
        <f ca="1">IF(totalElements+COUNTIF(Entities!$C$10,"*")+COUNTIF(B258:C258,"*")+COUNTIF(E258:F258,"*")=9,1,0)</f>
        <v>0</v>
      </c>
      <c r="P258" s="4">
        <f>COUNTIF($C$6:C258,C258)</f>
        <v>0</v>
      </c>
      <c r="Q258" s="4">
        <f ca="1">IF(ISNA(M258),0,COUNTIF($M$6:M258,M258))</f>
        <v>0</v>
      </c>
      <c r="R258" s="4" t="e">
        <f t="shared" ca="1" si="21"/>
        <v>#N/A</v>
      </c>
      <c r="S258" s="4">
        <f ca="1">IF(ISNA(M258),0,COUNTIF($R$6:R258,R258))</f>
        <v>0</v>
      </c>
      <c r="T258" s="4" t="e">
        <f t="shared" ca="1" si="5"/>
        <v>#N/A</v>
      </c>
    </row>
    <row r="259" spans="2:20" x14ac:dyDescent="0.3">
      <c r="B259" s="48"/>
      <c r="C259" s="48"/>
      <c r="D259" s="10" t="str">
        <f t="shared" ca="1" si="24"/>
        <v/>
      </c>
      <c r="E259" s="48"/>
      <c r="F259" s="48"/>
      <c r="G259" s="10" t="str">
        <f t="shared" ca="1" si="23"/>
        <v/>
      </c>
      <c r="I259" s="10" t="str">
        <f t="shared" ca="1" si="25"/>
        <v/>
      </c>
      <c r="K259" s="4" t="e">
        <f t="shared" ca="1" si="3"/>
        <v>#N/A</v>
      </c>
      <c r="L259" s="4" t="e">
        <f>VLOOKUP(C259,_resources!B:D,3,0)</f>
        <v>#N/A</v>
      </c>
      <c r="M259" s="4" t="e" cm="1">
        <f t="array" aca="1" ref="M259" ca="1">IF(abbrAtEnd,"",L259&amp;"-")&amp;E259&amp;"-"&amp;INDIRECT(OFFSET(element3,MATCH($C259,resources,0)-1,0))&amp;"-"&amp;INDIRECT(OFFSET(element4,MATCH($C259,resources,0)-1,0))&amp;"-"&amp;INDIRECT(OFFSET(element5,MATCH($C259,resources,0)-1,0))&amp;IF(OFFSET(element6,MATCH($C259,resources,0)-1,0)="","","-"&amp;INDIRECT(OFFSET(element6,MATCH($C259,resources,0)-1,0)))&amp;IF(abbrAtEnd,"-"&amp;L259,"")</f>
        <v>#N/A</v>
      </c>
      <c r="N259" s="4" t="str">
        <f t="shared" si="22"/>
        <v>-000</v>
      </c>
      <c r="O259" s="4">
        <f ca="1">IF(totalElements+COUNTIF(Entities!$C$10,"*")+COUNTIF(B259:C259,"*")+COUNTIF(E259:F259,"*")=9,1,0)</f>
        <v>0</v>
      </c>
      <c r="P259" s="4">
        <f>COUNTIF($C$6:C259,C259)</f>
        <v>0</v>
      </c>
      <c r="Q259" s="4">
        <f ca="1">IF(ISNA(M259),0,COUNTIF($M$6:M259,M259))</f>
        <v>0</v>
      </c>
      <c r="R259" s="4" t="e">
        <f t="shared" ca="1" si="21"/>
        <v>#N/A</v>
      </c>
      <c r="S259" s="4">
        <f ca="1">IF(ISNA(M259),0,COUNTIF($R$6:R259,R259))</f>
        <v>0</v>
      </c>
      <c r="T259" s="4" t="e">
        <f t="shared" ca="1" si="5"/>
        <v>#N/A</v>
      </c>
    </row>
    <row r="260" spans="2:20" x14ac:dyDescent="0.3">
      <c r="B260" s="48"/>
      <c r="C260" s="48"/>
      <c r="D260" s="10" t="str">
        <f t="shared" ca="1" si="24"/>
        <v/>
      </c>
      <c r="E260" s="48"/>
      <c r="F260" s="48"/>
      <c r="G260" s="10" t="str">
        <f t="shared" ca="1" si="23"/>
        <v/>
      </c>
      <c r="I260" s="10" t="str">
        <f t="shared" ca="1" si="25"/>
        <v/>
      </c>
      <c r="K260" s="4" t="e">
        <f t="shared" ca="1" si="3"/>
        <v>#N/A</v>
      </c>
      <c r="L260" s="4" t="e">
        <f>VLOOKUP(C260,_resources!B:D,3,0)</f>
        <v>#N/A</v>
      </c>
      <c r="M260" s="4" t="e" cm="1">
        <f t="array" aca="1" ref="M260" ca="1">IF(abbrAtEnd,"",L260&amp;"-")&amp;E260&amp;"-"&amp;INDIRECT(OFFSET(element3,MATCH($C260,resources,0)-1,0))&amp;"-"&amp;INDIRECT(OFFSET(element4,MATCH($C260,resources,0)-1,0))&amp;"-"&amp;INDIRECT(OFFSET(element5,MATCH($C260,resources,0)-1,0))&amp;IF(OFFSET(element6,MATCH($C260,resources,0)-1,0)="","","-"&amp;INDIRECT(OFFSET(element6,MATCH($C260,resources,0)-1,0)))&amp;IF(abbrAtEnd,"-"&amp;L260,"")</f>
        <v>#N/A</v>
      </c>
      <c r="N260" s="4" t="str">
        <f t="shared" si="22"/>
        <v>-000</v>
      </c>
      <c r="O260" s="4">
        <f ca="1">IF(totalElements+COUNTIF(Entities!$C$10,"*")+COUNTIF(B260:C260,"*")+COUNTIF(E260:F260,"*")=9,1,0)</f>
        <v>0</v>
      </c>
      <c r="P260" s="4">
        <f>COUNTIF($C$6:C260,C260)</f>
        <v>0</v>
      </c>
      <c r="Q260" s="4">
        <f ca="1">IF(ISNA(M260),0,COUNTIF($M$6:M260,M260))</f>
        <v>0</v>
      </c>
      <c r="R260" s="4" t="e">
        <f t="shared" ca="1" si="21"/>
        <v>#N/A</v>
      </c>
      <c r="S260" s="4">
        <f ca="1">IF(ISNA(M260),0,COUNTIF($R$6:R260,R260))</f>
        <v>0</v>
      </c>
      <c r="T260" s="4" t="e">
        <f t="shared" ca="1" si="5"/>
        <v>#N/A</v>
      </c>
    </row>
    <row r="261" spans="2:20" x14ac:dyDescent="0.3">
      <c r="B261" s="48"/>
      <c r="C261" s="48"/>
      <c r="D261" s="10" t="str">
        <f t="shared" ca="1" si="24"/>
        <v/>
      </c>
      <c r="E261" s="48"/>
      <c r="F261" s="48"/>
      <c r="G261" s="10" t="str">
        <f t="shared" ca="1" si="23"/>
        <v/>
      </c>
      <c r="I261" s="10" t="str">
        <f t="shared" ca="1" si="25"/>
        <v/>
      </c>
      <c r="K261" s="4" t="e">
        <f t="shared" ca="1" si="3"/>
        <v>#N/A</v>
      </c>
      <c r="L261" s="4" t="e">
        <f>VLOOKUP(C261,_resources!B:D,3,0)</f>
        <v>#N/A</v>
      </c>
      <c r="M261" s="4" t="e" cm="1">
        <f t="array" aca="1" ref="M261" ca="1">IF(abbrAtEnd,"",L261&amp;"-")&amp;E261&amp;"-"&amp;INDIRECT(OFFSET(element3,MATCH($C261,resources,0)-1,0))&amp;"-"&amp;INDIRECT(OFFSET(element4,MATCH($C261,resources,0)-1,0))&amp;"-"&amp;INDIRECT(OFFSET(element5,MATCH($C261,resources,0)-1,0))&amp;IF(OFFSET(element6,MATCH($C261,resources,0)-1,0)="","","-"&amp;INDIRECT(OFFSET(element6,MATCH($C261,resources,0)-1,0)))&amp;IF(abbrAtEnd,"-"&amp;L261,"")</f>
        <v>#N/A</v>
      </c>
      <c r="N261" s="4" t="str">
        <f t="shared" si="22"/>
        <v>-000</v>
      </c>
      <c r="O261" s="4">
        <f ca="1">IF(totalElements+COUNTIF(Entities!$C$10,"*")+COUNTIF(B261:C261,"*")+COUNTIF(E261:F261,"*")=9,1,0)</f>
        <v>0</v>
      </c>
      <c r="P261" s="4">
        <f>COUNTIF($C$6:C261,C261)</f>
        <v>0</v>
      </c>
      <c r="Q261" s="4">
        <f ca="1">IF(ISNA(M261),0,COUNTIF($M$6:M261,M261))</f>
        <v>0</v>
      </c>
      <c r="R261" s="4" t="e">
        <f t="shared" ca="1" si="21"/>
        <v>#N/A</v>
      </c>
      <c r="S261" s="4">
        <f ca="1">IF(ISNA(M261),0,COUNTIF($R$6:R261,R261))</f>
        <v>0</v>
      </c>
      <c r="T261" s="4" t="e">
        <f t="shared" ca="1" si="5"/>
        <v>#N/A</v>
      </c>
    </row>
    <row r="262" spans="2:20" x14ac:dyDescent="0.3">
      <c r="B262" s="48"/>
      <c r="C262" s="48"/>
      <c r="D262" s="10" t="str">
        <f t="shared" ca="1" si="24"/>
        <v/>
      </c>
      <c r="E262" s="48"/>
      <c r="F262" s="48"/>
      <c r="G262" s="10" t="str">
        <f t="shared" ca="1" si="23"/>
        <v/>
      </c>
      <c r="I262" s="10" t="str">
        <f t="shared" ca="1" si="25"/>
        <v/>
      </c>
      <c r="K262" s="4" t="e">
        <f t="shared" ref="K262:K325" ca="1" si="26">OFFSET(structure,MATCH($C262,resources,0)-1,0)</f>
        <v>#N/A</v>
      </c>
      <c r="L262" s="4" t="e">
        <f>VLOOKUP(C262,_resources!B:D,3,0)</f>
        <v>#N/A</v>
      </c>
      <c r="M262" s="4" t="e" cm="1">
        <f t="array" aca="1" ref="M262" ca="1">IF(abbrAtEnd,"",L262&amp;"-")&amp;E262&amp;"-"&amp;INDIRECT(OFFSET(element3,MATCH($C262,resources,0)-1,0))&amp;"-"&amp;INDIRECT(OFFSET(element4,MATCH($C262,resources,0)-1,0))&amp;"-"&amp;INDIRECT(OFFSET(element5,MATCH($C262,resources,0)-1,0))&amp;IF(OFFSET(element6,MATCH($C262,resources,0)-1,0)="","","-"&amp;INDIRECT(OFFSET(element6,MATCH($C262,resources,0)-1,0)))&amp;IF(abbrAtEnd,"-"&amp;L262,"")</f>
        <v>#N/A</v>
      </c>
      <c r="N262" s="4" t="str">
        <f t="shared" si="22"/>
        <v>-000</v>
      </c>
      <c r="O262" s="4">
        <f ca="1">IF(totalElements+COUNTIF(Entities!$C$10,"*")+COUNTIF(B262:C262,"*")+COUNTIF(E262:F262,"*")=9,1,0)</f>
        <v>0</v>
      </c>
      <c r="P262" s="4">
        <f>COUNTIF($C$6:C262,C262)</f>
        <v>0</v>
      </c>
      <c r="Q262" s="4">
        <f ca="1">IF(ISNA(M262),0,COUNTIF($M$6:M262,M262))</f>
        <v>0</v>
      </c>
      <c r="R262" s="4" t="e">
        <f t="shared" ca="1" si="21"/>
        <v>#N/A</v>
      </c>
      <c r="S262" s="4">
        <f ca="1">IF(ISNA(M262),0,COUNTIF($R$6:R262,R262))</f>
        <v>0</v>
      </c>
      <c r="T262" s="4" t="e">
        <f t="shared" ref="T262:T325" ca="1" si="27">OFFSET(maxLength,MATCH($C262,resources,0)-1,0)</f>
        <v>#N/A</v>
      </c>
    </row>
    <row r="263" spans="2:20" x14ac:dyDescent="0.3">
      <c r="B263" s="48"/>
      <c r="C263" s="48"/>
      <c r="D263" s="10" t="str">
        <f t="shared" ca="1" si="24"/>
        <v/>
      </c>
      <c r="E263" s="48"/>
      <c r="F263" s="48"/>
      <c r="G263" s="10" t="str">
        <f t="shared" ca="1" si="23"/>
        <v/>
      </c>
      <c r="I263" s="10" t="str">
        <f t="shared" ca="1" si="25"/>
        <v/>
      </c>
      <c r="K263" s="4" t="e">
        <f t="shared" ca="1" si="26"/>
        <v>#N/A</v>
      </c>
      <c r="L263" s="4" t="e">
        <f>VLOOKUP(C263,_resources!B:D,3,0)</f>
        <v>#N/A</v>
      </c>
      <c r="M263" s="4" t="e" cm="1">
        <f t="array" aca="1" ref="M263" ca="1">IF(abbrAtEnd,"",L263&amp;"-")&amp;E263&amp;"-"&amp;INDIRECT(OFFSET(element3,MATCH($C263,resources,0)-1,0))&amp;"-"&amp;INDIRECT(OFFSET(element4,MATCH($C263,resources,0)-1,0))&amp;"-"&amp;INDIRECT(OFFSET(element5,MATCH($C263,resources,0)-1,0))&amp;IF(OFFSET(element6,MATCH($C263,resources,0)-1,0)="","","-"&amp;INDIRECT(OFFSET(element6,MATCH($C263,resources,0)-1,0)))&amp;IF(abbrAtEnd,"-"&amp;L263,"")</f>
        <v>#N/A</v>
      </c>
      <c r="N263" s="4" t="str">
        <f t="shared" si="22"/>
        <v>-000</v>
      </c>
      <c r="O263" s="4">
        <f ca="1">IF(totalElements+COUNTIF(Entities!$C$10,"*")+COUNTIF(B263:C263,"*")+COUNTIF(E263:F263,"*")=9,1,0)</f>
        <v>0</v>
      </c>
      <c r="P263" s="4">
        <f>COUNTIF($C$6:C263,C263)</f>
        <v>0</v>
      </c>
      <c r="Q263" s="4">
        <f ca="1">IF(ISNA(M263),0,COUNTIF($M$6:M263,M263))</f>
        <v>0</v>
      </c>
      <c r="R263" s="4" t="e">
        <f t="shared" ref="R263:R326" ca="1" si="28">F263&amp;"__"&amp;M263</f>
        <v>#N/A</v>
      </c>
      <c r="S263" s="4">
        <f ca="1">IF(ISNA(M263),0,COUNTIF($R$6:R263,R263))</f>
        <v>0</v>
      </c>
      <c r="T263" s="4" t="e">
        <f t="shared" ca="1" si="27"/>
        <v>#N/A</v>
      </c>
    </row>
    <row r="264" spans="2:20" x14ac:dyDescent="0.3">
      <c r="B264" s="48"/>
      <c r="C264" s="48"/>
      <c r="D264" s="10" t="str">
        <f t="shared" ca="1" si="24"/>
        <v/>
      </c>
      <c r="E264" s="48"/>
      <c r="F264" s="48"/>
      <c r="G264" s="10" t="str">
        <f t="shared" ca="1" si="23"/>
        <v/>
      </c>
      <c r="I264" s="10" t="str">
        <f t="shared" ca="1" si="25"/>
        <v/>
      </c>
      <c r="K264" s="4" t="e">
        <f t="shared" ca="1" si="26"/>
        <v>#N/A</v>
      </c>
      <c r="L264" s="4" t="e">
        <f>VLOOKUP(C264,_resources!B:D,3,0)</f>
        <v>#N/A</v>
      </c>
      <c r="M264" s="4" t="e" cm="1">
        <f t="array" aca="1" ref="M264" ca="1">IF(abbrAtEnd,"",L264&amp;"-")&amp;E264&amp;"-"&amp;INDIRECT(OFFSET(element3,MATCH($C264,resources,0)-1,0))&amp;"-"&amp;INDIRECT(OFFSET(element4,MATCH($C264,resources,0)-1,0))&amp;"-"&amp;INDIRECT(OFFSET(element5,MATCH($C264,resources,0)-1,0))&amp;IF(OFFSET(element6,MATCH($C264,resources,0)-1,0)="","","-"&amp;INDIRECT(OFFSET(element6,MATCH($C264,resources,0)-1,0)))&amp;IF(abbrAtEnd,"-"&amp;L264,"")</f>
        <v>#N/A</v>
      </c>
      <c r="N264" s="4" t="str">
        <f t="shared" si="22"/>
        <v>-000</v>
      </c>
      <c r="O264" s="4">
        <f ca="1">IF(totalElements+COUNTIF(Entities!$C$10,"*")+COUNTIF(B264:C264,"*")+COUNTIF(E264:F264,"*")=9,1,0)</f>
        <v>0</v>
      </c>
      <c r="P264" s="4">
        <f>COUNTIF($C$6:C264,C264)</f>
        <v>0</v>
      </c>
      <c r="Q264" s="4">
        <f ca="1">IF(ISNA(M264),0,COUNTIF($M$6:M264,M264))</f>
        <v>0</v>
      </c>
      <c r="R264" s="4" t="e">
        <f t="shared" ca="1" si="28"/>
        <v>#N/A</v>
      </c>
      <c r="S264" s="4">
        <f ca="1">IF(ISNA(M264),0,COUNTIF($R$6:R264,R264))</f>
        <v>0</v>
      </c>
      <c r="T264" s="4" t="e">
        <f t="shared" ca="1" si="27"/>
        <v>#N/A</v>
      </c>
    </row>
    <row r="265" spans="2:20" x14ac:dyDescent="0.3">
      <c r="B265" s="48"/>
      <c r="C265" s="48"/>
      <c r="D265" s="10" t="str">
        <f t="shared" ca="1" si="24"/>
        <v/>
      </c>
      <c r="E265" s="48"/>
      <c r="F265" s="48"/>
      <c r="G265" s="10" t="str">
        <f t="shared" ca="1" si="23"/>
        <v/>
      </c>
      <c r="I265" s="10" t="str">
        <f t="shared" ca="1" si="25"/>
        <v/>
      </c>
      <c r="K265" s="4" t="e">
        <f t="shared" ca="1" si="26"/>
        <v>#N/A</v>
      </c>
      <c r="L265" s="4" t="e">
        <f>VLOOKUP(C265,_resources!B:D,3,0)</f>
        <v>#N/A</v>
      </c>
      <c r="M265" s="4" t="e" cm="1">
        <f t="array" aca="1" ref="M265" ca="1">IF(abbrAtEnd,"",L265&amp;"-")&amp;E265&amp;"-"&amp;INDIRECT(OFFSET(element3,MATCH($C265,resources,0)-1,0))&amp;"-"&amp;INDIRECT(OFFSET(element4,MATCH($C265,resources,0)-1,0))&amp;"-"&amp;INDIRECT(OFFSET(element5,MATCH($C265,resources,0)-1,0))&amp;IF(OFFSET(element6,MATCH($C265,resources,0)-1,0)="","","-"&amp;INDIRECT(OFFSET(element6,MATCH($C265,resources,0)-1,0)))&amp;IF(abbrAtEnd,"-"&amp;L265,"")</f>
        <v>#N/A</v>
      </c>
      <c r="N265" s="4" t="str">
        <f t="shared" si="22"/>
        <v>-000</v>
      </c>
      <c r="O265" s="4">
        <f ca="1">IF(totalElements+COUNTIF(Entities!$C$10,"*")+COUNTIF(B265:C265,"*")+COUNTIF(E265:F265,"*")=9,1,0)</f>
        <v>0</v>
      </c>
      <c r="P265" s="4">
        <f>COUNTIF($C$6:C265,C265)</f>
        <v>0</v>
      </c>
      <c r="Q265" s="4">
        <f ca="1">IF(ISNA(M265),0,COUNTIF($M$6:M265,M265))</f>
        <v>0</v>
      </c>
      <c r="R265" s="4" t="e">
        <f t="shared" ca="1" si="28"/>
        <v>#N/A</v>
      </c>
      <c r="S265" s="4">
        <f ca="1">IF(ISNA(M265),0,COUNTIF($R$6:R265,R265))</f>
        <v>0</v>
      </c>
      <c r="T265" s="4" t="e">
        <f t="shared" ca="1" si="27"/>
        <v>#N/A</v>
      </c>
    </row>
    <row r="266" spans="2:20" x14ac:dyDescent="0.3">
      <c r="B266" s="48"/>
      <c r="C266" s="48"/>
      <c r="D266" s="10" t="str">
        <f t="shared" ca="1" si="24"/>
        <v/>
      </c>
      <c r="E266" s="48"/>
      <c r="F266" s="48"/>
      <c r="G266" s="10" t="str">
        <f t="shared" ca="1" si="23"/>
        <v/>
      </c>
      <c r="I266" s="10" t="str">
        <f t="shared" ca="1" si="25"/>
        <v/>
      </c>
      <c r="K266" s="4" t="e">
        <f t="shared" ca="1" si="26"/>
        <v>#N/A</v>
      </c>
      <c r="L266" s="4" t="e">
        <f>VLOOKUP(C266,_resources!B:D,3,0)</f>
        <v>#N/A</v>
      </c>
      <c r="M266" s="4" t="e" cm="1">
        <f t="array" aca="1" ref="M266" ca="1">IF(abbrAtEnd,"",L266&amp;"-")&amp;E266&amp;"-"&amp;INDIRECT(OFFSET(element3,MATCH($C266,resources,0)-1,0))&amp;"-"&amp;INDIRECT(OFFSET(element4,MATCH($C266,resources,0)-1,0))&amp;"-"&amp;INDIRECT(OFFSET(element5,MATCH($C266,resources,0)-1,0))&amp;IF(OFFSET(element6,MATCH($C266,resources,0)-1,0)="","","-"&amp;INDIRECT(OFFSET(element6,MATCH($C266,resources,0)-1,0)))&amp;IF(abbrAtEnd,"-"&amp;L266,"")</f>
        <v>#N/A</v>
      </c>
      <c r="N266" s="4" t="str">
        <f t="shared" si="22"/>
        <v>-000</v>
      </c>
      <c r="O266" s="4">
        <f ca="1">IF(totalElements+COUNTIF(Entities!$C$10,"*")+COUNTIF(B266:C266,"*")+COUNTIF(E266:F266,"*")=9,1,0)</f>
        <v>0</v>
      </c>
      <c r="P266" s="4">
        <f>COUNTIF($C$6:C266,C266)</f>
        <v>0</v>
      </c>
      <c r="Q266" s="4">
        <f ca="1">IF(ISNA(M266),0,COUNTIF($M$6:M266,M266))</f>
        <v>0</v>
      </c>
      <c r="R266" s="4" t="e">
        <f t="shared" ca="1" si="28"/>
        <v>#N/A</v>
      </c>
      <c r="S266" s="4">
        <f ca="1">IF(ISNA(M266),0,COUNTIF($R$6:R266,R266))</f>
        <v>0</v>
      </c>
      <c r="T266" s="4" t="e">
        <f t="shared" ca="1" si="27"/>
        <v>#N/A</v>
      </c>
    </row>
    <row r="267" spans="2:20" x14ac:dyDescent="0.3">
      <c r="B267" s="48"/>
      <c r="C267" s="48"/>
      <c r="D267" s="10" t="str">
        <f t="shared" ca="1" si="24"/>
        <v/>
      </c>
      <c r="E267" s="48"/>
      <c r="F267" s="48"/>
      <c r="G267" s="10" t="str">
        <f t="shared" ca="1" si="23"/>
        <v/>
      </c>
      <c r="I267" s="10" t="str">
        <f t="shared" ca="1" si="25"/>
        <v/>
      </c>
      <c r="K267" s="4" t="e">
        <f t="shared" ca="1" si="26"/>
        <v>#N/A</v>
      </c>
      <c r="L267" s="4" t="e">
        <f>VLOOKUP(C267,_resources!B:D,3,0)</f>
        <v>#N/A</v>
      </c>
      <c r="M267" s="4" t="e" cm="1">
        <f t="array" aca="1" ref="M267" ca="1">IF(abbrAtEnd,"",L267&amp;"-")&amp;E267&amp;"-"&amp;INDIRECT(OFFSET(element3,MATCH($C267,resources,0)-1,0))&amp;"-"&amp;INDIRECT(OFFSET(element4,MATCH($C267,resources,0)-1,0))&amp;"-"&amp;INDIRECT(OFFSET(element5,MATCH($C267,resources,0)-1,0))&amp;IF(OFFSET(element6,MATCH($C267,resources,0)-1,0)="","","-"&amp;INDIRECT(OFFSET(element6,MATCH($C267,resources,0)-1,0)))&amp;IF(abbrAtEnd,"-"&amp;L267,"")</f>
        <v>#N/A</v>
      </c>
      <c r="N267" s="4" t="str">
        <f t="shared" si="22"/>
        <v>-000</v>
      </c>
      <c r="O267" s="4">
        <f ca="1">IF(totalElements+COUNTIF(Entities!$C$10,"*")+COUNTIF(B267:C267,"*")+COUNTIF(E267:F267,"*")=9,1,0)</f>
        <v>0</v>
      </c>
      <c r="P267" s="4">
        <f>COUNTIF($C$6:C267,C267)</f>
        <v>0</v>
      </c>
      <c r="Q267" s="4">
        <f ca="1">IF(ISNA(M267),0,COUNTIF($M$6:M267,M267))</f>
        <v>0</v>
      </c>
      <c r="R267" s="4" t="e">
        <f t="shared" ca="1" si="28"/>
        <v>#N/A</v>
      </c>
      <c r="S267" s="4">
        <f ca="1">IF(ISNA(M267),0,COUNTIF($R$6:R267,R267))</f>
        <v>0</v>
      </c>
      <c r="T267" s="4" t="e">
        <f t="shared" ca="1" si="27"/>
        <v>#N/A</v>
      </c>
    </row>
    <row r="268" spans="2:20" x14ac:dyDescent="0.3">
      <c r="B268" s="48"/>
      <c r="C268" s="48"/>
      <c r="D268" s="10" t="str">
        <f t="shared" ca="1" si="24"/>
        <v/>
      </c>
      <c r="E268" s="48"/>
      <c r="F268" s="48"/>
      <c r="G268" s="10" t="str">
        <f t="shared" ca="1" si="23"/>
        <v/>
      </c>
      <c r="I268" s="10" t="str">
        <f t="shared" ca="1" si="25"/>
        <v/>
      </c>
      <c r="K268" s="4" t="e">
        <f t="shared" ca="1" si="26"/>
        <v>#N/A</v>
      </c>
      <c r="L268" s="4" t="e">
        <f>VLOOKUP(C268,_resources!B:D,3,0)</f>
        <v>#N/A</v>
      </c>
      <c r="M268" s="4" t="e" cm="1">
        <f t="array" aca="1" ref="M268" ca="1">IF(abbrAtEnd,"",L268&amp;"-")&amp;E268&amp;"-"&amp;INDIRECT(OFFSET(element3,MATCH($C268,resources,0)-1,0))&amp;"-"&amp;INDIRECT(OFFSET(element4,MATCH($C268,resources,0)-1,0))&amp;"-"&amp;INDIRECT(OFFSET(element5,MATCH($C268,resources,0)-1,0))&amp;IF(OFFSET(element6,MATCH($C268,resources,0)-1,0)="","","-"&amp;INDIRECT(OFFSET(element6,MATCH($C268,resources,0)-1,0)))&amp;IF(abbrAtEnd,"-"&amp;L268,"")</f>
        <v>#N/A</v>
      </c>
      <c r="N268" s="4" t="str">
        <f t="shared" si="22"/>
        <v>-000</v>
      </c>
      <c r="O268" s="4">
        <f ca="1">IF(totalElements+COUNTIF(Entities!$C$10,"*")+COUNTIF(B268:C268,"*")+COUNTIF(E268:F268,"*")=9,1,0)</f>
        <v>0</v>
      </c>
      <c r="P268" s="4">
        <f>COUNTIF($C$6:C268,C268)</f>
        <v>0</v>
      </c>
      <c r="Q268" s="4">
        <f ca="1">IF(ISNA(M268),0,COUNTIF($M$6:M268,M268))</f>
        <v>0</v>
      </c>
      <c r="R268" s="4" t="e">
        <f t="shared" ca="1" si="28"/>
        <v>#N/A</v>
      </c>
      <c r="S268" s="4">
        <f ca="1">IF(ISNA(M268),0,COUNTIF($R$6:R268,R268))</f>
        <v>0</v>
      </c>
      <c r="T268" s="4" t="e">
        <f t="shared" ca="1" si="27"/>
        <v>#N/A</v>
      </c>
    </row>
    <row r="269" spans="2:20" x14ac:dyDescent="0.3">
      <c r="B269" s="48"/>
      <c r="C269" s="48"/>
      <c r="D269" s="10" t="str">
        <f t="shared" ca="1" si="24"/>
        <v/>
      </c>
      <c r="E269" s="48"/>
      <c r="F269" s="48"/>
      <c r="G269" s="10" t="str">
        <f t="shared" ca="1" si="23"/>
        <v/>
      </c>
      <c r="I269" s="10" t="str">
        <f t="shared" ca="1" si="25"/>
        <v/>
      </c>
      <c r="K269" s="4" t="e">
        <f t="shared" ca="1" si="26"/>
        <v>#N/A</v>
      </c>
      <c r="L269" s="4" t="e">
        <f>VLOOKUP(C269,_resources!B:D,3,0)</f>
        <v>#N/A</v>
      </c>
      <c r="M269" s="4" t="e" cm="1">
        <f t="array" aca="1" ref="M269" ca="1">IF(abbrAtEnd,"",L269&amp;"-")&amp;E269&amp;"-"&amp;INDIRECT(OFFSET(element3,MATCH($C269,resources,0)-1,0))&amp;"-"&amp;INDIRECT(OFFSET(element4,MATCH($C269,resources,0)-1,0))&amp;"-"&amp;INDIRECT(OFFSET(element5,MATCH($C269,resources,0)-1,0))&amp;IF(OFFSET(element6,MATCH($C269,resources,0)-1,0)="","","-"&amp;INDIRECT(OFFSET(element6,MATCH($C269,resources,0)-1,0)))&amp;IF(abbrAtEnd,"-"&amp;L269,"")</f>
        <v>#N/A</v>
      </c>
      <c r="N269" s="4" t="str">
        <f t="shared" si="22"/>
        <v>-000</v>
      </c>
      <c r="O269" s="4">
        <f ca="1">IF(totalElements+COUNTIF(Entities!$C$10,"*")+COUNTIF(B269:C269,"*")+COUNTIF(E269:F269,"*")=9,1,0)</f>
        <v>0</v>
      </c>
      <c r="P269" s="4">
        <f>COUNTIF($C$6:C269,C269)</f>
        <v>0</v>
      </c>
      <c r="Q269" s="4">
        <f ca="1">IF(ISNA(M269),0,COUNTIF($M$6:M269,M269))</f>
        <v>0</v>
      </c>
      <c r="R269" s="4" t="e">
        <f t="shared" ca="1" si="28"/>
        <v>#N/A</v>
      </c>
      <c r="S269" s="4">
        <f ca="1">IF(ISNA(M269),0,COUNTIF($R$6:R269,R269))</f>
        <v>0</v>
      </c>
      <c r="T269" s="4" t="e">
        <f t="shared" ca="1" si="27"/>
        <v>#N/A</v>
      </c>
    </row>
    <row r="270" spans="2:20" x14ac:dyDescent="0.3">
      <c r="B270" s="48"/>
      <c r="C270" s="48"/>
      <c r="D270" s="10" t="str">
        <f t="shared" ca="1" si="24"/>
        <v/>
      </c>
      <c r="E270" s="48"/>
      <c r="F270" s="48"/>
      <c r="G270" s="10" t="str">
        <f t="shared" ca="1" si="23"/>
        <v/>
      </c>
      <c r="I270" s="10" t="str">
        <f t="shared" ca="1" si="25"/>
        <v/>
      </c>
      <c r="K270" s="4" t="e">
        <f t="shared" ca="1" si="26"/>
        <v>#N/A</v>
      </c>
      <c r="L270" s="4" t="e">
        <f>VLOOKUP(C270,_resources!B:D,3,0)</f>
        <v>#N/A</v>
      </c>
      <c r="M270" s="4" t="e" cm="1">
        <f t="array" aca="1" ref="M270" ca="1">IF(abbrAtEnd,"",L270&amp;"-")&amp;E270&amp;"-"&amp;INDIRECT(OFFSET(element3,MATCH($C270,resources,0)-1,0))&amp;"-"&amp;INDIRECT(OFFSET(element4,MATCH($C270,resources,0)-1,0))&amp;"-"&amp;INDIRECT(OFFSET(element5,MATCH($C270,resources,0)-1,0))&amp;IF(OFFSET(element6,MATCH($C270,resources,0)-1,0)="","","-"&amp;INDIRECT(OFFSET(element6,MATCH($C270,resources,0)-1,0)))&amp;IF(abbrAtEnd,"-"&amp;L270,"")</f>
        <v>#N/A</v>
      </c>
      <c r="N270" s="4" t="str">
        <f t="shared" ref="N270:N333" si="29">IF($M$4,"-"&amp;TEXT(P270,"000"),"-"&amp;TEXT(Q270,"000"))</f>
        <v>-000</v>
      </c>
      <c r="O270" s="4">
        <f ca="1">IF(totalElements+COUNTIF(Entities!$C$10,"*")+COUNTIF(B270:C270,"*")+COUNTIF(E270:F270,"*")=9,1,0)</f>
        <v>0</v>
      </c>
      <c r="P270" s="4">
        <f>COUNTIF($C$6:C270,C270)</f>
        <v>0</v>
      </c>
      <c r="Q270" s="4">
        <f ca="1">IF(ISNA(M270),0,COUNTIF($M$6:M270,M270))</f>
        <v>0</v>
      </c>
      <c r="R270" s="4" t="e">
        <f t="shared" ca="1" si="28"/>
        <v>#N/A</v>
      </c>
      <c r="S270" s="4">
        <f ca="1">IF(ISNA(M270),0,COUNTIF($R$6:R270,R270))</f>
        <v>0</v>
      </c>
      <c r="T270" s="4" t="e">
        <f t="shared" ca="1" si="27"/>
        <v>#N/A</v>
      </c>
    </row>
    <row r="271" spans="2:20" x14ac:dyDescent="0.3">
      <c r="B271" s="48"/>
      <c r="C271" s="48"/>
      <c r="D271" s="10" t="str">
        <f t="shared" ca="1" si="24"/>
        <v/>
      </c>
      <c r="E271" s="48"/>
      <c r="F271" s="48"/>
      <c r="G271" s="10" t="str">
        <f t="shared" ca="1" si="23"/>
        <v/>
      </c>
      <c r="I271" s="10" t="str">
        <f t="shared" ca="1" si="25"/>
        <v/>
      </c>
      <c r="K271" s="4" t="e">
        <f t="shared" ca="1" si="26"/>
        <v>#N/A</v>
      </c>
      <c r="L271" s="4" t="e">
        <f>VLOOKUP(C271,_resources!B:D,3,0)</f>
        <v>#N/A</v>
      </c>
      <c r="M271" s="4" t="e" cm="1">
        <f t="array" aca="1" ref="M271" ca="1">IF(abbrAtEnd,"",L271&amp;"-")&amp;E271&amp;"-"&amp;INDIRECT(OFFSET(element3,MATCH($C271,resources,0)-1,0))&amp;"-"&amp;INDIRECT(OFFSET(element4,MATCH($C271,resources,0)-1,0))&amp;"-"&amp;INDIRECT(OFFSET(element5,MATCH($C271,resources,0)-1,0))&amp;IF(OFFSET(element6,MATCH($C271,resources,0)-1,0)="","","-"&amp;INDIRECT(OFFSET(element6,MATCH($C271,resources,0)-1,0)))&amp;IF(abbrAtEnd,"-"&amp;L271,"")</f>
        <v>#N/A</v>
      </c>
      <c r="N271" s="4" t="str">
        <f t="shared" si="29"/>
        <v>-000</v>
      </c>
      <c r="O271" s="4">
        <f ca="1">IF(totalElements+COUNTIF(Entities!$C$10,"*")+COUNTIF(B271:C271,"*")+COUNTIF(E271:F271,"*")=9,1,0)</f>
        <v>0</v>
      </c>
      <c r="P271" s="4">
        <f>COUNTIF($C$6:C271,C271)</f>
        <v>0</v>
      </c>
      <c r="Q271" s="4">
        <f ca="1">IF(ISNA(M271),0,COUNTIF($M$6:M271,M271))</f>
        <v>0</v>
      </c>
      <c r="R271" s="4" t="e">
        <f t="shared" ca="1" si="28"/>
        <v>#N/A</v>
      </c>
      <c r="S271" s="4">
        <f ca="1">IF(ISNA(M271),0,COUNTIF($R$6:R271,R271))</f>
        <v>0</v>
      </c>
      <c r="T271" s="4" t="e">
        <f t="shared" ca="1" si="27"/>
        <v>#N/A</v>
      </c>
    </row>
    <row r="272" spans="2:20" x14ac:dyDescent="0.3">
      <c r="B272" s="48"/>
      <c r="C272" s="48"/>
      <c r="D272" s="10" t="str">
        <f t="shared" ca="1" si="24"/>
        <v/>
      </c>
      <c r="E272" s="48"/>
      <c r="F272" s="48"/>
      <c r="G272" s="10" t="str">
        <f t="shared" ca="1" si="23"/>
        <v/>
      </c>
      <c r="I272" s="10" t="str">
        <f t="shared" ca="1" si="25"/>
        <v/>
      </c>
      <c r="K272" s="4" t="e">
        <f t="shared" ca="1" si="26"/>
        <v>#N/A</v>
      </c>
      <c r="L272" s="4" t="e">
        <f>VLOOKUP(C272,_resources!B:D,3,0)</f>
        <v>#N/A</v>
      </c>
      <c r="M272" s="4" t="e" cm="1">
        <f t="array" aca="1" ref="M272" ca="1">IF(abbrAtEnd,"",L272&amp;"-")&amp;E272&amp;"-"&amp;INDIRECT(OFFSET(element3,MATCH($C272,resources,0)-1,0))&amp;"-"&amp;INDIRECT(OFFSET(element4,MATCH($C272,resources,0)-1,0))&amp;"-"&amp;INDIRECT(OFFSET(element5,MATCH($C272,resources,0)-1,0))&amp;IF(OFFSET(element6,MATCH($C272,resources,0)-1,0)="","","-"&amp;INDIRECT(OFFSET(element6,MATCH($C272,resources,0)-1,0)))&amp;IF(abbrAtEnd,"-"&amp;L272,"")</f>
        <v>#N/A</v>
      </c>
      <c r="N272" s="4" t="str">
        <f t="shared" si="29"/>
        <v>-000</v>
      </c>
      <c r="O272" s="4">
        <f ca="1">IF(totalElements+COUNTIF(Entities!$C$10,"*")+COUNTIF(B272:C272,"*")+COUNTIF(E272:F272,"*")=9,1,0)</f>
        <v>0</v>
      </c>
      <c r="P272" s="4">
        <f>COUNTIF($C$6:C272,C272)</f>
        <v>0</v>
      </c>
      <c r="Q272" s="4">
        <f ca="1">IF(ISNA(M272),0,COUNTIF($M$6:M272,M272))</f>
        <v>0</v>
      </c>
      <c r="R272" s="4" t="e">
        <f t="shared" ca="1" si="28"/>
        <v>#N/A</v>
      </c>
      <c r="S272" s="4">
        <f ca="1">IF(ISNA(M272),0,COUNTIF($R$6:R272,R272))</f>
        <v>0</v>
      </c>
      <c r="T272" s="4" t="e">
        <f t="shared" ca="1" si="27"/>
        <v>#N/A</v>
      </c>
    </row>
    <row r="273" spans="2:20" x14ac:dyDescent="0.3">
      <c r="B273" s="48"/>
      <c r="C273" s="48"/>
      <c r="D273" s="10" t="str">
        <f t="shared" ca="1" si="24"/>
        <v/>
      </c>
      <c r="E273" s="48"/>
      <c r="F273" s="48"/>
      <c r="G273" s="10" t="str">
        <f t="shared" ca="1" si="23"/>
        <v/>
      </c>
      <c r="I273" s="10" t="str">
        <f t="shared" ca="1" si="25"/>
        <v/>
      </c>
      <c r="K273" s="4" t="e">
        <f t="shared" ca="1" si="26"/>
        <v>#N/A</v>
      </c>
      <c r="L273" s="4" t="e">
        <f>VLOOKUP(C273,_resources!B:D,3,0)</f>
        <v>#N/A</v>
      </c>
      <c r="M273" s="4" t="e" cm="1">
        <f t="array" aca="1" ref="M273" ca="1">IF(abbrAtEnd,"",L273&amp;"-")&amp;E273&amp;"-"&amp;INDIRECT(OFFSET(element3,MATCH($C273,resources,0)-1,0))&amp;"-"&amp;INDIRECT(OFFSET(element4,MATCH($C273,resources,0)-1,0))&amp;"-"&amp;INDIRECT(OFFSET(element5,MATCH($C273,resources,0)-1,0))&amp;IF(OFFSET(element6,MATCH($C273,resources,0)-1,0)="","","-"&amp;INDIRECT(OFFSET(element6,MATCH($C273,resources,0)-1,0)))&amp;IF(abbrAtEnd,"-"&amp;L273,"")</f>
        <v>#N/A</v>
      </c>
      <c r="N273" s="4" t="str">
        <f t="shared" si="29"/>
        <v>-000</v>
      </c>
      <c r="O273" s="4">
        <f ca="1">IF(totalElements+COUNTIF(Entities!$C$10,"*")+COUNTIF(B273:C273,"*")+COUNTIF(E273:F273,"*")=9,1,0)</f>
        <v>0</v>
      </c>
      <c r="P273" s="4">
        <f>COUNTIF($C$6:C273,C273)</f>
        <v>0</v>
      </c>
      <c r="Q273" s="4">
        <f ca="1">IF(ISNA(M273),0,COUNTIF($M$6:M273,M273))</f>
        <v>0</v>
      </c>
      <c r="R273" s="4" t="e">
        <f t="shared" ca="1" si="28"/>
        <v>#N/A</v>
      </c>
      <c r="S273" s="4">
        <f ca="1">IF(ISNA(M273),0,COUNTIF($R$6:R273,R273))</f>
        <v>0</v>
      </c>
      <c r="T273" s="4" t="e">
        <f t="shared" ca="1" si="27"/>
        <v>#N/A</v>
      </c>
    </row>
    <row r="274" spans="2:20" x14ac:dyDescent="0.3">
      <c r="B274" s="48"/>
      <c r="C274" s="48"/>
      <c r="D274" s="10" t="str">
        <f t="shared" ca="1" si="24"/>
        <v/>
      </c>
      <c r="E274" s="48"/>
      <c r="F274" s="48"/>
      <c r="G274" s="10" t="str">
        <f t="shared" ca="1" si="23"/>
        <v/>
      </c>
      <c r="I274" s="10" t="str">
        <f t="shared" ca="1" si="25"/>
        <v/>
      </c>
      <c r="K274" s="4" t="e">
        <f t="shared" ca="1" si="26"/>
        <v>#N/A</v>
      </c>
      <c r="L274" s="4" t="e">
        <f>VLOOKUP(C274,_resources!B:D,3,0)</f>
        <v>#N/A</v>
      </c>
      <c r="M274" s="4" t="e" cm="1">
        <f t="array" aca="1" ref="M274" ca="1">IF(abbrAtEnd,"",L274&amp;"-")&amp;E274&amp;"-"&amp;INDIRECT(OFFSET(element3,MATCH($C274,resources,0)-1,0))&amp;"-"&amp;INDIRECT(OFFSET(element4,MATCH($C274,resources,0)-1,0))&amp;"-"&amp;INDIRECT(OFFSET(element5,MATCH($C274,resources,0)-1,0))&amp;IF(OFFSET(element6,MATCH($C274,resources,0)-1,0)="","","-"&amp;INDIRECT(OFFSET(element6,MATCH($C274,resources,0)-1,0)))&amp;IF(abbrAtEnd,"-"&amp;L274,"")</f>
        <v>#N/A</v>
      </c>
      <c r="N274" s="4" t="str">
        <f t="shared" si="29"/>
        <v>-000</v>
      </c>
      <c r="O274" s="4">
        <f ca="1">IF(totalElements+COUNTIF(Entities!$C$10,"*")+COUNTIF(B274:C274,"*")+COUNTIF(E274:F274,"*")=9,1,0)</f>
        <v>0</v>
      </c>
      <c r="P274" s="4">
        <f>COUNTIF($C$6:C274,C274)</f>
        <v>0</v>
      </c>
      <c r="Q274" s="4">
        <f ca="1">IF(ISNA(M274),0,COUNTIF($M$6:M274,M274))</f>
        <v>0</v>
      </c>
      <c r="R274" s="4" t="e">
        <f t="shared" ca="1" si="28"/>
        <v>#N/A</v>
      </c>
      <c r="S274" s="4">
        <f ca="1">IF(ISNA(M274),0,COUNTIF($R$6:R274,R274))</f>
        <v>0</v>
      </c>
      <c r="T274" s="4" t="e">
        <f t="shared" ca="1" si="27"/>
        <v>#N/A</v>
      </c>
    </row>
    <row r="275" spans="2:20" x14ac:dyDescent="0.3">
      <c r="B275" s="48"/>
      <c r="C275" s="48"/>
      <c r="D275" s="10" t="str">
        <f t="shared" ca="1" si="24"/>
        <v/>
      </c>
      <c r="E275" s="48"/>
      <c r="F275" s="48"/>
      <c r="G275" s="10" t="str">
        <f t="shared" ref="G275:G338" ca="1" si="30">IF(O275,IF(K275="hyphenated",M275&amp;N275,IF(K275="dnsname",E275,IF(K275="alphanumeric",SUBSTITUTE(M275&amp;N275,"-",""),"unknown or missing resource structure"))),"")</f>
        <v/>
      </c>
      <c r="I275" s="10" t="str">
        <f t="shared" ca="1" si="25"/>
        <v/>
      </c>
      <c r="K275" s="4" t="e">
        <f t="shared" ca="1" si="26"/>
        <v>#N/A</v>
      </c>
      <c r="L275" s="4" t="e">
        <f>VLOOKUP(C275,_resources!B:D,3,0)</f>
        <v>#N/A</v>
      </c>
      <c r="M275" s="4" t="e" cm="1">
        <f t="array" aca="1" ref="M275" ca="1">IF(abbrAtEnd,"",L275&amp;"-")&amp;E275&amp;"-"&amp;INDIRECT(OFFSET(element3,MATCH($C275,resources,0)-1,0))&amp;"-"&amp;INDIRECT(OFFSET(element4,MATCH($C275,resources,0)-1,0))&amp;"-"&amp;INDIRECT(OFFSET(element5,MATCH($C275,resources,0)-1,0))&amp;IF(OFFSET(element6,MATCH($C275,resources,0)-1,0)="","","-"&amp;INDIRECT(OFFSET(element6,MATCH($C275,resources,0)-1,0)))&amp;IF(abbrAtEnd,"-"&amp;L275,"")</f>
        <v>#N/A</v>
      </c>
      <c r="N275" s="4" t="str">
        <f t="shared" si="29"/>
        <v>-000</v>
      </c>
      <c r="O275" s="4">
        <f ca="1">IF(totalElements+COUNTIF(Entities!$C$10,"*")+COUNTIF(B275:C275,"*")+COUNTIF(E275:F275,"*")=9,1,0)</f>
        <v>0</v>
      </c>
      <c r="P275" s="4">
        <f>COUNTIF($C$6:C275,C275)</f>
        <v>0</v>
      </c>
      <c r="Q275" s="4">
        <f ca="1">IF(ISNA(M275),0,COUNTIF($M$6:M275,M275))</f>
        <v>0</v>
      </c>
      <c r="R275" s="4" t="e">
        <f t="shared" ca="1" si="28"/>
        <v>#N/A</v>
      </c>
      <c r="S275" s="4">
        <f ca="1">IF(ISNA(M275),0,COUNTIF($R$6:R275,R275))</f>
        <v>0</v>
      </c>
      <c r="T275" s="4" t="e">
        <f t="shared" ca="1" si="27"/>
        <v>#N/A</v>
      </c>
    </row>
    <row r="276" spans="2:20" x14ac:dyDescent="0.3">
      <c r="B276" s="48"/>
      <c r="C276" s="48"/>
      <c r="D276" s="10" t="str">
        <f t="shared" ca="1" si="24"/>
        <v/>
      </c>
      <c r="E276" s="48"/>
      <c r="F276" s="48"/>
      <c r="G276" s="10" t="str">
        <f t="shared" ca="1" si="30"/>
        <v/>
      </c>
      <c r="I276" s="10" t="str">
        <f t="shared" ca="1" si="25"/>
        <v/>
      </c>
      <c r="K276" s="4" t="e">
        <f t="shared" ca="1" si="26"/>
        <v>#N/A</v>
      </c>
      <c r="L276" s="4" t="e">
        <f>VLOOKUP(C276,_resources!B:D,3,0)</f>
        <v>#N/A</v>
      </c>
      <c r="M276" s="4" t="e" cm="1">
        <f t="array" aca="1" ref="M276" ca="1">IF(abbrAtEnd,"",L276&amp;"-")&amp;E276&amp;"-"&amp;INDIRECT(OFFSET(element3,MATCH($C276,resources,0)-1,0))&amp;"-"&amp;INDIRECT(OFFSET(element4,MATCH($C276,resources,0)-1,0))&amp;"-"&amp;INDIRECT(OFFSET(element5,MATCH($C276,resources,0)-1,0))&amp;IF(OFFSET(element6,MATCH($C276,resources,0)-1,0)="","","-"&amp;INDIRECT(OFFSET(element6,MATCH($C276,resources,0)-1,0)))&amp;IF(abbrAtEnd,"-"&amp;L276,"")</f>
        <v>#N/A</v>
      </c>
      <c r="N276" s="4" t="str">
        <f t="shared" si="29"/>
        <v>-000</v>
      </c>
      <c r="O276" s="4">
        <f ca="1">IF(totalElements+COUNTIF(Entities!$C$10,"*")+COUNTIF(B276:C276,"*")+COUNTIF(E276:F276,"*")=9,1,0)</f>
        <v>0</v>
      </c>
      <c r="P276" s="4">
        <f>COUNTIF($C$6:C276,C276)</f>
        <v>0</v>
      </c>
      <c r="Q276" s="4">
        <f ca="1">IF(ISNA(M276),0,COUNTIF($M$6:M276,M276))</f>
        <v>0</v>
      </c>
      <c r="R276" s="4" t="e">
        <f t="shared" ca="1" si="28"/>
        <v>#N/A</v>
      </c>
      <c r="S276" s="4">
        <f ca="1">IF(ISNA(M276),0,COUNTIF($R$6:R276,R276))</f>
        <v>0</v>
      </c>
      <c r="T276" s="4" t="e">
        <f t="shared" ca="1" si="27"/>
        <v>#N/A</v>
      </c>
    </row>
    <row r="277" spans="2:20" x14ac:dyDescent="0.3">
      <c r="B277" s="48"/>
      <c r="C277" s="48"/>
      <c r="D277" s="10" t="str">
        <f t="shared" ca="1" si="24"/>
        <v/>
      </c>
      <c r="E277" s="48"/>
      <c r="F277" s="48"/>
      <c r="G277" s="10" t="str">
        <f t="shared" ca="1" si="30"/>
        <v/>
      </c>
      <c r="I277" s="10" t="str">
        <f t="shared" ca="1" si="25"/>
        <v/>
      </c>
      <c r="K277" s="4" t="e">
        <f t="shared" ca="1" si="26"/>
        <v>#N/A</v>
      </c>
      <c r="L277" s="4" t="e">
        <f>VLOOKUP(C277,_resources!B:D,3,0)</f>
        <v>#N/A</v>
      </c>
      <c r="M277" s="4" t="e" cm="1">
        <f t="array" aca="1" ref="M277" ca="1">IF(abbrAtEnd,"",L277&amp;"-")&amp;E277&amp;"-"&amp;INDIRECT(OFFSET(element3,MATCH($C277,resources,0)-1,0))&amp;"-"&amp;INDIRECT(OFFSET(element4,MATCH($C277,resources,0)-1,0))&amp;"-"&amp;INDIRECT(OFFSET(element5,MATCH($C277,resources,0)-1,0))&amp;IF(OFFSET(element6,MATCH($C277,resources,0)-1,0)="","","-"&amp;INDIRECT(OFFSET(element6,MATCH($C277,resources,0)-1,0)))&amp;IF(abbrAtEnd,"-"&amp;L277,"")</f>
        <v>#N/A</v>
      </c>
      <c r="N277" s="4" t="str">
        <f t="shared" si="29"/>
        <v>-000</v>
      </c>
      <c r="O277" s="4">
        <f ca="1">IF(totalElements+COUNTIF(Entities!$C$10,"*")+COUNTIF(B277:C277,"*")+COUNTIF(E277:F277,"*")=9,1,0)</f>
        <v>0</v>
      </c>
      <c r="P277" s="4">
        <f>COUNTIF($C$6:C277,C277)</f>
        <v>0</v>
      </c>
      <c r="Q277" s="4">
        <f ca="1">IF(ISNA(M277),0,COUNTIF($M$6:M277,M277))</f>
        <v>0</v>
      </c>
      <c r="R277" s="4" t="e">
        <f t="shared" ca="1" si="28"/>
        <v>#N/A</v>
      </c>
      <c r="S277" s="4">
        <f ca="1">IF(ISNA(M277),0,COUNTIF($R$6:R277,R277))</f>
        <v>0</v>
      </c>
      <c r="T277" s="4" t="e">
        <f t="shared" ca="1" si="27"/>
        <v>#N/A</v>
      </c>
    </row>
    <row r="278" spans="2:20" x14ac:dyDescent="0.3">
      <c r="B278" s="48"/>
      <c r="C278" s="48"/>
      <c r="D278" s="10" t="str">
        <f t="shared" ca="1" si="24"/>
        <v/>
      </c>
      <c r="E278" s="48"/>
      <c r="F278" s="48"/>
      <c r="G278" s="10" t="str">
        <f t="shared" ca="1" si="30"/>
        <v/>
      </c>
      <c r="I278" s="10" t="str">
        <f t="shared" ca="1" si="25"/>
        <v/>
      </c>
      <c r="K278" s="4" t="e">
        <f t="shared" ca="1" si="26"/>
        <v>#N/A</v>
      </c>
      <c r="L278" s="4" t="e">
        <f>VLOOKUP(C278,_resources!B:D,3,0)</f>
        <v>#N/A</v>
      </c>
      <c r="M278" s="4" t="e" cm="1">
        <f t="array" aca="1" ref="M278" ca="1">IF(abbrAtEnd,"",L278&amp;"-")&amp;E278&amp;"-"&amp;INDIRECT(OFFSET(element3,MATCH($C278,resources,0)-1,0))&amp;"-"&amp;INDIRECT(OFFSET(element4,MATCH($C278,resources,0)-1,0))&amp;"-"&amp;INDIRECT(OFFSET(element5,MATCH($C278,resources,0)-1,0))&amp;IF(OFFSET(element6,MATCH($C278,resources,0)-1,0)="","","-"&amp;INDIRECT(OFFSET(element6,MATCH($C278,resources,0)-1,0)))&amp;IF(abbrAtEnd,"-"&amp;L278,"")</f>
        <v>#N/A</v>
      </c>
      <c r="N278" s="4" t="str">
        <f t="shared" si="29"/>
        <v>-000</v>
      </c>
      <c r="O278" s="4">
        <f ca="1">IF(totalElements+COUNTIF(Entities!$C$10,"*")+COUNTIF(B278:C278,"*")+COUNTIF(E278:F278,"*")=9,1,0)</f>
        <v>0</v>
      </c>
      <c r="P278" s="4">
        <f>COUNTIF($C$6:C278,C278)</f>
        <v>0</v>
      </c>
      <c r="Q278" s="4">
        <f ca="1">IF(ISNA(M278),0,COUNTIF($M$6:M278,M278))</f>
        <v>0</v>
      </c>
      <c r="R278" s="4" t="e">
        <f t="shared" ca="1" si="28"/>
        <v>#N/A</v>
      </c>
      <c r="S278" s="4">
        <f ca="1">IF(ISNA(M278),0,COUNTIF($R$6:R278,R278))</f>
        <v>0</v>
      </c>
      <c r="T278" s="4" t="e">
        <f t="shared" ca="1" si="27"/>
        <v>#N/A</v>
      </c>
    </row>
    <row r="279" spans="2:20" x14ac:dyDescent="0.3">
      <c r="B279" s="48"/>
      <c r="C279" s="48"/>
      <c r="D279" s="10" t="str">
        <f t="shared" ca="1" si="24"/>
        <v/>
      </c>
      <c r="E279" s="48"/>
      <c r="F279" s="48"/>
      <c r="G279" s="10" t="str">
        <f t="shared" ca="1" si="30"/>
        <v/>
      </c>
      <c r="I279" s="10" t="str">
        <f t="shared" ca="1" si="25"/>
        <v/>
      </c>
      <c r="K279" s="4" t="e">
        <f t="shared" ca="1" si="26"/>
        <v>#N/A</v>
      </c>
      <c r="L279" s="4" t="e">
        <f>VLOOKUP(C279,_resources!B:D,3,0)</f>
        <v>#N/A</v>
      </c>
      <c r="M279" s="4" t="e" cm="1">
        <f t="array" aca="1" ref="M279" ca="1">IF(abbrAtEnd,"",L279&amp;"-")&amp;E279&amp;"-"&amp;INDIRECT(OFFSET(element3,MATCH($C279,resources,0)-1,0))&amp;"-"&amp;INDIRECT(OFFSET(element4,MATCH($C279,resources,0)-1,0))&amp;"-"&amp;INDIRECT(OFFSET(element5,MATCH($C279,resources,0)-1,0))&amp;IF(OFFSET(element6,MATCH($C279,resources,0)-1,0)="","","-"&amp;INDIRECT(OFFSET(element6,MATCH($C279,resources,0)-1,0)))&amp;IF(abbrAtEnd,"-"&amp;L279,"")</f>
        <v>#N/A</v>
      </c>
      <c r="N279" s="4" t="str">
        <f t="shared" si="29"/>
        <v>-000</v>
      </c>
      <c r="O279" s="4">
        <f ca="1">IF(totalElements+COUNTIF(Entities!$C$10,"*")+COUNTIF(B279:C279,"*")+COUNTIF(E279:F279,"*")=9,1,0)</f>
        <v>0</v>
      </c>
      <c r="P279" s="4">
        <f>COUNTIF($C$6:C279,C279)</f>
        <v>0</v>
      </c>
      <c r="Q279" s="4">
        <f ca="1">IF(ISNA(M279),0,COUNTIF($M$6:M279,M279))</f>
        <v>0</v>
      </c>
      <c r="R279" s="4" t="e">
        <f t="shared" ca="1" si="28"/>
        <v>#N/A</v>
      </c>
      <c r="S279" s="4">
        <f ca="1">IF(ISNA(M279),0,COUNTIF($R$6:R279,R279))</f>
        <v>0</v>
      </c>
      <c r="T279" s="4" t="e">
        <f t="shared" ca="1" si="27"/>
        <v>#N/A</v>
      </c>
    </row>
    <row r="280" spans="2:20" x14ac:dyDescent="0.3">
      <c r="B280" s="48"/>
      <c r="C280" s="48"/>
      <c r="D280" s="10" t="str">
        <f t="shared" ca="1" si="24"/>
        <v/>
      </c>
      <c r="E280" s="48"/>
      <c r="F280" s="48"/>
      <c r="G280" s="10" t="str">
        <f t="shared" ca="1" si="30"/>
        <v/>
      </c>
      <c r="I280" s="10" t="str">
        <f t="shared" ca="1" si="25"/>
        <v/>
      </c>
      <c r="K280" s="4" t="e">
        <f t="shared" ca="1" si="26"/>
        <v>#N/A</v>
      </c>
      <c r="L280" s="4" t="e">
        <f>VLOOKUP(C280,_resources!B:D,3,0)</f>
        <v>#N/A</v>
      </c>
      <c r="M280" s="4" t="e" cm="1">
        <f t="array" aca="1" ref="M280" ca="1">IF(abbrAtEnd,"",L280&amp;"-")&amp;E280&amp;"-"&amp;INDIRECT(OFFSET(element3,MATCH($C280,resources,0)-1,0))&amp;"-"&amp;INDIRECT(OFFSET(element4,MATCH($C280,resources,0)-1,0))&amp;"-"&amp;INDIRECT(OFFSET(element5,MATCH($C280,resources,0)-1,0))&amp;IF(OFFSET(element6,MATCH($C280,resources,0)-1,0)="","","-"&amp;INDIRECT(OFFSET(element6,MATCH($C280,resources,0)-1,0)))&amp;IF(abbrAtEnd,"-"&amp;L280,"")</f>
        <v>#N/A</v>
      </c>
      <c r="N280" s="4" t="str">
        <f t="shared" si="29"/>
        <v>-000</v>
      </c>
      <c r="O280" s="4">
        <f ca="1">IF(totalElements+COUNTIF(Entities!$C$10,"*")+COUNTIF(B280:C280,"*")+COUNTIF(E280:F280,"*")=9,1,0)</f>
        <v>0</v>
      </c>
      <c r="P280" s="4">
        <f>COUNTIF($C$6:C280,C280)</f>
        <v>0</v>
      </c>
      <c r="Q280" s="4">
        <f ca="1">IF(ISNA(M280),0,COUNTIF($M$6:M280,M280))</f>
        <v>0</v>
      </c>
      <c r="R280" s="4" t="e">
        <f t="shared" ca="1" si="28"/>
        <v>#N/A</v>
      </c>
      <c r="S280" s="4">
        <f ca="1">IF(ISNA(M280),0,COUNTIF($R$6:R280,R280))</f>
        <v>0</v>
      </c>
      <c r="T280" s="4" t="e">
        <f t="shared" ca="1" si="27"/>
        <v>#N/A</v>
      </c>
    </row>
    <row r="281" spans="2:20" x14ac:dyDescent="0.3">
      <c r="B281" s="48"/>
      <c r="C281" s="48"/>
      <c r="D281" s="10" t="str">
        <f t="shared" ca="1" si="24"/>
        <v/>
      </c>
      <c r="E281" s="48"/>
      <c r="F281" s="48"/>
      <c r="G281" s="10" t="str">
        <f t="shared" ca="1" si="30"/>
        <v/>
      </c>
      <c r="I281" s="10" t="str">
        <f t="shared" ca="1" si="25"/>
        <v/>
      </c>
      <c r="K281" s="4" t="e">
        <f t="shared" ca="1" si="26"/>
        <v>#N/A</v>
      </c>
      <c r="L281" s="4" t="e">
        <f>VLOOKUP(C281,_resources!B:D,3,0)</f>
        <v>#N/A</v>
      </c>
      <c r="M281" s="4" t="e" cm="1">
        <f t="array" aca="1" ref="M281" ca="1">IF(abbrAtEnd,"",L281&amp;"-")&amp;E281&amp;"-"&amp;INDIRECT(OFFSET(element3,MATCH($C281,resources,0)-1,0))&amp;"-"&amp;INDIRECT(OFFSET(element4,MATCH($C281,resources,0)-1,0))&amp;"-"&amp;INDIRECT(OFFSET(element5,MATCH($C281,resources,0)-1,0))&amp;IF(OFFSET(element6,MATCH($C281,resources,0)-1,0)="","","-"&amp;INDIRECT(OFFSET(element6,MATCH($C281,resources,0)-1,0)))&amp;IF(abbrAtEnd,"-"&amp;L281,"")</f>
        <v>#N/A</v>
      </c>
      <c r="N281" s="4" t="str">
        <f t="shared" si="29"/>
        <v>-000</v>
      </c>
      <c r="O281" s="4">
        <f ca="1">IF(totalElements+COUNTIF(Entities!$C$10,"*")+COUNTIF(B281:C281,"*")+COUNTIF(E281:F281,"*")=9,1,0)</f>
        <v>0</v>
      </c>
      <c r="P281" s="4">
        <f>COUNTIF($C$6:C281,C281)</f>
        <v>0</v>
      </c>
      <c r="Q281" s="4">
        <f ca="1">IF(ISNA(M281),0,COUNTIF($M$6:M281,M281))</f>
        <v>0</v>
      </c>
      <c r="R281" s="4" t="e">
        <f t="shared" ca="1" si="28"/>
        <v>#N/A</v>
      </c>
      <c r="S281" s="4">
        <f ca="1">IF(ISNA(M281),0,COUNTIF($R$6:R281,R281))</f>
        <v>0</v>
      </c>
      <c r="T281" s="4" t="e">
        <f t="shared" ca="1" si="27"/>
        <v>#N/A</v>
      </c>
    </row>
    <row r="282" spans="2:20" x14ac:dyDescent="0.3">
      <c r="B282" s="48"/>
      <c r="C282" s="48"/>
      <c r="D282" s="10" t="str">
        <f t="shared" ca="1" si="24"/>
        <v/>
      </c>
      <c r="E282" s="48"/>
      <c r="F282" s="48"/>
      <c r="G282" s="10" t="str">
        <f t="shared" ca="1" si="30"/>
        <v/>
      </c>
      <c r="I282" s="10" t="str">
        <f t="shared" ca="1" si="25"/>
        <v/>
      </c>
      <c r="K282" s="4" t="e">
        <f t="shared" ca="1" si="26"/>
        <v>#N/A</v>
      </c>
      <c r="L282" s="4" t="e">
        <f>VLOOKUP(C282,_resources!B:D,3,0)</f>
        <v>#N/A</v>
      </c>
      <c r="M282" s="4" t="e" cm="1">
        <f t="array" aca="1" ref="M282" ca="1">IF(abbrAtEnd,"",L282&amp;"-")&amp;E282&amp;"-"&amp;INDIRECT(OFFSET(element3,MATCH($C282,resources,0)-1,0))&amp;"-"&amp;INDIRECT(OFFSET(element4,MATCH($C282,resources,0)-1,0))&amp;"-"&amp;INDIRECT(OFFSET(element5,MATCH($C282,resources,0)-1,0))&amp;IF(OFFSET(element6,MATCH($C282,resources,0)-1,0)="","","-"&amp;INDIRECT(OFFSET(element6,MATCH($C282,resources,0)-1,0)))&amp;IF(abbrAtEnd,"-"&amp;L282,"")</f>
        <v>#N/A</v>
      </c>
      <c r="N282" s="4" t="str">
        <f t="shared" si="29"/>
        <v>-000</v>
      </c>
      <c r="O282" s="4">
        <f ca="1">IF(totalElements+COUNTIF(Entities!$C$10,"*")+COUNTIF(B282:C282,"*")+COUNTIF(E282:F282,"*")=9,1,0)</f>
        <v>0</v>
      </c>
      <c r="P282" s="4">
        <f>COUNTIF($C$6:C282,C282)</f>
        <v>0</v>
      </c>
      <c r="Q282" s="4">
        <f ca="1">IF(ISNA(M282),0,COUNTIF($M$6:M282,M282))</f>
        <v>0</v>
      </c>
      <c r="R282" s="4" t="e">
        <f t="shared" ca="1" si="28"/>
        <v>#N/A</v>
      </c>
      <c r="S282" s="4">
        <f ca="1">IF(ISNA(M282),0,COUNTIF($R$6:R282,R282))</f>
        <v>0</v>
      </c>
      <c r="T282" s="4" t="e">
        <f t="shared" ca="1" si="27"/>
        <v>#N/A</v>
      </c>
    </row>
    <row r="283" spans="2:20" x14ac:dyDescent="0.3">
      <c r="B283" s="48"/>
      <c r="C283" s="48"/>
      <c r="D283" s="10" t="str">
        <f t="shared" ca="1" si="24"/>
        <v/>
      </c>
      <c r="E283" s="48"/>
      <c r="F283" s="48"/>
      <c r="G283" s="10" t="str">
        <f t="shared" ca="1" si="30"/>
        <v/>
      </c>
      <c r="I283" s="10" t="str">
        <f t="shared" ca="1" si="25"/>
        <v/>
      </c>
      <c r="K283" s="4" t="e">
        <f t="shared" ca="1" si="26"/>
        <v>#N/A</v>
      </c>
      <c r="L283" s="4" t="e">
        <f>VLOOKUP(C283,_resources!B:D,3,0)</f>
        <v>#N/A</v>
      </c>
      <c r="M283" s="4" t="e" cm="1">
        <f t="array" aca="1" ref="M283" ca="1">IF(abbrAtEnd,"",L283&amp;"-")&amp;E283&amp;"-"&amp;INDIRECT(OFFSET(element3,MATCH($C283,resources,0)-1,0))&amp;"-"&amp;INDIRECT(OFFSET(element4,MATCH($C283,resources,0)-1,0))&amp;"-"&amp;INDIRECT(OFFSET(element5,MATCH($C283,resources,0)-1,0))&amp;IF(OFFSET(element6,MATCH($C283,resources,0)-1,0)="","","-"&amp;INDIRECT(OFFSET(element6,MATCH($C283,resources,0)-1,0)))&amp;IF(abbrAtEnd,"-"&amp;L283,"")</f>
        <v>#N/A</v>
      </c>
      <c r="N283" s="4" t="str">
        <f t="shared" si="29"/>
        <v>-000</v>
      </c>
      <c r="O283" s="4">
        <f ca="1">IF(totalElements+COUNTIF(Entities!$C$10,"*")+COUNTIF(B283:C283,"*")+COUNTIF(E283:F283,"*")=9,1,0)</f>
        <v>0</v>
      </c>
      <c r="P283" s="4">
        <f>COUNTIF($C$6:C283,C283)</f>
        <v>0</v>
      </c>
      <c r="Q283" s="4">
        <f ca="1">IF(ISNA(M283),0,COUNTIF($M$6:M283,M283))</f>
        <v>0</v>
      </c>
      <c r="R283" s="4" t="e">
        <f t="shared" ca="1" si="28"/>
        <v>#N/A</v>
      </c>
      <c r="S283" s="4">
        <f ca="1">IF(ISNA(M283),0,COUNTIF($R$6:R283,R283))</f>
        <v>0</v>
      </c>
      <c r="T283" s="4" t="e">
        <f t="shared" ca="1" si="27"/>
        <v>#N/A</v>
      </c>
    </row>
    <row r="284" spans="2:20" x14ac:dyDescent="0.3">
      <c r="B284" s="48"/>
      <c r="C284" s="48"/>
      <c r="D284" s="10" t="str">
        <f t="shared" ca="1" si="24"/>
        <v/>
      </c>
      <c r="E284" s="48"/>
      <c r="F284" s="48"/>
      <c r="G284" s="10" t="str">
        <f t="shared" ca="1" si="30"/>
        <v/>
      </c>
      <c r="I284" s="10" t="str">
        <f t="shared" ca="1" si="25"/>
        <v/>
      </c>
      <c r="K284" s="4" t="e">
        <f t="shared" ca="1" si="26"/>
        <v>#N/A</v>
      </c>
      <c r="L284" s="4" t="e">
        <f>VLOOKUP(C284,_resources!B:D,3,0)</f>
        <v>#N/A</v>
      </c>
      <c r="M284" s="4" t="e" cm="1">
        <f t="array" aca="1" ref="M284" ca="1">IF(abbrAtEnd,"",L284&amp;"-")&amp;E284&amp;"-"&amp;INDIRECT(OFFSET(element3,MATCH($C284,resources,0)-1,0))&amp;"-"&amp;INDIRECT(OFFSET(element4,MATCH($C284,resources,0)-1,0))&amp;"-"&amp;INDIRECT(OFFSET(element5,MATCH($C284,resources,0)-1,0))&amp;IF(OFFSET(element6,MATCH($C284,resources,0)-1,0)="","","-"&amp;INDIRECT(OFFSET(element6,MATCH($C284,resources,0)-1,0)))&amp;IF(abbrAtEnd,"-"&amp;L284,"")</f>
        <v>#N/A</v>
      </c>
      <c r="N284" s="4" t="str">
        <f t="shared" si="29"/>
        <v>-000</v>
      </c>
      <c r="O284" s="4">
        <f ca="1">IF(totalElements+COUNTIF(Entities!$C$10,"*")+COUNTIF(B284:C284,"*")+COUNTIF(E284:F284,"*")=9,1,0)</f>
        <v>0</v>
      </c>
      <c r="P284" s="4">
        <f>COUNTIF($C$6:C284,C284)</f>
        <v>0</v>
      </c>
      <c r="Q284" s="4">
        <f ca="1">IF(ISNA(M284),0,COUNTIF($M$6:M284,M284))</f>
        <v>0</v>
      </c>
      <c r="R284" s="4" t="e">
        <f t="shared" ca="1" si="28"/>
        <v>#N/A</v>
      </c>
      <c r="S284" s="4">
        <f ca="1">IF(ISNA(M284),0,COUNTIF($R$6:R284,R284))</f>
        <v>0</v>
      </c>
      <c r="T284" s="4" t="e">
        <f t="shared" ca="1" si="27"/>
        <v>#N/A</v>
      </c>
    </row>
    <row r="285" spans="2:20" x14ac:dyDescent="0.3">
      <c r="B285" s="48"/>
      <c r="C285" s="48"/>
      <c r="D285" s="10" t="str">
        <f t="shared" ca="1" si="24"/>
        <v/>
      </c>
      <c r="E285" s="48"/>
      <c r="F285" s="48"/>
      <c r="G285" s="10" t="str">
        <f t="shared" ca="1" si="30"/>
        <v/>
      </c>
      <c r="I285" s="10" t="str">
        <f t="shared" ca="1" si="25"/>
        <v/>
      </c>
      <c r="K285" s="4" t="e">
        <f t="shared" ca="1" si="26"/>
        <v>#N/A</v>
      </c>
      <c r="L285" s="4" t="e">
        <f>VLOOKUP(C285,_resources!B:D,3,0)</f>
        <v>#N/A</v>
      </c>
      <c r="M285" s="4" t="e" cm="1">
        <f t="array" aca="1" ref="M285" ca="1">IF(abbrAtEnd,"",L285&amp;"-")&amp;E285&amp;"-"&amp;INDIRECT(OFFSET(element3,MATCH($C285,resources,0)-1,0))&amp;"-"&amp;INDIRECT(OFFSET(element4,MATCH($C285,resources,0)-1,0))&amp;"-"&amp;INDIRECT(OFFSET(element5,MATCH($C285,resources,0)-1,0))&amp;IF(OFFSET(element6,MATCH($C285,resources,0)-1,0)="","","-"&amp;INDIRECT(OFFSET(element6,MATCH($C285,resources,0)-1,0)))&amp;IF(abbrAtEnd,"-"&amp;L285,"")</f>
        <v>#N/A</v>
      </c>
      <c r="N285" s="4" t="str">
        <f t="shared" si="29"/>
        <v>-000</v>
      </c>
      <c r="O285" s="4">
        <f ca="1">IF(totalElements+COUNTIF(Entities!$C$10,"*")+COUNTIF(B285:C285,"*")+COUNTIF(E285:F285,"*")=9,1,0)</f>
        <v>0</v>
      </c>
      <c r="P285" s="4">
        <f>COUNTIF($C$6:C285,C285)</f>
        <v>0</v>
      </c>
      <c r="Q285" s="4">
        <f ca="1">IF(ISNA(M285),0,COUNTIF($M$6:M285,M285))</f>
        <v>0</v>
      </c>
      <c r="R285" s="4" t="e">
        <f t="shared" ca="1" si="28"/>
        <v>#N/A</v>
      </c>
      <c r="S285" s="4">
        <f ca="1">IF(ISNA(M285),0,COUNTIF($R$6:R285,R285))</f>
        <v>0</v>
      </c>
      <c r="T285" s="4" t="e">
        <f t="shared" ca="1" si="27"/>
        <v>#N/A</v>
      </c>
    </row>
    <row r="286" spans="2:20" x14ac:dyDescent="0.3">
      <c r="B286" s="48"/>
      <c r="C286" s="48"/>
      <c r="D286" s="10" t="str">
        <f t="shared" ca="1" si="24"/>
        <v/>
      </c>
      <c r="E286" s="48"/>
      <c r="F286" s="48"/>
      <c r="G286" s="10" t="str">
        <f t="shared" ca="1" si="30"/>
        <v/>
      </c>
      <c r="I286" s="10" t="str">
        <f t="shared" ca="1" si="25"/>
        <v/>
      </c>
      <c r="K286" s="4" t="e">
        <f t="shared" ca="1" si="26"/>
        <v>#N/A</v>
      </c>
      <c r="L286" s="4" t="e">
        <f>VLOOKUP(C286,_resources!B:D,3,0)</f>
        <v>#N/A</v>
      </c>
      <c r="M286" s="4" t="e" cm="1">
        <f t="array" aca="1" ref="M286" ca="1">IF(abbrAtEnd,"",L286&amp;"-")&amp;E286&amp;"-"&amp;INDIRECT(OFFSET(element3,MATCH($C286,resources,0)-1,0))&amp;"-"&amp;INDIRECT(OFFSET(element4,MATCH($C286,resources,0)-1,0))&amp;"-"&amp;INDIRECT(OFFSET(element5,MATCH($C286,resources,0)-1,0))&amp;IF(OFFSET(element6,MATCH($C286,resources,0)-1,0)="","","-"&amp;INDIRECT(OFFSET(element6,MATCH($C286,resources,0)-1,0)))&amp;IF(abbrAtEnd,"-"&amp;L286,"")</f>
        <v>#N/A</v>
      </c>
      <c r="N286" s="4" t="str">
        <f t="shared" si="29"/>
        <v>-000</v>
      </c>
      <c r="O286" s="4">
        <f ca="1">IF(totalElements+COUNTIF(Entities!$C$10,"*")+COUNTIF(B286:C286,"*")+COUNTIF(E286:F286,"*")=9,1,0)</f>
        <v>0</v>
      </c>
      <c r="P286" s="4">
        <f>COUNTIF($C$6:C286,C286)</f>
        <v>0</v>
      </c>
      <c r="Q286" s="4">
        <f ca="1">IF(ISNA(M286),0,COUNTIF($M$6:M286,M286))</f>
        <v>0</v>
      </c>
      <c r="R286" s="4" t="e">
        <f t="shared" ca="1" si="28"/>
        <v>#N/A</v>
      </c>
      <c r="S286" s="4">
        <f ca="1">IF(ISNA(M286),0,COUNTIF($R$6:R286,R286))</f>
        <v>0</v>
      </c>
      <c r="T286" s="4" t="e">
        <f t="shared" ca="1" si="27"/>
        <v>#N/A</v>
      </c>
    </row>
    <row r="287" spans="2:20" x14ac:dyDescent="0.3">
      <c r="B287" s="48"/>
      <c r="C287" s="48"/>
      <c r="D287" s="10" t="str">
        <f t="shared" ca="1" si="24"/>
        <v/>
      </c>
      <c r="E287" s="48"/>
      <c r="F287" s="48"/>
      <c r="G287" s="10" t="str">
        <f t="shared" ca="1" si="30"/>
        <v/>
      </c>
      <c r="I287" s="10" t="str">
        <f t="shared" ca="1" si="25"/>
        <v/>
      </c>
      <c r="K287" s="4" t="e">
        <f t="shared" ca="1" si="26"/>
        <v>#N/A</v>
      </c>
      <c r="L287" s="4" t="e">
        <f>VLOOKUP(C287,_resources!B:D,3,0)</f>
        <v>#N/A</v>
      </c>
      <c r="M287" s="4" t="e" cm="1">
        <f t="array" aca="1" ref="M287" ca="1">IF(abbrAtEnd,"",L287&amp;"-")&amp;E287&amp;"-"&amp;INDIRECT(OFFSET(element3,MATCH($C287,resources,0)-1,0))&amp;"-"&amp;INDIRECT(OFFSET(element4,MATCH($C287,resources,0)-1,0))&amp;"-"&amp;INDIRECT(OFFSET(element5,MATCH($C287,resources,0)-1,0))&amp;IF(OFFSET(element6,MATCH($C287,resources,0)-1,0)="","","-"&amp;INDIRECT(OFFSET(element6,MATCH($C287,resources,0)-1,0)))&amp;IF(abbrAtEnd,"-"&amp;L287,"")</f>
        <v>#N/A</v>
      </c>
      <c r="N287" s="4" t="str">
        <f t="shared" si="29"/>
        <v>-000</v>
      </c>
      <c r="O287" s="4">
        <f ca="1">IF(totalElements+COUNTIF(Entities!$C$10,"*")+COUNTIF(B287:C287,"*")+COUNTIF(E287:F287,"*")=9,1,0)</f>
        <v>0</v>
      </c>
      <c r="P287" s="4">
        <f>COUNTIF($C$6:C287,C287)</f>
        <v>0</v>
      </c>
      <c r="Q287" s="4">
        <f ca="1">IF(ISNA(M287),0,COUNTIF($M$6:M287,M287))</f>
        <v>0</v>
      </c>
      <c r="R287" s="4" t="e">
        <f t="shared" ca="1" si="28"/>
        <v>#N/A</v>
      </c>
      <c r="S287" s="4">
        <f ca="1">IF(ISNA(M287),0,COUNTIF($R$6:R287,R287))</f>
        <v>0</v>
      </c>
      <c r="T287" s="4" t="e">
        <f t="shared" ca="1" si="27"/>
        <v>#N/A</v>
      </c>
    </row>
    <row r="288" spans="2:20" x14ac:dyDescent="0.3">
      <c r="B288" s="48"/>
      <c r="C288" s="48"/>
      <c r="D288" s="10" t="str">
        <f t="shared" ca="1" si="24"/>
        <v/>
      </c>
      <c r="E288" s="48"/>
      <c r="F288" s="48"/>
      <c r="G288" s="10" t="str">
        <f t="shared" ca="1" si="30"/>
        <v/>
      </c>
      <c r="I288" s="10" t="str">
        <f t="shared" ca="1" si="25"/>
        <v/>
      </c>
      <c r="K288" s="4" t="e">
        <f t="shared" ca="1" si="26"/>
        <v>#N/A</v>
      </c>
      <c r="L288" s="4" t="e">
        <f>VLOOKUP(C288,_resources!B:D,3,0)</f>
        <v>#N/A</v>
      </c>
      <c r="M288" s="4" t="e" cm="1">
        <f t="array" aca="1" ref="M288" ca="1">IF(abbrAtEnd,"",L288&amp;"-")&amp;E288&amp;"-"&amp;INDIRECT(OFFSET(element3,MATCH($C288,resources,0)-1,0))&amp;"-"&amp;INDIRECT(OFFSET(element4,MATCH($C288,resources,0)-1,0))&amp;"-"&amp;INDIRECT(OFFSET(element5,MATCH($C288,resources,0)-1,0))&amp;IF(OFFSET(element6,MATCH($C288,resources,0)-1,0)="","","-"&amp;INDIRECT(OFFSET(element6,MATCH($C288,resources,0)-1,0)))&amp;IF(abbrAtEnd,"-"&amp;L288,"")</f>
        <v>#N/A</v>
      </c>
      <c r="N288" s="4" t="str">
        <f t="shared" si="29"/>
        <v>-000</v>
      </c>
      <c r="O288" s="4">
        <f ca="1">IF(totalElements+COUNTIF(Entities!$C$10,"*")+COUNTIF(B288:C288,"*")+COUNTIF(E288:F288,"*")=9,1,0)</f>
        <v>0</v>
      </c>
      <c r="P288" s="4">
        <f>COUNTIF($C$6:C288,C288)</f>
        <v>0</v>
      </c>
      <c r="Q288" s="4">
        <f ca="1">IF(ISNA(M288),0,COUNTIF($M$6:M288,M288))</f>
        <v>0</v>
      </c>
      <c r="R288" s="4" t="e">
        <f t="shared" ca="1" si="28"/>
        <v>#N/A</v>
      </c>
      <c r="S288" s="4">
        <f ca="1">IF(ISNA(M288),0,COUNTIF($R$6:R288,R288))</f>
        <v>0</v>
      </c>
      <c r="T288" s="4" t="e">
        <f t="shared" ca="1" si="27"/>
        <v>#N/A</v>
      </c>
    </row>
    <row r="289" spans="2:20" x14ac:dyDescent="0.3">
      <c r="B289" s="48"/>
      <c r="C289" s="48"/>
      <c r="D289" s="10" t="str">
        <f t="shared" ca="1" si="24"/>
        <v/>
      </c>
      <c r="E289" s="48"/>
      <c r="F289" s="48"/>
      <c r="G289" s="10" t="str">
        <f t="shared" ca="1" si="30"/>
        <v/>
      </c>
      <c r="I289" s="10" t="str">
        <f t="shared" ca="1" si="25"/>
        <v/>
      </c>
      <c r="K289" s="4" t="e">
        <f t="shared" ca="1" si="26"/>
        <v>#N/A</v>
      </c>
      <c r="L289" s="4" t="e">
        <f>VLOOKUP(C289,_resources!B:D,3,0)</f>
        <v>#N/A</v>
      </c>
      <c r="M289" s="4" t="e" cm="1">
        <f t="array" aca="1" ref="M289" ca="1">IF(abbrAtEnd,"",L289&amp;"-")&amp;E289&amp;"-"&amp;INDIRECT(OFFSET(element3,MATCH($C289,resources,0)-1,0))&amp;"-"&amp;INDIRECT(OFFSET(element4,MATCH($C289,resources,0)-1,0))&amp;"-"&amp;INDIRECT(OFFSET(element5,MATCH($C289,resources,0)-1,0))&amp;IF(OFFSET(element6,MATCH($C289,resources,0)-1,0)="","","-"&amp;INDIRECT(OFFSET(element6,MATCH($C289,resources,0)-1,0)))&amp;IF(abbrAtEnd,"-"&amp;L289,"")</f>
        <v>#N/A</v>
      </c>
      <c r="N289" s="4" t="str">
        <f t="shared" si="29"/>
        <v>-000</v>
      </c>
      <c r="O289" s="4">
        <f ca="1">IF(totalElements+COUNTIF(Entities!$C$10,"*")+COUNTIF(B289:C289,"*")+COUNTIF(E289:F289,"*")=9,1,0)</f>
        <v>0</v>
      </c>
      <c r="P289" s="4">
        <f>COUNTIF($C$6:C289,C289)</f>
        <v>0</v>
      </c>
      <c r="Q289" s="4">
        <f ca="1">IF(ISNA(M289),0,COUNTIF($M$6:M289,M289))</f>
        <v>0</v>
      </c>
      <c r="R289" s="4" t="e">
        <f t="shared" ca="1" si="28"/>
        <v>#N/A</v>
      </c>
      <c r="S289" s="4">
        <f ca="1">IF(ISNA(M289),0,COUNTIF($R$6:R289,R289))</f>
        <v>0</v>
      </c>
      <c r="T289" s="4" t="e">
        <f t="shared" ca="1" si="27"/>
        <v>#N/A</v>
      </c>
    </row>
    <row r="290" spans="2:20" x14ac:dyDescent="0.3">
      <c r="B290" s="48"/>
      <c r="C290" s="48"/>
      <c r="D290" s="10" t="str">
        <f t="shared" ca="1" si="24"/>
        <v/>
      </c>
      <c r="E290" s="48"/>
      <c r="F290" s="48"/>
      <c r="G290" s="10" t="str">
        <f t="shared" ca="1" si="30"/>
        <v/>
      </c>
      <c r="I290" s="10" t="str">
        <f t="shared" ca="1" si="25"/>
        <v/>
      </c>
      <c r="K290" s="4" t="e">
        <f t="shared" ca="1" si="26"/>
        <v>#N/A</v>
      </c>
      <c r="L290" s="4" t="e">
        <f>VLOOKUP(C290,_resources!B:D,3,0)</f>
        <v>#N/A</v>
      </c>
      <c r="M290" s="4" t="e" cm="1">
        <f t="array" aca="1" ref="M290" ca="1">IF(abbrAtEnd,"",L290&amp;"-")&amp;E290&amp;"-"&amp;INDIRECT(OFFSET(element3,MATCH($C290,resources,0)-1,0))&amp;"-"&amp;INDIRECT(OFFSET(element4,MATCH($C290,resources,0)-1,0))&amp;"-"&amp;INDIRECT(OFFSET(element5,MATCH($C290,resources,0)-1,0))&amp;IF(OFFSET(element6,MATCH($C290,resources,0)-1,0)="","","-"&amp;INDIRECT(OFFSET(element6,MATCH($C290,resources,0)-1,0)))&amp;IF(abbrAtEnd,"-"&amp;L290,"")</f>
        <v>#N/A</v>
      </c>
      <c r="N290" s="4" t="str">
        <f t="shared" si="29"/>
        <v>-000</v>
      </c>
      <c r="O290" s="4">
        <f ca="1">IF(totalElements+COUNTIF(Entities!$C$10,"*")+COUNTIF(B290:C290,"*")+COUNTIF(E290:F290,"*")=9,1,0)</f>
        <v>0</v>
      </c>
      <c r="P290" s="4">
        <f>COUNTIF($C$6:C290,C290)</f>
        <v>0</v>
      </c>
      <c r="Q290" s="4">
        <f ca="1">IF(ISNA(M290),0,COUNTIF($M$6:M290,M290))</f>
        <v>0</v>
      </c>
      <c r="R290" s="4" t="e">
        <f t="shared" ca="1" si="28"/>
        <v>#N/A</v>
      </c>
      <c r="S290" s="4">
        <f ca="1">IF(ISNA(M290),0,COUNTIF($R$6:R290,R290))</f>
        <v>0</v>
      </c>
      <c r="T290" s="4" t="e">
        <f t="shared" ca="1" si="27"/>
        <v>#N/A</v>
      </c>
    </row>
    <row r="291" spans="2:20" x14ac:dyDescent="0.3">
      <c r="B291" s="48"/>
      <c r="C291" s="48"/>
      <c r="D291" s="10" t="str">
        <f t="shared" ca="1" si="24"/>
        <v/>
      </c>
      <c r="E291" s="48"/>
      <c r="F291" s="48"/>
      <c r="G291" s="10" t="str">
        <f t="shared" ca="1" si="30"/>
        <v/>
      </c>
      <c r="I291" s="10" t="str">
        <f t="shared" ca="1" si="25"/>
        <v/>
      </c>
      <c r="K291" s="4" t="e">
        <f t="shared" ca="1" si="26"/>
        <v>#N/A</v>
      </c>
      <c r="L291" s="4" t="e">
        <f>VLOOKUP(C291,_resources!B:D,3,0)</f>
        <v>#N/A</v>
      </c>
      <c r="M291" s="4" t="e" cm="1">
        <f t="array" aca="1" ref="M291" ca="1">IF(abbrAtEnd,"",L291&amp;"-")&amp;E291&amp;"-"&amp;INDIRECT(OFFSET(element3,MATCH($C291,resources,0)-1,0))&amp;"-"&amp;INDIRECT(OFFSET(element4,MATCH($C291,resources,0)-1,0))&amp;"-"&amp;INDIRECT(OFFSET(element5,MATCH($C291,resources,0)-1,0))&amp;IF(OFFSET(element6,MATCH($C291,resources,0)-1,0)="","","-"&amp;INDIRECT(OFFSET(element6,MATCH($C291,resources,0)-1,0)))&amp;IF(abbrAtEnd,"-"&amp;L291,"")</f>
        <v>#N/A</v>
      </c>
      <c r="N291" s="4" t="str">
        <f t="shared" si="29"/>
        <v>-000</v>
      </c>
      <c r="O291" s="4">
        <f ca="1">IF(totalElements+COUNTIF(Entities!$C$10,"*")+COUNTIF(B291:C291,"*")+COUNTIF(E291:F291,"*")=9,1,0)</f>
        <v>0</v>
      </c>
      <c r="P291" s="4">
        <f>COUNTIF($C$6:C291,C291)</f>
        <v>0</v>
      </c>
      <c r="Q291" s="4">
        <f ca="1">IF(ISNA(M291),0,COUNTIF($M$6:M291,M291))</f>
        <v>0</v>
      </c>
      <c r="R291" s="4" t="e">
        <f t="shared" ca="1" si="28"/>
        <v>#N/A</v>
      </c>
      <c r="S291" s="4">
        <f ca="1">IF(ISNA(M291),0,COUNTIF($R$6:R291,R291))</f>
        <v>0</v>
      </c>
      <c r="T291" s="4" t="e">
        <f t="shared" ca="1" si="27"/>
        <v>#N/A</v>
      </c>
    </row>
    <row r="292" spans="2:20" x14ac:dyDescent="0.3">
      <c r="B292" s="48"/>
      <c r="C292" s="48"/>
      <c r="D292" s="10" t="str">
        <f t="shared" ca="1" si="24"/>
        <v/>
      </c>
      <c r="E292" s="48"/>
      <c r="F292" s="48"/>
      <c r="G292" s="10" t="str">
        <f t="shared" ca="1" si="30"/>
        <v/>
      </c>
      <c r="I292" s="10" t="str">
        <f t="shared" ca="1" si="25"/>
        <v/>
      </c>
      <c r="K292" s="4" t="e">
        <f t="shared" ca="1" si="26"/>
        <v>#N/A</v>
      </c>
      <c r="L292" s="4" t="e">
        <f>VLOOKUP(C292,_resources!B:D,3,0)</f>
        <v>#N/A</v>
      </c>
      <c r="M292" s="4" t="e" cm="1">
        <f t="array" aca="1" ref="M292" ca="1">IF(abbrAtEnd,"",L292&amp;"-")&amp;E292&amp;"-"&amp;INDIRECT(OFFSET(element3,MATCH($C292,resources,0)-1,0))&amp;"-"&amp;INDIRECT(OFFSET(element4,MATCH($C292,resources,0)-1,0))&amp;"-"&amp;INDIRECT(OFFSET(element5,MATCH($C292,resources,0)-1,0))&amp;IF(OFFSET(element6,MATCH($C292,resources,0)-1,0)="","","-"&amp;INDIRECT(OFFSET(element6,MATCH($C292,resources,0)-1,0)))&amp;IF(abbrAtEnd,"-"&amp;L292,"")</f>
        <v>#N/A</v>
      </c>
      <c r="N292" s="4" t="str">
        <f t="shared" si="29"/>
        <v>-000</v>
      </c>
      <c r="O292" s="4">
        <f ca="1">IF(totalElements+COUNTIF(Entities!$C$10,"*")+COUNTIF(B292:C292,"*")+COUNTIF(E292:F292,"*")=9,1,0)</f>
        <v>0</v>
      </c>
      <c r="P292" s="4">
        <f>COUNTIF($C$6:C292,C292)</f>
        <v>0</v>
      </c>
      <c r="Q292" s="4">
        <f ca="1">IF(ISNA(M292),0,COUNTIF($M$6:M292,M292))</f>
        <v>0</v>
      </c>
      <c r="R292" s="4" t="e">
        <f t="shared" ca="1" si="28"/>
        <v>#N/A</v>
      </c>
      <c r="S292" s="4">
        <f ca="1">IF(ISNA(M292),0,COUNTIF($R$6:R292,R292))</f>
        <v>0</v>
      </c>
      <c r="T292" s="4" t="e">
        <f t="shared" ca="1" si="27"/>
        <v>#N/A</v>
      </c>
    </row>
    <row r="293" spans="2:20" x14ac:dyDescent="0.3">
      <c r="B293" s="48"/>
      <c r="C293" s="48"/>
      <c r="D293" s="10" t="str">
        <f t="shared" ca="1" si="24"/>
        <v/>
      </c>
      <c r="E293" s="48"/>
      <c r="F293" s="48"/>
      <c r="G293" s="10" t="str">
        <f t="shared" ca="1" si="30"/>
        <v/>
      </c>
      <c r="I293" s="10" t="str">
        <f t="shared" ca="1" si="25"/>
        <v/>
      </c>
      <c r="K293" s="4" t="e">
        <f t="shared" ca="1" si="26"/>
        <v>#N/A</v>
      </c>
      <c r="L293" s="4" t="e">
        <f>VLOOKUP(C293,_resources!B:D,3,0)</f>
        <v>#N/A</v>
      </c>
      <c r="M293" s="4" t="e" cm="1">
        <f t="array" aca="1" ref="M293" ca="1">IF(abbrAtEnd,"",L293&amp;"-")&amp;E293&amp;"-"&amp;INDIRECT(OFFSET(element3,MATCH($C293,resources,0)-1,0))&amp;"-"&amp;INDIRECT(OFFSET(element4,MATCH($C293,resources,0)-1,0))&amp;"-"&amp;INDIRECT(OFFSET(element5,MATCH($C293,resources,0)-1,0))&amp;IF(OFFSET(element6,MATCH($C293,resources,0)-1,0)="","","-"&amp;INDIRECT(OFFSET(element6,MATCH($C293,resources,0)-1,0)))&amp;IF(abbrAtEnd,"-"&amp;L293,"")</f>
        <v>#N/A</v>
      </c>
      <c r="N293" s="4" t="str">
        <f t="shared" si="29"/>
        <v>-000</v>
      </c>
      <c r="O293" s="4">
        <f ca="1">IF(totalElements+COUNTIF(Entities!$C$10,"*")+COUNTIF(B293:C293,"*")+COUNTIF(E293:F293,"*")=9,1,0)</f>
        <v>0</v>
      </c>
      <c r="P293" s="4">
        <f>COUNTIF($C$6:C293,C293)</f>
        <v>0</v>
      </c>
      <c r="Q293" s="4">
        <f ca="1">IF(ISNA(M293),0,COUNTIF($M$6:M293,M293))</f>
        <v>0</v>
      </c>
      <c r="R293" s="4" t="e">
        <f t="shared" ca="1" si="28"/>
        <v>#N/A</v>
      </c>
      <c r="S293" s="4">
        <f ca="1">IF(ISNA(M293),0,COUNTIF($R$6:R293,R293))</f>
        <v>0</v>
      </c>
      <c r="T293" s="4" t="e">
        <f t="shared" ca="1" si="27"/>
        <v>#N/A</v>
      </c>
    </row>
    <row r="294" spans="2:20" x14ac:dyDescent="0.3">
      <c r="B294" s="48"/>
      <c r="C294" s="48"/>
      <c r="D294" s="10" t="str">
        <f t="shared" ca="1" si="24"/>
        <v/>
      </c>
      <c r="E294" s="48"/>
      <c r="F294" s="48"/>
      <c r="G294" s="10" t="str">
        <f t="shared" ca="1" si="30"/>
        <v/>
      </c>
      <c r="I294" s="10" t="str">
        <f t="shared" ca="1" si="25"/>
        <v/>
      </c>
      <c r="K294" s="4" t="e">
        <f t="shared" ca="1" si="26"/>
        <v>#N/A</v>
      </c>
      <c r="L294" s="4" t="e">
        <f>VLOOKUP(C294,_resources!B:D,3,0)</f>
        <v>#N/A</v>
      </c>
      <c r="M294" s="4" t="e" cm="1">
        <f t="array" aca="1" ref="M294" ca="1">IF(abbrAtEnd,"",L294&amp;"-")&amp;E294&amp;"-"&amp;INDIRECT(OFFSET(element3,MATCH($C294,resources,0)-1,0))&amp;"-"&amp;INDIRECT(OFFSET(element4,MATCH($C294,resources,0)-1,0))&amp;"-"&amp;INDIRECT(OFFSET(element5,MATCH($C294,resources,0)-1,0))&amp;IF(OFFSET(element6,MATCH($C294,resources,0)-1,0)="","","-"&amp;INDIRECT(OFFSET(element6,MATCH($C294,resources,0)-1,0)))&amp;IF(abbrAtEnd,"-"&amp;L294,"")</f>
        <v>#N/A</v>
      </c>
      <c r="N294" s="4" t="str">
        <f t="shared" si="29"/>
        <v>-000</v>
      </c>
      <c r="O294" s="4">
        <f ca="1">IF(totalElements+COUNTIF(Entities!$C$10,"*")+COUNTIF(B294:C294,"*")+COUNTIF(E294:F294,"*")=9,1,0)</f>
        <v>0</v>
      </c>
      <c r="P294" s="4">
        <f>COUNTIF($C$6:C294,C294)</f>
        <v>0</v>
      </c>
      <c r="Q294" s="4">
        <f ca="1">IF(ISNA(M294),0,COUNTIF($M$6:M294,M294))</f>
        <v>0</v>
      </c>
      <c r="R294" s="4" t="e">
        <f t="shared" ca="1" si="28"/>
        <v>#N/A</v>
      </c>
      <c r="S294" s="4">
        <f ca="1">IF(ISNA(M294),0,COUNTIF($R$6:R294,R294))</f>
        <v>0</v>
      </c>
      <c r="T294" s="4" t="e">
        <f t="shared" ca="1" si="27"/>
        <v>#N/A</v>
      </c>
    </row>
    <row r="295" spans="2:20" x14ac:dyDescent="0.3">
      <c r="B295" s="48"/>
      <c r="C295" s="48"/>
      <c r="D295" s="10" t="str">
        <f t="shared" ca="1" si="24"/>
        <v/>
      </c>
      <c r="E295" s="48"/>
      <c r="F295" s="48"/>
      <c r="G295" s="10" t="str">
        <f t="shared" ca="1" si="30"/>
        <v/>
      </c>
      <c r="I295" s="10" t="str">
        <f t="shared" ca="1" si="25"/>
        <v/>
      </c>
      <c r="K295" s="4" t="e">
        <f t="shared" ca="1" si="26"/>
        <v>#N/A</v>
      </c>
      <c r="L295" s="4" t="e">
        <f>VLOOKUP(C295,_resources!B:D,3,0)</f>
        <v>#N/A</v>
      </c>
      <c r="M295" s="4" t="e" cm="1">
        <f t="array" aca="1" ref="M295" ca="1">IF(abbrAtEnd,"",L295&amp;"-")&amp;E295&amp;"-"&amp;INDIRECT(OFFSET(element3,MATCH($C295,resources,0)-1,0))&amp;"-"&amp;INDIRECT(OFFSET(element4,MATCH($C295,resources,0)-1,0))&amp;"-"&amp;INDIRECT(OFFSET(element5,MATCH($C295,resources,0)-1,0))&amp;IF(OFFSET(element6,MATCH($C295,resources,0)-1,0)="","","-"&amp;INDIRECT(OFFSET(element6,MATCH($C295,resources,0)-1,0)))&amp;IF(abbrAtEnd,"-"&amp;L295,"")</f>
        <v>#N/A</v>
      </c>
      <c r="N295" s="4" t="str">
        <f t="shared" si="29"/>
        <v>-000</v>
      </c>
      <c r="O295" s="4">
        <f ca="1">IF(totalElements+COUNTIF(Entities!$C$10,"*")+COUNTIF(B295:C295,"*")+COUNTIF(E295:F295,"*")=9,1,0)</f>
        <v>0</v>
      </c>
      <c r="P295" s="4">
        <f>COUNTIF($C$6:C295,C295)</f>
        <v>0</v>
      </c>
      <c r="Q295" s="4">
        <f ca="1">IF(ISNA(M295),0,COUNTIF($M$6:M295,M295))</f>
        <v>0</v>
      </c>
      <c r="R295" s="4" t="e">
        <f t="shared" ca="1" si="28"/>
        <v>#N/A</v>
      </c>
      <c r="S295" s="4">
        <f ca="1">IF(ISNA(M295),0,COUNTIF($R$6:R295,R295))</f>
        <v>0</v>
      </c>
      <c r="T295" s="4" t="e">
        <f t="shared" ca="1" si="27"/>
        <v>#N/A</v>
      </c>
    </row>
    <row r="296" spans="2:20" x14ac:dyDescent="0.3">
      <c r="B296" s="48"/>
      <c r="C296" s="48"/>
      <c r="D296" s="10" t="str">
        <f t="shared" ca="1" si="24"/>
        <v/>
      </c>
      <c r="E296" s="48"/>
      <c r="F296" s="48"/>
      <c r="G296" s="10" t="str">
        <f t="shared" ca="1" si="30"/>
        <v/>
      </c>
      <c r="I296" s="10" t="str">
        <f t="shared" ca="1" si="25"/>
        <v/>
      </c>
      <c r="K296" s="4" t="e">
        <f t="shared" ca="1" si="26"/>
        <v>#N/A</v>
      </c>
      <c r="L296" s="4" t="e">
        <f>VLOOKUP(C296,_resources!B:D,3,0)</f>
        <v>#N/A</v>
      </c>
      <c r="M296" s="4" t="e" cm="1">
        <f t="array" aca="1" ref="M296" ca="1">IF(abbrAtEnd,"",L296&amp;"-")&amp;E296&amp;"-"&amp;INDIRECT(OFFSET(element3,MATCH($C296,resources,0)-1,0))&amp;"-"&amp;INDIRECT(OFFSET(element4,MATCH($C296,resources,0)-1,0))&amp;"-"&amp;INDIRECT(OFFSET(element5,MATCH($C296,resources,0)-1,0))&amp;IF(OFFSET(element6,MATCH($C296,resources,0)-1,0)="","","-"&amp;INDIRECT(OFFSET(element6,MATCH($C296,resources,0)-1,0)))&amp;IF(abbrAtEnd,"-"&amp;L296,"")</f>
        <v>#N/A</v>
      </c>
      <c r="N296" s="4" t="str">
        <f t="shared" si="29"/>
        <v>-000</v>
      </c>
      <c r="O296" s="4">
        <f ca="1">IF(totalElements+COUNTIF(Entities!$C$10,"*")+COUNTIF(B296:C296,"*")+COUNTIF(E296:F296,"*")=9,1,0)</f>
        <v>0</v>
      </c>
      <c r="P296" s="4">
        <f>COUNTIF($C$6:C296,C296)</f>
        <v>0</v>
      </c>
      <c r="Q296" s="4">
        <f ca="1">IF(ISNA(M296),0,COUNTIF($M$6:M296,M296))</f>
        <v>0</v>
      </c>
      <c r="R296" s="4" t="e">
        <f t="shared" ca="1" si="28"/>
        <v>#N/A</v>
      </c>
      <c r="S296" s="4">
        <f ca="1">IF(ISNA(M296),0,COUNTIF($R$6:R296,R296))</f>
        <v>0</v>
      </c>
      <c r="T296" s="4" t="e">
        <f t="shared" ca="1" si="27"/>
        <v>#N/A</v>
      </c>
    </row>
    <row r="297" spans="2:20" x14ac:dyDescent="0.3">
      <c r="B297" s="48"/>
      <c r="C297" s="48"/>
      <c r="D297" s="10" t="str">
        <f t="shared" ca="1" si="24"/>
        <v/>
      </c>
      <c r="E297" s="48"/>
      <c r="F297" s="48"/>
      <c r="G297" s="10" t="str">
        <f t="shared" ca="1" si="30"/>
        <v/>
      </c>
      <c r="I297" s="10" t="str">
        <f t="shared" ca="1" si="25"/>
        <v/>
      </c>
      <c r="K297" s="4" t="e">
        <f t="shared" ca="1" si="26"/>
        <v>#N/A</v>
      </c>
      <c r="L297" s="4" t="e">
        <f>VLOOKUP(C297,_resources!B:D,3,0)</f>
        <v>#N/A</v>
      </c>
      <c r="M297" s="4" t="e" cm="1">
        <f t="array" aca="1" ref="M297" ca="1">IF(abbrAtEnd,"",L297&amp;"-")&amp;E297&amp;"-"&amp;INDIRECT(OFFSET(element3,MATCH($C297,resources,0)-1,0))&amp;"-"&amp;INDIRECT(OFFSET(element4,MATCH($C297,resources,0)-1,0))&amp;"-"&amp;INDIRECT(OFFSET(element5,MATCH($C297,resources,0)-1,0))&amp;IF(OFFSET(element6,MATCH($C297,resources,0)-1,0)="","","-"&amp;INDIRECT(OFFSET(element6,MATCH($C297,resources,0)-1,0)))&amp;IF(abbrAtEnd,"-"&amp;L297,"")</f>
        <v>#N/A</v>
      </c>
      <c r="N297" s="4" t="str">
        <f t="shared" si="29"/>
        <v>-000</v>
      </c>
      <c r="O297" s="4">
        <f ca="1">IF(totalElements+COUNTIF(Entities!$C$10,"*")+COUNTIF(B297:C297,"*")+COUNTIF(E297:F297,"*")=9,1,0)</f>
        <v>0</v>
      </c>
      <c r="P297" s="4">
        <f>COUNTIF($C$6:C297,C297)</f>
        <v>0</v>
      </c>
      <c r="Q297" s="4">
        <f ca="1">IF(ISNA(M297),0,COUNTIF($M$6:M297,M297))</f>
        <v>0</v>
      </c>
      <c r="R297" s="4" t="e">
        <f t="shared" ca="1" si="28"/>
        <v>#N/A</v>
      </c>
      <c r="S297" s="4">
        <f ca="1">IF(ISNA(M297),0,COUNTIF($R$6:R297,R297))</f>
        <v>0</v>
      </c>
      <c r="T297" s="4" t="e">
        <f t="shared" ca="1" si="27"/>
        <v>#N/A</v>
      </c>
    </row>
    <row r="298" spans="2:20" x14ac:dyDescent="0.3">
      <c r="B298" s="48"/>
      <c r="C298" s="48"/>
      <c r="D298" s="10" t="str">
        <f t="shared" ca="1" si="24"/>
        <v/>
      </c>
      <c r="E298" s="48"/>
      <c r="F298" s="48"/>
      <c r="G298" s="10" t="str">
        <f t="shared" ca="1" si="30"/>
        <v/>
      </c>
      <c r="I298" s="10" t="str">
        <f t="shared" ca="1" si="25"/>
        <v/>
      </c>
      <c r="K298" s="4" t="e">
        <f t="shared" ca="1" si="26"/>
        <v>#N/A</v>
      </c>
      <c r="L298" s="4" t="e">
        <f>VLOOKUP(C298,_resources!B:D,3,0)</f>
        <v>#N/A</v>
      </c>
      <c r="M298" s="4" t="e" cm="1">
        <f t="array" aca="1" ref="M298" ca="1">IF(abbrAtEnd,"",L298&amp;"-")&amp;E298&amp;"-"&amp;INDIRECT(OFFSET(element3,MATCH($C298,resources,0)-1,0))&amp;"-"&amp;INDIRECT(OFFSET(element4,MATCH($C298,resources,0)-1,0))&amp;"-"&amp;INDIRECT(OFFSET(element5,MATCH($C298,resources,0)-1,0))&amp;IF(OFFSET(element6,MATCH($C298,resources,0)-1,0)="","","-"&amp;INDIRECT(OFFSET(element6,MATCH($C298,resources,0)-1,0)))&amp;IF(abbrAtEnd,"-"&amp;L298,"")</f>
        <v>#N/A</v>
      </c>
      <c r="N298" s="4" t="str">
        <f t="shared" si="29"/>
        <v>-000</v>
      </c>
      <c r="O298" s="4">
        <f ca="1">IF(totalElements+COUNTIF(Entities!$C$10,"*")+COUNTIF(B298:C298,"*")+COUNTIF(E298:F298,"*")=9,1,0)</f>
        <v>0</v>
      </c>
      <c r="P298" s="4">
        <f>COUNTIF($C$6:C298,C298)</f>
        <v>0</v>
      </c>
      <c r="Q298" s="4">
        <f ca="1">IF(ISNA(M298),0,COUNTIF($M$6:M298,M298))</f>
        <v>0</v>
      </c>
      <c r="R298" s="4" t="e">
        <f t="shared" ca="1" si="28"/>
        <v>#N/A</v>
      </c>
      <c r="S298" s="4">
        <f ca="1">IF(ISNA(M298),0,COUNTIF($R$6:R298,R298))</f>
        <v>0</v>
      </c>
      <c r="T298" s="4" t="e">
        <f t="shared" ca="1" si="27"/>
        <v>#N/A</v>
      </c>
    </row>
    <row r="299" spans="2:20" x14ac:dyDescent="0.3">
      <c r="B299" s="48"/>
      <c r="C299" s="48"/>
      <c r="D299" s="10" t="str">
        <f t="shared" ca="1" si="24"/>
        <v/>
      </c>
      <c r="E299" s="48"/>
      <c r="F299" s="48"/>
      <c r="G299" s="10" t="str">
        <f t="shared" ca="1" si="30"/>
        <v/>
      </c>
      <c r="I299" s="10" t="str">
        <f t="shared" ca="1" si="25"/>
        <v/>
      </c>
      <c r="K299" s="4" t="e">
        <f t="shared" ca="1" si="26"/>
        <v>#N/A</v>
      </c>
      <c r="L299" s="4" t="e">
        <f>VLOOKUP(C299,_resources!B:D,3,0)</f>
        <v>#N/A</v>
      </c>
      <c r="M299" s="4" t="e" cm="1">
        <f t="array" aca="1" ref="M299" ca="1">IF(abbrAtEnd,"",L299&amp;"-")&amp;E299&amp;"-"&amp;INDIRECT(OFFSET(element3,MATCH($C299,resources,0)-1,0))&amp;"-"&amp;INDIRECT(OFFSET(element4,MATCH($C299,resources,0)-1,0))&amp;"-"&amp;INDIRECT(OFFSET(element5,MATCH($C299,resources,0)-1,0))&amp;IF(OFFSET(element6,MATCH($C299,resources,0)-1,0)="","","-"&amp;INDIRECT(OFFSET(element6,MATCH($C299,resources,0)-1,0)))&amp;IF(abbrAtEnd,"-"&amp;L299,"")</f>
        <v>#N/A</v>
      </c>
      <c r="N299" s="4" t="str">
        <f t="shared" si="29"/>
        <v>-000</v>
      </c>
      <c r="O299" s="4">
        <f ca="1">IF(totalElements+COUNTIF(Entities!$C$10,"*")+COUNTIF(B299:C299,"*")+COUNTIF(E299:F299,"*")=9,1,0)</f>
        <v>0</v>
      </c>
      <c r="P299" s="4">
        <f>COUNTIF($C$6:C299,C299)</f>
        <v>0</v>
      </c>
      <c r="Q299" s="4">
        <f ca="1">IF(ISNA(M299),0,COUNTIF($M$6:M299,M299))</f>
        <v>0</v>
      </c>
      <c r="R299" s="4" t="e">
        <f t="shared" ca="1" si="28"/>
        <v>#N/A</v>
      </c>
      <c r="S299" s="4">
        <f ca="1">IF(ISNA(M299),0,COUNTIF($R$6:R299,R299))</f>
        <v>0</v>
      </c>
      <c r="T299" s="4" t="e">
        <f t="shared" ca="1" si="27"/>
        <v>#N/A</v>
      </c>
    </row>
    <row r="300" spans="2:20" x14ac:dyDescent="0.3">
      <c r="B300" s="48"/>
      <c r="C300" s="48"/>
      <c r="D300" s="10" t="str">
        <f t="shared" ca="1" si="24"/>
        <v/>
      </c>
      <c r="E300" s="48"/>
      <c r="F300" s="48"/>
      <c r="G300" s="10" t="str">
        <f t="shared" ca="1" si="30"/>
        <v/>
      </c>
      <c r="I300" s="10" t="str">
        <f t="shared" ca="1" si="25"/>
        <v/>
      </c>
      <c r="K300" s="4" t="e">
        <f t="shared" ca="1" si="26"/>
        <v>#N/A</v>
      </c>
      <c r="L300" s="4" t="e">
        <f>VLOOKUP(C300,_resources!B:D,3,0)</f>
        <v>#N/A</v>
      </c>
      <c r="M300" s="4" t="e" cm="1">
        <f t="array" aca="1" ref="M300" ca="1">IF(abbrAtEnd,"",L300&amp;"-")&amp;E300&amp;"-"&amp;INDIRECT(OFFSET(element3,MATCH($C300,resources,0)-1,0))&amp;"-"&amp;INDIRECT(OFFSET(element4,MATCH($C300,resources,0)-1,0))&amp;"-"&amp;INDIRECT(OFFSET(element5,MATCH($C300,resources,0)-1,0))&amp;IF(OFFSET(element6,MATCH($C300,resources,0)-1,0)="","","-"&amp;INDIRECT(OFFSET(element6,MATCH($C300,resources,0)-1,0)))&amp;IF(abbrAtEnd,"-"&amp;L300,"")</f>
        <v>#N/A</v>
      </c>
      <c r="N300" s="4" t="str">
        <f t="shared" si="29"/>
        <v>-000</v>
      </c>
      <c r="O300" s="4">
        <f ca="1">IF(totalElements+COUNTIF(Entities!$C$10,"*")+COUNTIF(B300:C300,"*")+COUNTIF(E300:F300,"*")=9,1,0)</f>
        <v>0</v>
      </c>
      <c r="P300" s="4">
        <f>COUNTIF($C$6:C300,C300)</f>
        <v>0</v>
      </c>
      <c r="Q300" s="4">
        <f ca="1">IF(ISNA(M300),0,COUNTIF($M$6:M300,M300))</f>
        <v>0</v>
      </c>
      <c r="R300" s="4" t="e">
        <f t="shared" ca="1" si="28"/>
        <v>#N/A</v>
      </c>
      <c r="S300" s="4">
        <f ca="1">IF(ISNA(M300),0,COUNTIF($R$6:R300,R300))</f>
        <v>0</v>
      </c>
      <c r="T300" s="4" t="e">
        <f t="shared" ca="1" si="27"/>
        <v>#N/A</v>
      </c>
    </row>
    <row r="301" spans="2:20" x14ac:dyDescent="0.3">
      <c r="B301" s="48"/>
      <c r="C301" s="48"/>
      <c r="D301" s="10" t="str">
        <f t="shared" ca="1" si="24"/>
        <v/>
      </c>
      <c r="E301" s="48"/>
      <c r="F301" s="48"/>
      <c r="G301" s="10" t="str">
        <f t="shared" ca="1" si="30"/>
        <v/>
      </c>
      <c r="I301" s="10" t="str">
        <f t="shared" ca="1" si="25"/>
        <v/>
      </c>
      <c r="K301" s="4" t="e">
        <f t="shared" ca="1" si="26"/>
        <v>#N/A</v>
      </c>
      <c r="L301" s="4" t="e">
        <f>VLOOKUP(C301,_resources!B:D,3,0)</f>
        <v>#N/A</v>
      </c>
      <c r="M301" s="4" t="e" cm="1">
        <f t="array" aca="1" ref="M301" ca="1">IF(abbrAtEnd,"",L301&amp;"-")&amp;E301&amp;"-"&amp;INDIRECT(OFFSET(element3,MATCH($C301,resources,0)-1,0))&amp;"-"&amp;INDIRECT(OFFSET(element4,MATCH($C301,resources,0)-1,0))&amp;"-"&amp;INDIRECT(OFFSET(element5,MATCH($C301,resources,0)-1,0))&amp;IF(OFFSET(element6,MATCH($C301,resources,0)-1,0)="","","-"&amp;INDIRECT(OFFSET(element6,MATCH($C301,resources,0)-1,0)))&amp;IF(abbrAtEnd,"-"&amp;L301,"")</f>
        <v>#N/A</v>
      </c>
      <c r="N301" s="4" t="str">
        <f t="shared" si="29"/>
        <v>-000</v>
      </c>
      <c r="O301" s="4">
        <f ca="1">IF(totalElements+COUNTIF(Entities!$C$10,"*")+COUNTIF(B301:C301,"*")+COUNTIF(E301:F301,"*")=9,1,0)</f>
        <v>0</v>
      </c>
      <c r="P301" s="4">
        <f>COUNTIF($C$6:C301,C301)</f>
        <v>0</v>
      </c>
      <c r="Q301" s="4">
        <f ca="1">IF(ISNA(M301),0,COUNTIF($M$6:M301,M301))</f>
        <v>0</v>
      </c>
      <c r="R301" s="4" t="e">
        <f t="shared" ca="1" si="28"/>
        <v>#N/A</v>
      </c>
      <c r="S301" s="4">
        <f ca="1">IF(ISNA(M301),0,COUNTIF($R$6:R301,R301))</f>
        <v>0</v>
      </c>
      <c r="T301" s="4" t="e">
        <f t="shared" ca="1" si="27"/>
        <v>#N/A</v>
      </c>
    </row>
    <row r="302" spans="2:20" x14ac:dyDescent="0.3">
      <c r="B302" s="48"/>
      <c r="C302" s="48"/>
      <c r="D302" s="10" t="str">
        <f t="shared" ca="1" si="24"/>
        <v/>
      </c>
      <c r="E302" s="48"/>
      <c r="F302" s="48"/>
      <c r="G302" s="10" t="str">
        <f t="shared" ca="1" si="30"/>
        <v/>
      </c>
      <c r="I302" s="10" t="str">
        <f t="shared" ca="1" si="25"/>
        <v/>
      </c>
      <c r="K302" s="4" t="e">
        <f t="shared" ca="1" si="26"/>
        <v>#N/A</v>
      </c>
      <c r="L302" s="4" t="e">
        <f>VLOOKUP(C302,_resources!B:D,3,0)</f>
        <v>#N/A</v>
      </c>
      <c r="M302" s="4" t="e" cm="1">
        <f t="array" aca="1" ref="M302" ca="1">IF(abbrAtEnd,"",L302&amp;"-")&amp;E302&amp;"-"&amp;INDIRECT(OFFSET(element3,MATCH($C302,resources,0)-1,0))&amp;"-"&amp;INDIRECT(OFFSET(element4,MATCH($C302,resources,0)-1,0))&amp;"-"&amp;INDIRECT(OFFSET(element5,MATCH($C302,resources,0)-1,0))&amp;IF(OFFSET(element6,MATCH($C302,resources,0)-1,0)="","","-"&amp;INDIRECT(OFFSET(element6,MATCH($C302,resources,0)-1,0)))&amp;IF(abbrAtEnd,"-"&amp;L302,"")</f>
        <v>#N/A</v>
      </c>
      <c r="N302" s="4" t="str">
        <f t="shared" si="29"/>
        <v>-000</v>
      </c>
      <c r="O302" s="4">
        <f ca="1">IF(totalElements+COUNTIF(Entities!$C$10,"*")+COUNTIF(B302:C302,"*")+COUNTIF(E302:F302,"*")=9,1,0)</f>
        <v>0</v>
      </c>
      <c r="P302" s="4">
        <f>COUNTIF($C$6:C302,C302)</f>
        <v>0</v>
      </c>
      <c r="Q302" s="4">
        <f ca="1">IF(ISNA(M302),0,COUNTIF($M$6:M302,M302))</f>
        <v>0</v>
      </c>
      <c r="R302" s="4" t="e">
        <f t="shared" ca="1" si="28"/>
        <v>#N/A</v>
      </c>
      <c r="S302" s="4">
        <f ca="1">IF(ISNA(M302),0,COUNTIF($R$6:R302,R302))</f>
        <v>0</v>
      </c>
      <c r="T302" s="4" t="e">
        <f t="shared" ca="1" si="27"/>
        <v>#N/A</v>
      </c>
    </row>
    <row r="303" spans="2:20" x14ac:dyDescent="0.3">
      <c r="B303" s="48"/>
      <c r="C303" s="48"/>
      <c r="D303" s="10" t="str">
        <f t="shared" ca="1" si="24"/>
        <v/>
      </c>
      <c r="E303" s="48"/>
      <c r="F303" s="48"/>
      <c r="G303" s="10" t="str">
        <f t="shared" ca="1" si="30"/>
        <v/>
      </c>
      <c r="I303" s="10" t="str">
        <f t="shared" ca="1" si="25"/>
        <v/>
      </c>
      <c r="K303" s="4" t="e">
        <f t="shared" ca="1" si="26"/>
        <v>#N/A</v>
      </c>
      <c r="L303" s="4" t="e">
        <f>VLOOKUP(C303,_resources!B:D,3,0)</f>
        <v>#N/A</v>
      </c>
      <c r="M303" s="4" t="e" cm="1">
        <f t="array" aca="1" ref="M303" ca="1">IF(abbrAtEnd,"",L303&amp;"-")&amp;E303&amp;"-"&amp;INDIRECT(OFFSET(element3,MATCH($C303,resources,0)-1,0))&amp;"-"&amp;INDIRECT(OFFSET(element4,MATCH($C303,resources,0)-1,0))&amp;"-"&amp;INDIRECT(OFFSET(element5,MATCH($C303,resources,0)-1,0))&amp;IF(OFFSET(element6,MATCH($C303,resources,0)-1,0)="","","-"&amp;INDIRECT(OFFSET(element6,MATCH($C303,resources,0)-1,0)))&amp;IF(abbrAtEnd,"-"&amp;L303,"")</f>
        <v>#N/A</v>
      </c>
      <c r="N303" s="4" t="str">
        <f t="shared" si="29"/>
        <v>-000</v>
      </c>
      <c r="O303" s="4">
        <f ca="1">IF(totalElements+COUNTIF(Entities!$C$10,"*")+COUNTIF(B303:C303,"*")+COUNTIF(E303:F303,"*")=9,1,0)</f>
        <v>0</v>
      </c>
      <c r="P303" s="4">
        <f>COUNTIF($C$6:C303,C303)</f>
        <v>0</v>
      </c>
      <c r="Q303" s="4">
        <f ca="1">IF(ISNA(M303),0,COUNTIF($M$6:M303,M303))</f>
        <v>0</v>
      </c>
      <c r="R303" s="4" t="e">
        <f t="shared" ca="1" si="28"/>
        <v>#N/A</v>
      </c>
      <c r="S303" s="4">
        <f ca="1">IF(ISNA(M303),0,COUNTIF($R$6:R303,R303))</f>
        <v>0</v>
      </c>
      <c r="T303" s="4" t="e">
        <f t="shared" ca="1" si="27"/>
        <v>#N/A</v>
      </c>
    </row>
    <row r="304" spans="2:20" x14ac:dyDescent="0.3">
      <c r="B304" s="48"/>
      <c r="C304" s="48"/>
      <c r="D304" s="10" t="str">
        <f t="shared" ca="1" si="24"/>
        <v/>
      </c>
      <c r="E304" s="48"/>
      <c r="F304" s="48"/>
      <c r="G304" s="10" t="str">
        <f t="shared" ca="1" si="30"/>
        <v/>
      </c>
      <c r="I304" s="10" t="str">
        <f t="shared" ca="1" si="25"/>
        <v/>
      </c>
      <c r="K304" s="4" t="e">
        <f t="shared" ca="1" si="26"/>
        <v>#N/A</v>
      </c>
      <c r="L304" s="4" t="e">
        <f>VLOOKUP(C304,_resources!B:D,3,0)</f>
        <v>#N/A</v>
      </c>
      <c r="M304" s="4" t="e" cm="1">
        <f t="array" aca="1" ref="M304" ca="1">IF(abbrAtEnd,"",L304&amp;"-")&amp;E304&amp;"-"&amp;INDIRECT(OFFSET(element3,MATCH($C304,resources,0)-1,0))&amp;"-"&amp;INDIRECT(OFFSET(element4,MATCH($C304,resources,0)-1,0))&amp;"-"&amp;INDIRECT(OFFSET(element5,MATCH($C304,resources,0)-1,0))&amp;IF(OFFSET(element6,MATCH($C304,resources,0)-1,0)="","","-"&amp;INDIRECT(OFFSET(element6,MATCH($C304,resources,0)-1,0)))&amp;IF(abbrAtEnd,"-"&amp;L304,"")</f>
        <v>#N/A</v>
      </c>
      <c r="N304" s="4" t="str">
        <f t="shared" si="29"/>
        <v>-000</v>
      </c>
      <c r="O304" s="4">
        <f ca="1">IF(totalElements+COUNTIF(Entities!$C$10,"*")+COUNTIF(B304:C304,"*")+COUNTIF(E304:F304,"*")=9,1,0)</f>
        <v>0</v>
      </c>
      <c r="P304" s="4">
        <f>COUNTIF($C$6:C304,C304)</f>
        <v>0</v>
      </c>
      <c r="Q304" s="4">
        <f ca="1">IF(ISNA(M304),0,COUNTIF($M$6:M304,M304))</f>
        <v>0</v>
      </c>
      <c r="R304" s="4" t="e">
        <f t="shared" ca="1" si="28"/>
        <v>#N/A</v>
      </c>
      <c r="S304" s="4">
        <f ca="1">IF(ISNA(M304),0,COUNTIF($R$6:R304,R304))</f>
        <v>0</v>
      </c>
      <c r="T304" s="4" t="e">
        <f t="shared" ca="1" si="27"/>
        <v>#N/A</v>
      </c>
    </row>
    <row r="305" spans="2:20" x14ac:dyDescent="0.3">
      <c r="B305" s="48"/>
      <c r="C305" s="48"/>
      <c r="D305" s="10" t="str">
        <f t="shared" ref="D305:D368" ca="1" si="31">IF(ISBLANK(C305),"",OFFSET(element2,MATCH($C305,resources,0)-1,0))</f>
        <v/>
      </c>
      <c r="E305" s="48"/>
      <c r="F305" s="48"/>
      <c r="G305" s="10" t="str">
        <f t="shared" ca="1" si="30"/>
        <v/>
      </c>
      <c r="I305" s="10" t="str">
        <f t="shared" ref="I305:I368" ca="1" si="32">IF(O305,IF(LEN(G305)&gt;T305,"Name too Long (length: "&amp;LEN(G305)&amp;", max. "&amp;T305&amp;")","None"),"")</f>
        <v/>
      </c>
      <c r="K305" s="4" t="e">
        <f t="shared" ca="1" si="26"/>
        <v>#N/A</v>
      </c>
      <c r="L305" s="4" t="e">
        <f>VLOOKUP(C305,_resources!B:D,3,0)</f>
        <v>#N/A</v>
      </c>
      <c r="M305" s="4" t="e" cm="1">
        <f t="array" aca="1" ref="M305" ca="1">IF(abbrAtEnd,"",L305&amp;"-")&amp;E305&amp;"-"&amp;INDIRECT(OFFSET(element3,MATCH($C305,resources,0)-1,0))&amp;"-"&amp;INDIRECT(OFFSET(element4,MATCH($C305,resources,0)-1,0))&amp;"-"&amp;INDIRECT(OFFSET(element5,MATCH($C305,resources,0)-1,0))&amp;IF(OFFSET(element6,MATCH($C305,resources,0)-1,0)="","","-"&amp;INDIRECT(OFFSET(element6,MATCH($C305,resources,0)-1,0)))&amp;IF(abbrAtEnd,"-"&amp;L305,"")</f>
        <v>#N/A</v>
      </c>
      <c r="N305" s="4" t="str">
        <f t="shared" si="29"/>
        <v>-000</v>
      </c>
      <c r="O305" s="4">
        <f ca="1">IF(totalElements+COUNTIF(Entities!$C$10,"*")+COUNTIF(B305:C305,"*")+COUNTIF(E305:F305,"*")=9,1,0)</f>
        <v>0</v>
      </c>
      <c r="P305" s="4">
        <f>COUNTIF($C$6:C305,C305)</f>
        <v>0</v>
      </c>
      <c r="Q305" s="4">
        <f ca="1">IF(ISNA(M305),0,COUNTIF($M$6:M305,M305))</f>
        <v>0</v>
      </c>
      <c r="R305" s="4" t="e">
        <f t="shared" ca="1" si="28"/>
        <v>#N/A</v>
      </c>
      <c r="S305" s="4">
        <f ca="1">IF(ISNA(M305),0,COUNTIF($R$6:R305,R305))</f>
        <v>0</v>
      </c>
      <c r="T305" s="4" t="e">
        <f t="shared" ca="1" si="27"/>
        <v>#N/A</v>
      </c>
    </row>
    <row r="306" spans="2:20" x14ac:dyDescent="0.3">
      <c r="B306" s="48"/>
      <c r="C306" s="48"/>
      <c r="D306" s="10" t="str">
        <f t="shared" ca="1" si="31"/>
        <v/>
      </c>
      <c r="E306" s="48"/>
      <c r="F306" s="48"/>
      <c r="G306" s="10" t="str">
        <f t="shared" ca="1" si="30"/>
        <v/>
      </c>
      <c r="I306" s="10" t="str">
        <f t="shared" ca="1" si="32"/>
        <v/>
      </c>
      <c r="K306" s="4" t="e">
        <f t="shared" ca="1" si="26"/>
        <v>#N/A</v>
      </c>
      <c r="L306" s="4" t="e">
        <f>VLOOKUP(C306,_resources!B:D,3,0)</f>
        <v>#N/A</v>
      </c>
      <c r="M306" s="4" t="e" cm="1">
        <f t="array" aca="1" ref="M306" ca="1">IF(abbrAtEnd,"",L306&amp;"-")&amp;E306&amp;"-"&amp;INDIRECT(OFFSET(element3,MATCH($C306,resources,0)-1,0))&amp;"-"&amp;INDIRECT(OFFSET(element4,MATCH($C306,resources,0)-1,0))&amp;"-"&amp;INDIRECT(OFFSET(element5,MATCH($C306,resources,0)-1,0))&amp;IF(OFFSET(element6,MATCH($C306,resources,0)-1,0)="","","-"&amp;INDIRECT(OFFSET(element6,MATCH($C306,resources,0)-1,0)))&amp;IF(abbrAtEnd,"-"&amp;L306,"")</f>
        <v>#N/A</v>
      </c>
      <c r="N306" s="4" t="str">
        <f t="shared" si="29"/>
        <v>-000</v>
      </c>
      <c r="O306" s="4">
        <f ca="1">IF(totalElements+COUNTIF(Entities!$C$10,"*")+COUNTIF(B306:C306,"*")+COUNTIF(E306:F306,"*")=9,1,0)</f>
        <v>0</v>
      </c>
      <c r="P306" s="4">
        <f>COUNTIF($C$6:C306,C306)</f>
        <v>0</v>
      </c>
      <c r="Q306" s="4">
        <f ca="1">IF(ISNA(M306),0,COUNTIF($M$6:M306,M306))</f>
        <v>0</v>
      </c>
      <c r="R306" s="4" t="e">
        <f t="shared" ca="1" si="28"/>
        <v>#N/A</v>
      </c>
      <c r="S306" s="4">
        <f ca="1">IF(ISNA(M306),0,COUNTIF($R$6:R306,R306))</f>
        <v>0</v>
      </c>
      <c r="T306" s="4" t="e">
        <f t="shared" ca="1" si="27"/>
        <v>#N/A</v>
      </c>
    </row>
    <row r="307" spans="2:20" x14ac:dyDescent="0.3">
      <c r="B307" s="48"/>
      <c r="C307" s="48"/>
      <c r="D307" s="10" t="str">
        <f t="shared" ca="1" si="31"/>
        <v/>
      </c>
      <c r="E307" s="48"/>
      <c r="F307" s="48"/>
      <c r="G307" s="10" t="str">
        <f t="shared" ca="1" si="30"/>
        <v/>
      </c>
      <c r="I307" s="10" t="str">
        <f t="shared" ca="1" si="32"/>
        <v/>
      </c>
      <c r="K307" s="4" t="e">
        <f t="shared" ca="1" si="26"/>
        <v>#N/A</v>
      </c>
      <c r="L307" s="4" t="e">
        <f>VLOOKUP(C307,_resources!B:D,3,0)</f>
        <v>#N/A</v>
      </c>
      <c r="M307" s="4" t="e" cm="1">
        <f t="array" aca="1" ref="M307" ca="1">IF(abbrAtEnd,"",L307&amp;"-")&amp;E307&amp;"-"&amp;INDIRECT(OFFSET(element3,MATCH($C307,resources,0)-1,0))&amp;"-"&amp;INDIRECT(OFFSET(element4,MATCH($C307,resources,0)-1,0))&amp;"-"&amp;INDIRECT(OFFSET(element5,MATCH($C307,resources,0)-1,0))&amp;IF(OFFSET(element6,MATCH($C307,resources,0)-1,0)="","","-"&amp;INDIRECT(OFFSET(element6,MATCH($C307,resources,0)-1,0)))&amp;IF(abbrAtEnd,"-"&amp;L307,"")</f>
        <v>#N/A</v>
      </c>
      <c r="N307" s="4" t="str">
        <f t="shared" si="29"/>
        <v>-000</v>
      </c>
      <c r="O307" s="4">
        <f ca="1">IF(totalElements+COUNTIF(Entities!$C$10,"*")+COUNTIF(B307:C307,"*")+COUNTIF(E307:F307,"*")=9,1,0)</f>
        <v>0</v>
      </c>
      <c r="P307" s="4">
        <f>COUNTIF($C$6:C307,C307)</f>
        <v>0</v>
      </c>
      <c r="Q307" s="4">
        <f ca="1">IF(ISNA(M307),0,COUNTIF($M$6:M307,M307))</f>
        <v>0</v>
      </c>
      <c r="R307" s="4" t="e">
        <f t="shared" ca="1" si="28"/>
        <v>#N/A</v>
      </c>
      <c r="S307" s="4">
        <f ca="1">IF(ISNA(M307),0,COUNTIF($R$6:R307,R307))</f>
        <v>0</v>
      </c>
      <c r="T307" s="4" t="e">
        <f t="shared" ca="1" si="27"/>
        <v>#N/A</v>
      </c>
    </row>
    <row r="308" spans="2:20" x14ac:dyDescent="0.3">
      <c r="B308" s="48"/>
      <c r="C308" s="48"/>
      <c r="D308" s="10" t="str">
        <f t="shared" ca="1" si="31"/>
        <v/>
      </c>
      <c r="E308" s="48"/>
      <c r="F308" s="48"/>
      <c r="G308" s="10" t="str">
        <f t="shared" ca="1" si="30"/>
        <v/>
      </c>
      <c r="I308" s="10" t="str">
        <f t="shared" ca="1" si="32"/>
        <v/>
      </c>
      <c r="K308" s="4" t="e">
        <f t="shared" ca="1" si="26"/>
        <v>#N/A</v>
      </c>
      <c r="L308" s="4" t="e">
        <f>VLOOKUP(C308,_resources!B:D,3,0)</f>
        <v>#N/A</v>
      </c>
      <c r="M308" s="4" t="e" cm="1">
        <f t="array" aca="1" ref="M308" ca="1">IF(abbrAtEnd,"",L308&amp;"-")&amp;E308&amp;"-"&amp;INDIRECT(OFFSET(element3,MATCH($C308,resources,0)-1,0))&amp;"-"&amp;INDIRECT(OFFSET(element4,MATCH($C308,resources,0)-1,0))&amp;"-"&amp;INDIRECT(OFFSET(element5,MATCH($C308,resources,0)-1,0))&amp;IF(OFFSET(element6,MATCH($C308,resources,0)-1,0)="","","-"&amp;INDIRECT(OFFSET(element6,MATCH($C308,resources,0)-1,0)))&amp;IF(abbrAtEnd,"-"&amp;L308,"")</f>
        <v>#N/A</v>
      </c>
      <c r="N308" s="4" t="str">
        <f t="shared" si="29"/>
        <v>-000</v>
      </c>
      <c r="O308" s="4">
        <f ca="1">IF(totalElements+COUNTIF(Entities!$C$10,"*")+COUNTIF(B308:C308,"*")+COUNTIF(E308:F308,"*")=9,1,0)</f>
        <v>0</v>
      </c>
      <c r="P308" s="4">
        <f>COUNTIF($C$6:C308,C308)</f>
        <v>0</v>
      </c>
      <c r="Q308" s="4">
        <f ca="1">IF(ISNA(M308),0,COUNTIF($M$6:M308,M308))</f>
        <v>0</v>
      </c>
      <c r="R308" s="4" t="e">
        <f t="shared" ca="1" si="28"/>
        <v>#N/A</v>
      </c>
      <c r="S308" s="4">
        <f ca="1">IF(ISNA(M308),0,COUNTIF($R$6:R308,R308))</f>
        <v>0</v>
      </c>
      <c r="T308" s="4" t="e">
        <f t="shared" ca="1" si="27"/>
        <v>#N/A</v>
      </c>
    </row>
    <row r="309" spans="2:20" x14ac:dyDescent="0.3">
      <c r="B309" s="48"/>
      <c r="C309" s="48"/>
      <c r="D309" s="10" t="str">
        <f t="shared" ca="1" si="31"/>
        <v/>
      </c>
      <c r="E309" s="48"/>
      <c r="F309" s="48"/>
      <c r="G309" s="10" t="str">
        <f t="shared" ca="1" si="30"/>
        <v/>
      </c>
      <c r="I309" s="10" t="str">
        <f t="shared" ca="1" si="32"/>
        <v/>
      </c>
      <c r="K309" s="4" t="e">
        <f t="shared" ca="1" si="26"/>
        <v>#N/A</v>
      </c>
      <c r="L309" s="4" t="e">
        <f>VLOOKUP(C309,_resources!B:D,3,0)</f>
        <v>#N/A</v>
      </c>
      <c r="M309" s="4" t="e" cm="1">
        <f t="array" aca="1" ref="M309" ca="1">IF(abbrAtEnd,"",L309&amp;"-")&amp;E309&amp;"-"&amp;INDIRECT(OFFSET(element3,MATCH($C309,resources,0)-1,0))&amp;"-"&amp;INDIRECT(OFFSET(element4,MATCH($C309,resources,0)-1,0))&amp;"-"&amp;INDIRECT(OFFSET(element5,MATCH($C309,resources,0)-1,0))&amp;IF(OFFSET(element6,MATCH($C309,resources,0)-1,0)="","","-"&amp;INDIRECT(OFFSET(element6,MATCH($C309,resources,0)-1,0)))&amp;IF(abbrAtEnd,"-"&amp;L309,"")</f>
        <v>#N/A</v>
      </c>
      <c r="N309" s="4" t="str">
        <f t="shared" si="29"/>
        <v>-000</v>
      </c>
      <c r="O309" s="4">
        <f ca="1">IF(totalElements+COUNTIF(Entities!$C$10,"*")+COUNTIF(B309:C309,"*")+COUNTIF(E309:F309,"*")=9,1,0)</f>
        <v>0</v>
      </c>
      <c r="P309" s="4">
        <f>COUNTIF($C$6:C309,C309)</f>
        <v>0</v>
      </c>
      <c r="Q309" s="4">
        <f ca="1">IF(ISNA(M309),0,COUNTIF($M$6:M309,M309))</f>
        <v>0</v>
      </c>
      <c r="R309" s="4" t="e">
        <f t="shared" ca="1" si="28"/>
        <v>#N/A</v>
      </c>
      <c r="S309" s="4">
        <f ca="1">IF(ISNA(M309),0,COUNTIF($R$6:R309,R309))</f>
        <v>0</v>
      </c>
      <c r="T309" s="4" t="e">
        <f t="shared" ca="1" si="27"/>
        <v>#N/A</v>
      </c>
    </row>
    <row r="310" spans="2:20" x14ac:dyDescent="0.3">
      <c r="B310" s="48"/>
      <c r="C310" s="48"/>
      <c r="D310" s="10" t="str">
        <f t="shared" ca="1" si="31"/>
        <v/>
      </c>
      <c r="E310" s="48"/>
      <c r="F310" s="48"/>
      <c r="G310" s="10" t="str">
        <f t="shared" ca="1" si="30"/>
        <v/>
      </c>
      <c r="I310" s="10" t="str">
        <f t="shared" ca="1" si="32"/>
        <v/>
      </c>
      <c r="K310" s="4" t="e">
        <f t="shared" ca="1" si="26"/>
        <v>#N/A</v>
      </c>
      <c r="L310" s="4" t="e">
        <f>VLOOKUP(C310,_resources!B:D,3,0)</f>
        <v>#N/A</v>
      </c>
      <c r="M310" s="4" t="e" cm="1">
        <f t="array" aca="1" ref="M310" ca="1">IF(abbrAtEnd,"",L310&amp;"-")&amp;E310&amp;"-"&amp;INDIRECT(OFFSET(element3,MATCH($C310,resources,0)-1,0))&amp;"-"&amp;INDIRECT(OFFSET(element4,MATCH($C310,resources,0)-1,0))&amp;"-"&amp;INDIRECT(OFFSET(element5,MATCH($C310,resources,0)-1,0))&amp;IF(OFFSET(element6,MATCH($C310,resources,0)-1,0)="","","-"&amp;INDIRECT(OFFSET(element6,MATCH($C310,resources,0)-1,0)))&amp;IF(abbrAtEnd,"-"&amp;L310,"")</f>
        <v>#N/A</v>
      </c>
      <c r="N310" s="4" t="str">
        <f t="shared" si="29"/>
        <v>-000</v>
      </c>
      <c r="O310" s="4">
        <f ca="1">IF(totalElements+COUNTIF(Entities!$C$10,"*")+COUNTIF(B310:C310,"*")+COUNTIF(E310:F310,"*")=9,1,0)</f>
        <v>0</v>
      </c>
      <c r="P310" s="4">
        <f>COUNTIF($C$6:C310,C310)</f>
        <v>0</v>
      </c>
      <c r="Q310" s="4">
        <f ca="1">IF(ISNA(M310),0,COUNTIF($M$6:M310,M310))</f>
        <v>0</v>
      </c>
      <c r="R310" s="4" t="e">
        <f t="shared" ca="1" si="28"/>
        <v>#N/A</v>
      </c>
      <c r="S310" s="4">
        <f ca="1">IF(ISNA(M310),0,COUNTIF($R$6:R310,R310))</f>
        <v>0</v>
      </c>
      <c r="T310" s="4" t="e">
        <f t="shared" ca="1" si="27"/>
        <v>#N/A</v>
      </c>
    </row>
    <row r="311" spans="2:20" x14ac:dyDescent="0.3">
      <c r="B311" s="48"/>
      <c r="C311" s="48"/>
      <c r="D311" s="10" t="str">
        <f t="shared" ca="1" si="31"/>
        <v/>
      </c>
      <c r="E311" s="48"/>
      <c r="F311" s="48"/>
      <c r="G311" s="10" t="str">
        <f t="shared" ca="1" si="30"/>
        <v/>
      </c>
      <c r="I311" s="10" t="str">
        <f t="shared" ca="1" si="32"/>
        <v/>
      </c>
      <c r="K311" s="4" t="e">
        <f t="shared" ca="1" si="26"/>
        <v>#N/A</v>
      </c>
      <c r="L311" s="4" t="e">
        <f>VLOOKUP(C311,_resources!B:D,3,0)</f>
        <v>#N/A</v>
      </c>
      <c r="M311" s="4" t="e" cm="1">
        <f t="array" aca="1" ref="M311" ca="1">IF(abbrAtEnd,"",L311&amp;"-")&amp;E311&amp;"-"&amp;INDIRECT(OFFSET(element3,MATCH($C311,resources,0)-1,0))&amp;"-"&amp;INDIRECT(OFFSET(element4,MATCH($C311,resources,0)-1,0))&amp;"-"&amp;INDIRECT(OFFSET(element5,MATCH($C311,resources,0)-1,0))&amp;IF(OFFSET(element6,MATCH($C311,resources,0)-1,0)="","","-"&amp;INDIRECT(OFFSET(element6,MATCH($C311,resources,0)-1,0)))&amp;IF(abbrAtEnd,"-"&amp;L311,"")</f>
        <v>#N/A</v>
      </c>
      <c r="N311" s="4" t="str">
        <f t="shared" si="29"/>
        <v>-000</v>
      </c>
      <c r="O311" s="4">
        <f ca="1">IF(totalElements+COUNTIF(Entities!$C$10,"*")+COUNTIF(B311:C311,"*")+COUNTIF(E311:F311,"*")=9,1,0)</f>
        <v>0</v>
      </c>
      <c r="P311" s="4">
        <f>COUNTIF($C$6:C311,C311)</f>
        <v>0</v>
      </c>
      <c r="Q311" s="4">
        <f ca="1">IF(ISNA(M311),0,COUNTIF($M$6:M311,M311))</f>
        <v>0</v>
      </c>
      <c r="R311" s="4" t="e">
        <f t="shared" ca="1" si="28"/>
        <v>#N/A</v>
      </c>
      <c r="S311" s="4">
        <f ca="1">IF(ISNA(M311),0,COUNTIF($R$6:R311,R311))</f>
        <v>0</v>
      </c>
      <c r="T311" s="4" t="e">
        <f t="shared" ca="1" si="27"/>
        <v>#N/A</v>
      </c>
    </row>
    <row r="312" spans="2:20" x14ac:dyDescent="0.3">
      <c r="B312" s="48"/>
      <c r="C312" s="48"/>
      <c r="D312" s="10" t="str">
        <f t="shared" ca="1" si="31"/>
        <v/>
      </c>
      <c r="E312" s="48"/>
      <c r="F312" s="48"/>
      <c r="G312" s="10" t="str">
        <f t="shared" ca="1" si="30"/>
        <v/>
      </c>
      <c r="I312" s="10" t="str">
        <f t="shared" ca="1" si="32"/>
        <v/>
      </c>
      <c r="K312" s="4" t="e">
        <f t="shared" ca="1" si="26"/>
        <v>#N/A</v>
      </c>
      <c r="L312" s="4" t="e">
        <f>VLOOKUP(C312,_resources!B:D,3,0)</f>
        <v>#N/A</v>
      </c>
      <c r="M312" s="4" t="e" cm="1">
        <f t="array" aca="1" ref="M312" ca="1">IF(abbrAtEnd,"",L312&amp;"-")&amp;E312&amp;"-"&amp;INDIRECT(OFFSET(element3,MATCH($C312,resources,0)-1,0))&amp;"-"&amp;INDIRECT(OFFSET(element4,MATCH($C312,resources,0)-1,0))&amp;"-"&amp;INDIRECT(OFFSET(element5,MATCH($C312,resources,0)-1,0))&amp;IF(OFFSET(element6,MATCH($C312,resources,0)-1,0)="","","-"&amp;INDIRECT(OFFSET(element6,MATCH($C312,resources,0)-1,0)))&amp;IF(abbrAtEnd,"-"&amp;L312,"")</f>
        <v>#N/A</v>
      </c>
      <c r="N312" s="4" t="str">
        <f t="shared" si="29"/>
        <v>-000</v>
      </c>
      <c r="O312" s="4">
        <f ca="1">IF(totalElements+COUNTIF(Entities!$C$10,"*")+COUNTIF(B312:C312,"*")+COUNTIF(E312:F312,"*")=9,1,0)</f>
        <v>0</v>
      </c>
      <c r="P312" s="4">
        <f>COUNTIF($C$6:C312,C312)</f>
        <v>0</v>
      </c>
      <c r="Q312" s="4">
        <f ca="1">IF(ISNA(M312),0,COUNTIF($M$6:M312,M312))</f>
        <v>0</v>
      </c>
      <c r="R312" s="4" t="e">
        <f t="shared" ca="1" si="28"/>
        <v>#N/A</v>
      </c>
      <c r="S312" s="4">
        <f ca="1">IF(ISNA(M312),0,COUNTIF($R$6:R312,R312))</f>
        <v>0</v>
      </c>
      <c r="T312" s="4" t="e">
        <f t="shared" ca="1" si="27"/>
        <v>#N/A</v>
      </c>
    </row>
    <row r="313" spans="2:20" x14ac:dyDescent="0.3">
      <c r="B313" s="48"/>
      <c r="C313" s="48"/>
      <c r="D313" s="10" t="str">
        <f t="shared" ca="1" si="31"/>
        <v/>
      </c>
      <c r="E313" s="48"/>
      <c r="F313" s="48"/>
      <c r="G313" s="10" t="str">
        <f t="shared" ca="1" si="30"/>
        <v/>
      </c>
      <c r="I313" s="10" t="str">
        <f t="shared" ca="1" si="32"/>
        <v/>
      </c>
      <c r="K313" s="4" t="e">
        <f t="shared" ca="1" si="26"/>
        <v>#N/A</v>
      </c>
      <c r="L313" s="4" t="e">
        <f>VLOOKUP(C313,_resources!B:D,3,0)</f>
        <v>#N/A</v>
      </c>
      <c r="M313" s="4" t="e" cm="1">
        <f t="array" aca="1" ref="M313" ca="1">IF(abbrAtEnd,"",L313&amp;"-")&amp;E313&amp;"-"&amp;INDIRECT(OFFSET(element3,MATCH($C313,resources,0)-1,0))&amp;"-"&amp;INDIRECT(OFFSET(element4,MATCH($C313,resources,0)-1,0))&amp;"-"&amp;INDIRECT(OFFSET(element5,MATCH($C313,resources,0)-1,0))&amp;IF(OFFSET(element6,MATCH($C313,resources,0)-1,0)="","","-"&amp;INDIRECT(OFFSET(element6,MATCH($C313,resources,0)-1,0)))&amp;IF(abbrAtEnd,"-"&amp;L313,"")</f>
        <v>#N/A</v>
      </c>
      <c r="N313" s="4" t="str">
        <f t="shared" si="29"/>
        <v>-000</v>
      </c>
      <c r="O313" s="4">
        <f ca="1">IF(totalElements+COUNTIF(Entities!$C$10,"*")+COUNTIF(B313:C313,"*")+COUNTIF(E313:F313,"*")=9,1,0)</f>
        <v>0</v>
      </c>
      <c r="P313" s="4">
        <f>COUNTIF($C$6:C313,C313)</f>
        <v>0</v>
      </c>
      <c r="Q313" s="4">
        <f ca="1">IF(ISNA(M313),0,COUNTIF($M$6:M313,M313))</f>
        <v>0</v>
      </c>
      <c r="R313" s="4" t="e">
        <f t="shared" ca="1" si="28"/>
        <v>#N/A</v>
      </c>
      <c r="S313" s="4">
        <f ca="1">IF(ISNA(M313),0,COUNTIF($R$6:R313,R313))</f>
        <v>0</v>
      </c>
      <c r="T313" s="4" t="e">
        <f t="shared" ca="1" si="27"/>
        <v>#N/A</v>
      </c>
    </row>
    <row r="314" spans="2:20" x14ac:dyDescent="0.3">
      <c r="B314" s="48"/>
      <c r="C314" s="48"/>
      <c r="D314" s="10" t="str">
        <f t="shared" ca="1" si="31"/>
        <v/>
      </c>
      <c r="E314" s="48"/>
      <c r="F314" s="48"/>
      <c r="G314" s="10" t="str">
        <f t="shared" ca="1" si="30"/>
        <v/>
      </c>
      <c r="I314" s="10" t="str">
        <f t="shared" ca="1" si="32"/>
        <v/>
      </c>
      <c r="K314" s="4" t="e">
        <f t="shared" ca="1" si="26"/>
        <v>#N/A</v>
      </c>
      <c r="L314" s="4" t="e">
        <f>VLOOKUP(C314,_resources!B:D,3,0)</f>
        <v>#N/A</v>
      </c>
      <c r="M314" s="4" t="e" cm="1">
        <f t="array" aca="1" ref="M314" ca="1">IF(abbrAtEnd,"",L314&amp;"-")&amp;E314&amp;"-"&amp;INDIRECT(OFFSET(element3,MATCH($C314,resources,0)-1,0))&amp;"-"&amp;INDIRECT(OFFSET(element4,MATCH($C314,resources,0)-1,0))&amp;"-"&amp;INDIRECT(OFFSET(element5,MATCH($C314,resources,0)-1,0))&amp;IF(OFFSET(element6,MATCH($C314,resources,0)-1,0)="","","-"&amp;INDIRECT(OFFSET(element6,MATCH($C314,resources,0)-1,0)))&amp;IF(abbrAtEnd,"-"&amp;L314,"")</f>
        <v>#N/A</v>
      </c>
      <c r="N314" s="4" t="str">
        <f t="shared" si="29"/>
        <v>-000</v>
      </c>
      <c r="O314" s="4">
        <f ca="1">IF(totalElements+COUNTIF(Entities!$C$10,"*")+COUNTIF(B314:C314,"*")+COUNTIF(E314:F314,"*")=9,1,0)</f>
        <v>0</v>
      </c>
      <c r="P314" s="4">
        <f>COUNTIF($C$6:C314,C314)</f>
        <v>0</v>
      </c>
      <c r="Q314" s="4">
        <f ca="1">IF(ISNA(M314),0,COUNTIF($M$6:M314,M314))</f>
        <v>0</v>
      </c>
      <c r="R314" s="4" t="e">
        <f t="shared" ca="1" si="28"/>
        <v>#N/A</v>
      </c>
      <c r="S314" s="4">
        <f ca="1">IF(ISNA(M314),0,COUNTIF($R$6:R314,R314))</f>
        <v>0</v>
      </c>
      <c r="T314" s="4" t="e">
        <f t="shared" ca="1" si="27"/>
        <v>#N/A</v>
      </c>
    </row>
    <row r="315" spans="2:20" x14ac:dyDescent="0.3">
      <c r="B315" s="48"/>
      <c r="C315" s="48"/>
      <c r="D315" s="10" t="str">
        <f t="shared" ca="1" si="31"/>
        <v/>
      </c>
      <c r="E315" s="48"/>
      <c r="F315" s="48"/>
      <c r="G315" s="10" t="str">
        <f t="shared" ca="1" si="30"/>
        <v/>
      </c>
      <c r="I315" s="10" t="str">
        <f t="shared" ca="1" si="32"/>
        <v/>
      </c>
      <c r="K315" s="4" t="e">
        <f t="shared" ca="1" si="26"/>
        <v>#N/A</v>
      </c>
      <c r="L315" s="4" t="e">
        <f>VLOOKUP(C315,_resources!B:D,3,0)</f>
        <v>#N/A</v>
      </c>
      <c r="M315" s="4" t="e" cm="1">
        <f t="array" aca="1" ref="M315" ca="1">IF(abbrAtEnd,"",L315&amp;"-")&amp;E315&amp;"-"&amp;INDIRECT(OFFSET(element3,MATCH($C315,resources,0)-1,0))&amp;"-"&amp;INDIRECT(OFFSET(element4,MATCH($C315,resources,0)-1,0))&amp;"-"&amp;INDIRECT(OFFSET(element5,MATCH($C315,resources,0)-1,0))&amp;IF(OFFSET(element6,MATCH($C315,resources,0)-1,0)="","","-"&amp;INDIRECT(OFFSET(element6,MATCH($C315,resources,0)-1,0)))&amp;IF(abbrAtEnd,"-"&amp;L315,"")</f>
        <v>#N/A</v>
      </c>
      <c r="N315" s="4" t="str">
        <f t="shared" si="29"/>
        <v>-000</v>
      </c>
      <c r="O315" s="4">
        <f ca="1">IF(totalElements+COUNTIF(Entities!$C$10,"*")+COUNTIF(B315:C315,"*")+COUNTIF(E315:F315,"*")=9,1,0)</f>
        <v>0</v>
      </c>
      <c r="P315" s="4">
        <f>COUNTIF($C$6:C315,C315)</f>
        <v>0</v>
      </c>
      <c r="Q315" s="4">
        <f ca="1">IF(ISNA(M315),0,COUNTIF($M$6:M315,M315))</f>
        <v>0</v>
      </c>
      <c r="R315" s="4" t="e">
        <f t="shared" ca="1" si="28"/>
        <v>#N/A</v>
      </c>
      <c r="S315" s="4">
        <f ca="1">IF(ISNA(M315),0,COUNTIF($R$6:R315,R315))</f>
        <v>0</v>
      </c>
      <c r="T315" s="4" t="e">
        <f t="shared" ca="1" si="27"/>
        <v>#N/A</v>
      </c>
    </row>
    <row r="316" spans="2:20" x14ac:dyDescent="0.3">
      <c r="B316" s="48"/>
      <c r="C316" s="48"/>
      <c r="D316" s="10" t="str">
        <f t="shared" ca="1" si="31"/>
        <v/>
      </c>
      <c r="E316" s="48"/>
      <c r="F316" s="48"/>
      <c r="G316" s="10" t="str">
        <f t="shared" ca="1" si="30"/>
        <v/>
      </c>
      <c r="I316" s="10" t="str">
        <f t="shared" ca="1" si="32"/>
        <v/>
      </c>
      <c r="K316" s="4" t="e">
        <f t="shared" ca="1" si="26"/>
        <v>#N/A</v>
      </c>
      <c r="L316" s="4" t="e">
        <f>VLOOKUP(C316,_resources!B:D,3,0)</f>
        <v>#N/A</v>
      </c>
      <c r="M316" s="4" t="e" cm="1">
        <f t="array" aca="1" ref="M316" ca="1">IF(abbrAtEnd,"",L316&amp;"-")&amp;E316&amp;"-"&amp;INDIRECT(OFFSET(element3,MATCH($C316,resources,0)-1,0))&amp;"-"&amp;INDIRECT(OFFSET(element4,MATCH($C316,resources,0)-1,0))&amp;"-"&amp;INDIRECT(OFFSET(element5,MATCH($C316,resources,0)-1,0))&amp;IF(OFFSET(element6,MATCH($C316,resources,0)-1,0)="","","-"&amp;INDIRECT(OFFSET(element6,MATCH($C316,resources,0)-1,0)))&amp;IF(abbrAtEnd,"-"&amp;L316,"")</f>
        <v>#N/A</v>
      </c>
      <c r="N316" s="4" t="str">
        <f t="shared" si="29"/>
        <v>-000</v>
      </c>
      <c r="O316" s="4">
        <f ca="1">IF(totalElements+COUNTIF(Entities!$C$10,"*")+COUNTIF(B316:C316,"*")+COUNTIF(E316:F316,"*")=9,1,0)</f>
        <v>0</v>
      </c>
      <c r="P316" s="4">
        <f>COUNTIF($C$6:C316,C316)</f>
        <v>0</v>
      </c>
      <c r="Q316" s="4">
        <f ca="1">IF(ISNA(M316),0,COUNTIF($M$6:M316,M316))</f>
        <v>0</v>
      </c>
      <c r="R316" s="4" t="e">
        <f t="shared" ca="1" si="28"/>
        <v>#N/A</v>
      </c>
      <c r="S316" s="4">
        <f ca="1">IF(ISNA(M316),0,COUNTIF($R$6:R316,R316))</f>
        <v>0</v>
      </c>
      <c r="T316" s="4" t="e">
        <f t="shared" ca="1" si="27"/>
        <v>#N/A</v>
      </c>
    </row>
    <row r="317" spans="2:20" x14ac:dyDescent="0.3">
      <c r="B317" s="48"/>
      <c r="C317" s="48"/>
      <c r="D317" s="10" t="str">
        <f t="shared" ca="1" si="31"/>
        <v/>
      </c>
      <c r="E317" s="48"/>
      <c r="F317" s="48"/>
      <c r="G317" s="10" t="str">
        <f t="shared" ca="1" si="30"/>
        <v/>
      </c>
      <c r="I317" s="10" t="str">
        <f t="shared" ca="1" si="32"/>
        <v/>
      </c>
      <c r="K317" s="4" t="e">
        <f t="shared" ca="1" si="26"/>
        <v>#N/A</v>
      </c>
      <c r="L317" s="4" t="e">
        <f>VLOOKUP(C317,_resources!B:D,3,0)</f>
        <v>#N/A</v>
      </c>
      <c r="M317" s="4" t="e" cm="1">
        <f t="array" aca="1" ref="M317" ca="1">IF(abbrAtEnd,"",L317&amp;"-")&amp;E317&amp;"-"&amp;INDIRECT(OFFSET(element3,MATCH($C317,resources,0)-1,0))&amp;"-"&amp;INDIRECT(OFFSET(element4,MATCH($C317,resources,0)-1,0))&amp;"-"&amp;INDIRECT(OFFSET(element5,MATCH($C317,resources,0)-1,0))&amp;IF(OFFSET(element6,MATCH($C317,resources,0)-1,0)="","","-"&amp;INDIRECT(OFFSET(element6,MATCH($C317,resources,0)-1,0)))&amp;IF(abbrAtEnd,"-"&amp;L317,"")</f>
        <v>#N/A</v>
      </c>
      <c r="N317" s="4" t="str">
        <f t="shared" si="29"/>
        <v>-000</v>
      </c>
      <c r="O317" s="4">
        <f ca="1">IF(totalElements+COUNTIF(Entities!$C$10,"*")+COUNTIF(B317:C317,"*")+COUNTIF(E317:F317,"*")=9,1,0)</f>
        <v>0</v>
      </c>
      <c r="P317" s="4">
        <f>COUNTIF($C$6:C317,C317)</f>
        <v>0</v>
      </c>
      <c r="Q317" s="4">
        <f ca="1">IF(ISNA(M317),0,COUNTIF($M$6:M317,M317))</f>
        <v>0</v>
      </c>
      <c r="R317" s="4" t="e">
        <f t="shared" ca="1" si="28"/>
        <v>#N/A</v>
      </c>
      <c r="S317" s="4">
        <f ca="1">IF(ISNA(M317),0,COUNTIF($R$6:R317,R317))</f>
        <v>0</v>
      </c>
      <c r="T317" s="4" t="e">
        <f t="shared" ca="1" si="27"/>
        <v>#N/A</v>
      </c>
    </row>
    <row r="318" spans="2:20" x14ac:dyDescent="0.3">
      <c r="B318" s="48"/>
      <c r="C318" s="48"/>
      <c r="D318" s="10" t="str">
        <f t="shared" ca="1" si="31"/>
        <v/>
      </c>
      <c r="E318" s="48"/>
      <c r="F318" s="48"/>
      <c r="G318" s="10" t="str">
        <f t="shared" ca="1" si="30"/>
        <v/>
      </c>
      <c r="I318" s="10" t="str">
        <f t="shared" ca="1" si="32"/>
        <v/>
      </c>
      <c r="K318" s="4" t="e">
        <f t="shared" ca="1" si="26"/>
        <v>#N/A</v>
      </c>
      <c r="L318" s="4" t="e">
        <f>VLOOKUP(C318,_resources!B:D,3,0)</f>
        <v>#N/A</v>
      </c>
      <c r="M318" s="4" t="e" cm="1">
        <f t="array" aca="1" ref="M318" ca="1">IF(abbrAtEnd,"",L318&amp;"-")&amp;E318&amp;"-"&amp;INDIRECT(OFFSET(element3,MATCH($C318,resources,0)-1,0))&amp;"-"&amp;INDIRECT(OFFSET(element4,MATCH($C318,resources,0)-1,0))&amp;"-"&amp;INDIRECT(OFFSET(element5,MATCH($C318,resources,0)-1,0))&amp;IF(OFFSET(element6,MATCH($C318,resources,0)-1,0)="","","-"&amp;INDIRECT(OFFSET(element6,MATCH($C318,resources,0)-1,0)))&amp;IF(abbrAtEnd,"-"&amp;L318,"")</f>
        <v>#N/A</v>
      </c>
      <c r="N318" s="4" t="str">
        <f t="shared" si="29"/>
        <v>-000</v>
      </c>
      <c r="O318" s="4">
        <f ca="1">IF(totalElements+COUNTIF(Entities!$C$10,"*")+COUNTIF(B318:C318,"*")+COUNTIF(E318:F318,"*")=9,1,0)</f>
        <v>0</v>
      </c>
      <c r="P318" s="4">
        <f>COUNTIF($C$6:C318,C318)</f>
        <v>0</v>
      </c>
      <c r="Q318" s="4">
        <f ca="1">IF(ISNA(M318),0,COUNTIF($M$6:M318,M318))</f>
        <v>0</v>
      </c>
      <c r="R318" s="4" t="e">
        <f t="shared" ca="1" si="28"/>
        <v>#N/A</v>
      </c>
      <c r="S318" s="4">
        <f ca="1">IF(ISNA(M318),0,COUNTIF($R$6:R318,R318))</f>
        <v>0</v>
      </c>
      <c r="T318" s="4" t="e">
        <f t="shared" ca="1" si="27"/>
        <v>#N/A</v>
      </c>
    </row>
    <row r="319" spans="2:20" x14ac:dyDescent="0.3">
      <c r="B319" s="48"/>
      <c r="C319" s="48"/>
      <c r="D319" s="10" t="str">
        <f t="shared" ca="1" si="31"/>
        <v/>
      </c>
      <c r="E319" s="48"/>
      <c r="F319" s="48"/>
      <c r="G319" s="10" t="str">
        <f t="shared" ca="1" si="30"/>
        <v/>
      </c>
      <c r="I319" s="10" t="str">
        <f t="shared" ca="1" si="32"/>
        <v/>
      </c>
      <c r="K319" s="4" t="e">
        <f t="shared" ca="1" si="26"/>
        <v>#N/A</v>
      </c>
      <c r="L319" s="4" t="e">
        <f>VLOOKUP(C319,_resources!B:D,3,0)</f>
        <v>#N/A</v>
      </c>
      <c r="M319" s="4" t="e" cm="1">
        <f t="array" aca="1" ref="M319" ca="1">IF(abbrAtEnd,"",L319&amp;"-")&amp;E319&amp;"-"&amp;INDIRECT(OFFSET(element3,MATCH($C319,resources,0)-1,0))&amp;"-"&amp;INDIRECT(OFFSET(element4,MATCH($C319,resources,0)-1,0))&amp;"-"&amp;INDIRECT(OFFSET(element5,MATCH($C319,resources,0)-1,0))&amp;IF(OFFSET(element6,MATCH($C319,resources,0)-1,0)="","","-"&amp;INDIRECT(OFFSET(element6,MATCH($C319,resources,0)-1,0)))&amp;IF(abbrAtEnd,"-"&amp;L319,"")</f>
        <v>#N/A</v>
      </c>
      <c r="N319" s="4" t="str">
        <f t="shared" si="29"/>
        <v>-000</v>
      </c>
      <c r="O319" s="4">
        <f ca="1">IF(totalElements+COUNTIF(Entities!$C$10,"*")+COUNTIF(B319:C319,"*")+COUNTIF(E319:F319,"*")=9,1,0)</f>
        <v>0</v>
      </c>
      <c r="P319" s="4">
        <f>COUNTIF($C$6:C319,C319)</f>
        <v>0</v>
      </c>
      <c r="Q319" s="4">
        <f ca="1">IF(ISNA(M319),0,COUNTIF($M$6:M319,M319))</f>
        <v>0</v>
      </c>
      <c r="R319" s="4" t="e">
        <f t="shared" ca="1" si="28"/>
        <v>#N/A</v>
      </c>
      <c r="S319" s="4">
        <f ca="1">IF(ISNA(M319),0,COUNTIF($R$6:R319,R319))</f>
        <v>0</v>
      </c>
      <c r="T319" s="4" t="e">
        <f t="shared" ca="1" si="27"/>
        <v>#N/A</v>
      </c>
    </row>
    <row r="320" spans="2:20" x14ac:dyDescent="0.3">
      <c r="B320" s="48"/>
      <c r="C320" s="48"/>
      <c r="D320" s="10" t="str">
        <f t="shared" ca="1" si="31"/>
        <v/>
      </c>
      <c r="E320" s="48"/>
      <c r="F320" s="48"/>
      <c r="G320" s="10" t="str">
        <f t="shared" ca="1" si="30"/>
        <v/>
      </c>
      <c r="I320" s="10" t="str">
        <f t="shared" ca="1" si="32"/>
        <v/>
      </c>
      <c r="K320" s="4" t="e">
        <f t="shared" ca="1" si="26"/>
        <v>#N/A</v>
      </c>
      <c r="L320" s="4" t="e">
        <f>VLOOKUP(C320,_resources!B:D,3,0)</f>
        <v>#N/A</v>
      </c>
      <c r="M320" s="4" t="e" cm="1">
        <f t="array" aca="1" ref="M320" ca="1">IF(abbrAtEnd,"",L320&amp;"-")&amp;E320&amp;"-"&amp;INDIRECT(OFFSET(element3,MATCH($C320,resources,0)-1,0))&amp;"-"&amp;INDIRECT(OFFSET(element4,MATCH($C320,resources,0)-1,0))&amp;"-"&amp;INDIRECT(OFFSET(element5,MATCH($C320,resources,0)-1,0))&amp;IF(OFFSET(element6,MATCH($C320,resources,0)-1,0)="","","-"&amp;INDIRECT(OFFSET(element6,MATCH($C320,resources,0)-1,0)))&amp;IF(abbrAtEnd,"-"&amp;L320,"")</f>
        <v>#N/A</v>
      </c>
      <c r="N320" s="4" t="str">
        <f t="shared" si="29"/>
        <v>-000</v>
      </c>
      <c r="O320" s="4">
        <f ca="1">IF(totalElements+COUNTIF(Entities!$C$10,"*")+COUNTIF(B320:C320,"*")+COUNTIF(E320:F320,"*")=9,1,0)</f>
        <v>0</v>
      </c>
      <c r="P320" s="4">
        <f>COUNTIF($C$6:C320,C320)</f>
        <v>0</v>
      </c>
      <c r="Q320" s="4">
        <f ca="1">IF(ISNA(M320),0,COUNTIF($M$6:M320,M320))</f>
        <v>0</v>
      </c>
      <c r="R320" s="4" t="e">
        <f t="shared" ca="1" si="28"/>
        <v>#N/A</v>
      </c>
      <c r="S320" s="4">
        <f ca="1">IF(ISNA(M320),0,COUNTIF($R$6:R320,R320))</f>
        <v>0</v>
      </c>
      <c r="T320" s="4" t="e">
        <f t="shared" ca="1" si="27"/>
        <v>#N/A</v>
      </c>
    </row>
    <row r="321" spans="2:20" x14ac:dyDescent="0.3">
      <c r="B321" s="48"/>
      <c r="C321" s="48"/>
      <c r="D321" s="10" t="str">
        <f t="shared" ca="1" si="31"/>
        <v/>
      </c>
      <c r="E321" s="48"/>
      <c r="F321" s="48"/>
      <c r="G321" s="10" t="str">
        <f t="shared" ca="1" si="30"/>
        <v/>
      </c>
      <c r="I321" s="10" t="str">
        <f t="shared" ca="1" si="32"/>
        <v/>
      </c>
      <c r="K321" s="4" t="e">
        <f t="shared" ca="1" si="26"/>
        <v>#N/A</v>
      </c>
      <c r="L321" s="4" t="e">
        <f>VLOOKUP(C321,_resources!B:D,3,0)</f>
        <v>#N/A</v>
      </c>
      <c r="M321" s="4" t="e" cm="1">
        <f t="array" aca="1" ref="M321" ca="1">IF(abbrAtEnd,"",L321&amp;"-")&amp;E321&amp;"-"&amp;INDIRECT(OFFSET(element3,MATCH($C321,resources,0)-1,0))&amp;"-"&amp;INDIRECT(OFFSET(element4,MATCH($C321,resources,0)-1,0))&amp;"-"&amp;INDIRECT(OFFSET(element5,MATCH($C321,resources,0)-1,0))&amp;IF(OFFSET(element6,MATCH($C321,resources,0)-1,0)="","","-"&amp;INDIRECT(OFFSET(element6,MATCH($C321,resources,0)-1,0)))&amp;IF(abbrAtEnd,"-"&amp;L321,"")</f>
        <v>#N/A</v>
      </c>
      <c r="N321" s="4" t="str">
        <f t="shared" si="29"/>
        <v>-000</v>
      </c>
      <c r="O321" s="4">
        <f ca="1">IF(totalElements+COUNTIF(Entities!$C$10,"*")+COUNTIF(B321:C321,"*")+COUNTIF(E321:F321,"*")=9,1,0)</f>
        <v>0</v>
      </c>
      <c r="P321" s="4">
        <f>COUNTIF($C$6:C321,C321)</f>
        <v>0</v>
      </c>
      <c r="Q321" s="4">
        <f ca="1">IF(ISNA(M321),0,COUNTIF($M$6:M321,M321))</f>
        <v>0</v>
      </c>
      <c r="R321" s="4" t="e">
        <f t="shared" ca="1" si="28"/>
        <v>#N/A</v>
      </c>
      <c r="S321" s="4">
        <f ca="1">IF(ISNA(M321),0,COUNTIF($R$6:R321,R321))</f>
        <v>0</v>
      </c>
      <c r="T321" s="4" t="e">
        <f t="shared" ca="1" si="27"/>
        <v>#N/A</v>
      </c>
    </row>
    <row r="322" spans="2:20" x14ac:dyDescent="0.3">
      <c r="B322" s="48"/>
      <c r="C322" s="48"/>
      <c r="D322" s="10" t="str">
        <f t="shared" ca="1" si="31"/>
        <v/>
      </c>
      <c r="E322" s="48"/>
      <c r="F322" s="48"/>
      <c r="G322" s="10" t="str">
        <f t="shared" ca="1" si="30"/>
        <v/>
      </c>
      <c r="I322" s="10" t="str">
        <f t="shared" ca="1" si="32"/>
        <v/>
      </c>
      <c r="K322" s="4" t="e">
        <f t="shared" ca="1" si="26"/>
        <v>#N/A</v>
      </c>
      <c r="L322" s="4" t="e">
        <f>VLOOKUP(C322,_resources!B:D,3,0)</f>
        <v>#N/A</v>
      </c>
      <c r="M322" s="4" t="e" cm="1">
        <f t="array" aca="1" ref="M322" ca="1">IF(abbrAtEnd,"",L322&amp;"-")&amp;E322&amp;"-"&amp;INDIRECT(OFFSET(element3,MATCH($C322,resources,0)-1,0))&amp;"-"&amp;INDIRECT(OFFSET(element4,MATCH($C322,resources,0)-1,0))&amp;"-"&amp;INDIRECT(OFFSET(element5,MATCH($C322,resources,0)-1,0))&amp;IF(OFFSET(element6,MATCH($C322,resources,0)-1,0)="","","-"&amp;INDIRECT(OFFSET(element6,MATCH($C322,resources,0)-1,0)))&amp;IF(abbrAtEnd,"-"&amp;L322,"")</f>
        <v>#N/A</v>
      </c>
      <c r="N322" s="4" t="str">
        <f t="shared" si="29"/>
        <v>-000</v>
      </c>
      <c r="O322" s="4">
        <f ca="1">IF(totalElements+COUNTIF(Entities!$C$10,"*")+COUNTIF(B322:C322,"*")+COUNTIF(E322:F322,"*")=9,1,0)</f>
        <v>0</v>
      </c>
      <c r="P322" s="4">
        <f>COUNTIF($C$6:C322,C322)</f>
        <v>0</v>
      </c>
      <c r="Q322" s="4">
        <f ca="1">IF(ISNA(M322),0,COUNTIF($M$6:M322,M322))</f>
        <v>0</v>
      </c>
      <c r="R322" s="4" t="e">
        <f t="shared" ca="1" si="28"/>
        <v>#N/A</v>
      </c>
      <c r="S322" s="4">
        <f ca="1">IF(ISNA(M322),0,COUNTIF($R$6:R322,R322))</f>
        <v>0</v>
      </c>
      <c r="T322" s="4" t="e">
        <f t="shared" ca="1" si="27"/>
        <v>#N/A</v>
      </c>
    </row>
    <row r="323" spans="2:20" x14ac:dyDescent="0.3">
      <c r="B323" s="48"/>
      <c r="C323" s="48"/>
      <c r="D323" s="10" t="str">
        <f t="shared" ca="1" si="31"/>
        <v/>
      </c>
      <c r="E323" s="48"/>
      <c r="F323" s="48"/>
      <c r="G323" s="10" t="str">
        <f t="shared" ca="1" si="30"/>
        <v/>
      </c>
      <c r="I323" s="10" t="str">
        <f t="shared" ca="1" si="32"/>
        <v/>
      </c>
      <c r="K323" s="4" t="e">
        <f t="shared" ca="1" si="26"/>
        <v>#N/A</v>
      </c>
      <c r="L323" s="4" t="e">
        <f>VLOOKUP(C323,_resources!B:D,3,0)</f>
        <v>#N/A</v>
      </c>
      <c r="M323" s="4" t="e" cm="1">
        <f t="array" aca="1" ref="M323" ca="1">IF(abbrAtEnd,"",L323&amp;"-")&amp;E323&amp;"-"&amp;INDIRECT(OFFSET(element3,MATCH($C323,resources,0)-1,0))&amp;"-"&amp;INDIRECT(OFFSET(element4,MATCH($C323,resources,0)-1,0))&amp;"-"&amp;INDIRECT(OFFSET(element5,MATCH($C323,resources,0)-1,0))&amp;IF(OFFSET(element6,MATCH($C323,resources,0)-1,0)="","","-"&amp;INDIRECT(OFFSET(element6,MATCH($C323,resources,0)-1,0)))&amp;IF(abbrAtEnd,"-"&amp;L323,"")</f>
        <v>#N/A</v>
      </c>
      <c r="N323" s="4" t="str">
        <f t="shared" si="29"/>
        <v>-000</v>
      </c>
      <c r="O323" s="4">
        <f ca="1">IF(totalElements+COUNTIF(Entities!$C$10,"*")+COUNTIF(B323:C323,"*")+COUNTIF(E323:F323,"*")=9,1,0)</f>
        <v>0</v>
      </c>
      <c r="P323" s="4">
        <f>COUNTIF($C$6:C323,C323)</f>
        <v>0</v>
      </c>
      <c r="Q323" s="4">
        <f ca="1">IF(ISNA(M323),0,COUNTIF($M$6:M323,M323))</f>
        <v>0</v>
      </c>
      <c r="R323" s="4" t="e">
        <f t="shared" ca="1" si="28"/>
        <v>#N/A</v>
      </c>
      <c r="S323" s="4">
        <f ca="1">IF(ISNA(M323),0,COUNTIF($R$6:R323,R323))</f>
        <v>0</v>
      </c>
      <c r="T323" s="4" t="e">
        <f t="shared" ca="1" si="27"/>
        <v>#N/A</v>
      </c>
    </row>
    <row r="324" spans="2:20" x14ac:dyDescent="0.3">
      <c r="B324" s="48"/>
      <c r="C324" s="48"/>
      <c r="D324" s="10" t="str">
        <f t="shared" ca="1" si="31"/>
        <v/>
      </c>
      <c r="E324" s="48"/>
      <c r="F324" s="48"/>
      <c r="G324" s="10" t="str">
        <f t="shared" ca="1" si="30"/>
        <v/>
      </c>
      <c r="I324" s="10" t="str">
        <f t="shared" ca="1" si="32"/>
        <v/>
      </c>
      <c r="K324" s="4" t="e">
        <f t="shared" ca="1" si="26"/>
        <v>#N/A</v>
      </c>
      <c r="L324" s="4" t="e">
        <f>VLOOKUP(C324,_resources!B:D,3,0)</f>
        <v>#N/A</v>
      </c>
      <c r="M324" s="4" t="e" cm="1">
        <f t="array" aca="1" ref="M324" ca="1">IF(abbrAtEnd,"",L324&amp;"-")&amp;E324&amp;"-"&amp;INDIRECT(OFFSET(element3,MATCH($C324,resources,0)-1,0))&amp;"-"&amp;INDIRECT(OFFSET(element4,MATCH($C324,resources,0)-1,0))&amp;"-"&amp;INDIRECT(OFFSET(element5,MATCH($C324,resources,0)-1,0))&amp;IF(OFFSET(element6,MATCH($C324,resources,0)-1,0)="","","-"&amp;INDIRECT(OFFSET(element6,MATCH($C324,resources,0)-1,0)))&amp;IF(abbrAtEnd,"-"&amp;L324,"")</f>
        <v>#N/A</v>
      </c>
      <c r="N324" s="4" t="str">
        <f t="shared" si="29"/>
        <v>-000</v>
      </c>
      <c r="O324" s="4">
        <f ca="1">IF(totalElements+COUNTIF(Entities!$C$10,"*")+COUNTIF(B324:C324,"*")+COUNTIF(E324:F324,"*")=9,1,0)</f>
        <v>0</v>
      </c>
      <c r="P324" s="4">
        <f>COUNTIF($C$6:C324,C324)</f>
        <v>0</v>
      </c>
      <c r="Q324" s="4">
        <f ca="1">IF(ISNA(M324),0,COUNTIF($M$6:M324,M324))</f>
        <v>0</v>
      </c>
      <c r="R324" s="4" t="e">
        <f t="shared" ca="1" si="28"/>
        <v>#N/A</v>
      </c>
      <c r="S324" s="4">
        <f ca="1">IF(ISNA(M324),0,COUNTIF($R$6:R324,R324))</f>
        <v>0</v>
      </c>
      <c r="T324" s="4" t="e">
        <f t="shared" ca="1" si="27"/>
        <v>#N/A</v>
      </c>
    </row>
    <row r="325" spans="2:20" x14ac:dyDescent="0.3">
      <c r="B325" s="48"/>
      <c r="C325" s="48"/>
      <c r="D325" s="10" t="str">
        <f t="shared" ca="1" si="31"/>
        <v/>
      </c>
      <c r="E325" s="48"/>
      <c r="F325" s="48"/>
      <c r="G325" s="10" t="str">
        <f t="shared" ca="1" si="30"/>
        <v/>
      </c>
      <c r="I325" s="10" t="str">
        <f t="shared" ca="1" si="32"/>
        <v/>
      </c>
      <c r="K325" s="4" t="e">
        <f t="shared" ca="1" si="26"/>
        <v>#N/A</v>
      </c>
      <c r="L325" s="4" t="e">
        <f>VLOOKUP(C325,_resources!B:D,3,0)</f>
        <v>#N/A</v>
      </c>
      <c r="M325" s="4" t="e" cm="1">
        <f t="array" aca="1" ref="M325" ca="1">IF(abbrAtEnd,"",L325&amp;"-")&amp;E325&amp;"-"&amp;INDIRECT(OFFSET(element3,MATCH($C325,resources,0)-1,0))&amp;"-"&amp;INDIRECT(OFFSET(element4,MATCH($C325,resources,0)-1,0))&amp;"-"&amp;INDIRECT(OFFSET(element5,MATCH($C325,resources,0)-1,0))&amp;IF(OFFSET(element6,MATCH($C325,resources,0)-1,0)="","","-"&amp;INDIRECT(OFFSET(element6,MATCH($C325,resources,0)-1,0)))&amp;IF(abbrAtEnd,"-"&amp;L325,"")</f>
        <v>#N/A</v>
      </c>
      <c r="N325" s="4" t="str">
        <f t="shared" si="29"/>
        <v>-000</v>
      </c>
      <c r="O325" s="4">
        <f ca="1">IF(totalElements+COUNTIF(Entities!$C$10,"*")+COUNTIF(B325:C325,"*")+COUNTIF(E325:F325,"*")=9,1,0)</f>
        <v>0</v>
      </c>
      <c r="P325" s="4">
        <f>COUNTIF($C$6:C325,C325)</f>
        <v>0</v>
      </c>
      <c r="Q325" s="4">
        <f ca="1">IF(ISNA(M325),0,COUNTIF($M$6:M325,M325))</f>
        <v>0</v>
      </c>
      <c r="R325" s="4" t="e">
        <f t="shared" ca="1" si="28"/>
        <v>#N/A</v>
      </c>
      <c r="S325" s="4">
        <f ca="1">IF(ISNA(M325),0,COUNTIF($R$6:R325,R325))</f>
        <v>0</v>
      </c>
      <c r="T325" s="4" t="e">
        <f t="shared" ca="1" si="27"/>
        <v>#N/A</v>
      </c>
    </row>
    <row r="326" spans="2:20" x14ac:dyDescent="0.3">
      <c r="B326" s="48"/>
      <c r="C326" s="48"/>
      <c r="D326" s="10" t="str">
        <f t="shared" ca="1" si="31"/>
        <v/>
      </c>
      <c r="E326" s="48"/>
      <c r="F326" s="48"/>
      <c r="G326" s="10" t="str">
        <f t="shared" ca="1" si="30"/>
        <v/>
      </c>
      <c r="I326" s="10" t="str">
        <f t="shared" ca="1" si="32"/>
        <v/>
      </c>
      <c r="K326" s="4" t="e">
        <f t="shared" ref="K326:K389" ca="1" si="33">OFFSET(structure,MATCH($C326,resources,0)-1,0)</f>
        <v>#N/A</v>
      </c>
      <c r="L326" s="4" t="e">
        <f>VLOOKUP(C326,_resources!B:D,3,0)</f>
        <v>#N/A</v>
      </c>
      <c r="M326" s="4" t="e" cm="1">
        <f t="array" aca="1" ref="M326" ca="1">IF(abbrAtEnd,"",L326&amp;"-")&amp;E326&amp;"-"&amp;INDIRECT(OFFSET(element3,MATCH($C326,resources,0)-1,0))&amp;"-"&amp;INDIRECT(OFFSET(element4,MATCH($C326,resources,0)-1,0))&amp;"-"&amp;INDIRECT(OFFSET(element5,MATCH($C326,resources,0)-1,0))&amp;IF(OFFSET(element6,MATCH($C326,resources,0)-1,0)="","","-"&amp;INDIRECT(OFFSET(element6,MATCH($C326,resources,0)-1,0)))&amp;IF(abbrAtEnd,"-"&amp;L326,"")</f>
        <v>#N/A</v>
      </c>
      <c r="N326" s="4" t="str">
        <f t="shared" si="29"/>
        <v>-000</v>
      </c>
      <c r="O326" s="4">
        <f ca="1">IF(totalElements+COUNTIF(Entities!$C$10,"*")+COUNTIF(B326:C326,"*")+COUNTIF(E326:F326,"*")=9,1,0)</f>
        <v>0</v>
      </c>
      <c r="P326" s="4">
        <f>COUNTIF($C$6:C326,C326)</f>
        <v>0</v>
      </c>
      <c r="Q326" s="4">
        <f ca="1">IF(ISNA(M326),0,COUNTIF($M$6:M326,M326))</f>
        <v>0</v>
      </c>
      <c r="R326" s="4" t="e">
        <f t="shared" ca="1" si="28"/>
        <v>#N/A</v>
      </c>
      <c r="S326" s="4">
        <f ca="1">IF(ISNA(M326),0,COUNTIF($R$6:R326,R326))</f>
        <v>0</v>
      </c>
      <c r="T326" s="4" t="e">
        <f t="shared" ref="T326:T389" ca="1" si="34">OFFSET(maxLength,MATCH($C326,resources,0)-1,0)</f>
        <v>#N/A</v>
      </c>
    </row>
    <row r="327" spans="2:20" x14ac:dyDescent="0.3">
      <c r="B327" s="48"/>
      <c r="C327" s="48"/>
      <c r="D327" s="10" t="str">
        <f t="shared" ca="1" si="31"/>
        <v/>
      </c>
      <c r="E327" s="48"/>
      <c r="F327" s="48"/>
      <c r="G327" s="10" t="str">
        <f t="shared" ca="1" si="30"/>
        <v/>
      </c>
      <c r="I327" s="10" t="str">
        <f t="shared" ca="1" si="32"/>
        <v/>
      </c>
      <c r="K327" s="4" t="e">
        <f t="shared" ca="1" si="33"/>
        <v>#N/A</v>
      </c>
      <c r="L327" s="4" t="e">
        <f>VLOOKUP(C327,_resources!B:D,3,0)</f>
        <v>#N/A</v>
      </c>
      <c r="M327" s="4" t="e" cm="1">
        <f t="array" aca="1" ref="M327" ca="1">IF(abbrAtEnd,"",L327&amp;"-")&amp;E327&amp;"-"&amp;INDIRECT(OFFSET(element3,MATCH($C327,resources,0)-1,0))&amp;"-"&amp;INDIRECT(OFFSET(element4,MATCH($C327,resources,0)-1,0))&amp;"-"&amp;INDIRECT(OFFSET(element5,MATCH($C327,resources,0)-1,0))&amp;IF(OFFSET(element6,MATCH($C327,resources,0)-1,0)="","","-"&amp;INDIRECT(OFFSET(element6,MATCH($C327,resources,0)-1,0)))&amp;IF(abbrAtEnd,"-"&amp;L327,"")</f>
        <v>#N/A</v>
      </c>
      <c r="N327" s="4" t="str">
        <f t="shared" si="29"/>
        <v>-000</v>
      </c>
      <c r="O327" s="4">
        <f ca="1">IF(totalElements+COUNTIF(Entities!$C$10,"*")+COUNTIF(B327:C327,"*")+COUNTIF(E327:F327,"*")=9,1,0)</f>
        <v>0</v>
      </c>
      <c r="P327" s="4">
        <f>COUNTIF($C$6:C327,C327)</f>
        <v>0</v>
      </c>
      <c r="Q327" s="4">
        <f ca="1">IF(ISNA(M327),0,COUNTIF($M$6:M327,M327))</f>
        <v>0</v>
      </c>
      <c r="R327" s="4" t="e">
        <f t="shared" ref="R327:R390" ca="1" si="35">F327&amp;"__"&amp;M327</f>
        <v>#N/A</v>
      </c>
      <c r="S327" s="4">
        <f ca="1">IF(ISNA(M327),0,COUNTIF($R$6:R327,R327))</f>
        <v>0</v>
      </c>
      <c r="T327" s="4" t="e">
        <f t="shared" ca="1" si="34"/>
        <v>#N/A</v>
      </c>
    </row>
    <row r="328" spans="2:20" x14ac:dyDescent="0.3">
      <c r="B328" s="48"/>
      <c r="C328" s="48"/>
      <c r="D328" s="10" t="str">
        <f t="shared" ca="1" si="31"/>
        <v/>
      </c>
      <c r="E328" s="48"/>
      <c r="F328" s="48"/>
      <c r="G328" s="10" t="str">
        <f t="shared" ca="1" si="30"/>
        <v/>
      </c>
      <c r="I328" s="10" t="str">
        <f t="shared" ca="1" si="32"/>
        <v/>
      </c>
      <c r="K328" s="4" t="e">
        <f t="shared" ca="1" si="33"/>
        <v>#N/A</v>
      </c>
      <c r="L328" s="4" t="e">
        <f>VLOOKUP(C328,_resources!B:D,3,0)</f>
        <v>#N/A</v>
      </c>
      <c r="M328" s="4" t="e" cm="1">
        <f t="array" aca="1" ref="M328" ca="1">IF(abbrAtEnd,"",L328&amp;"-")&amp;E328&amp;"-"&amp;INDIRECT(OFFSET(element3,MATCH($C328,resources,0)-1,0))&amp;"-"&amp;INDIRECT(OFFSET(element4,MATCH($C328,resources,0)-1,0))&amp;"-"&amp;INDIRECT(OFFSET(element5,MATCH($C328,resources,0)-1,0))&amp;IF(OFFSET(element6,MATCH($C328,resources,0)-1,0)="","","-"&amp;INDIRECT(OFFSET(element6,MATCH($C328,resources,0)-1,0)))&amp;IF(abbrAtEnd,"-"&amp;L328,"")</f>
        <v>#N/A</v>
      </c>
      <c r="N328" s="4" t="str">
        <f t="shared" si="29"/>
        <v>-000</v>
      </c>
      <c r="O328" s="4">
        <f ca="1">IF(totalElements+COUNTIF(Entities!$C$10,"*")+COUNTIF(B328:C328,"*")+COUNTIF(E328:F328,"*")=9,1,0)</f>
        <v>0</v>
      </c>
      <c r="P328" s="4">
        <f>COUNTIF($C$6:C328,C328)</f>
        <v>0</v>
      </c>
      <c r="Q328" s="4">
        <f ca="1">IF(ISNA(M328),0,COUNTIF($M$6:M328,M328))</f>
        <v>0</v>
      </c>
      <c r="R328" s="4" t="e">
        <f t="shared" ca="1" si="35"/>
        <v>#N/A</v>
      </c>
      <c r="S328" s="4">
        <f ca="1">IF(ISNA(M328),0,COUNTIF($R$6:R328,R328))</f>
        <v>0</v>
      </c>
      <c r="T328" s="4" t="e">
        <f t="shared" ca="1" si="34"/>
        <v>#N/A</v>
      </c>
    </row>
    <row r="329" spans="2:20" x14ac:dyDescent="0.3">
      <c r="B329" s="48"/>
      <c r="C329" s="48"/>
      <c r="D329" s="10" t="str">
        <f t="shared" ca="1" si="31"/>
        <v/>
      </c>
      <c r="E329" s="48"/>
      <c r="F329" s="48"/>
      <c r="G329" s="10" t="str">
        <f t="shared" ca="1" si="30"/>
        <v/>
      </c>
      <c r="I329" s="10" t="str">
        <f t="shared" ca="1" si="32"/>
        <v/>
      </c>
      <c r="K329" s="4" t="e">
        <f t="shared" ca="1" si="33"/>
        <v>#N/A</v>
      </c>
      <c r="L329" s="4" t="e">
        <f>VLOOKUP(C329,_resources!B:D,3,0)</f>
        <v>#N/A</v>
      </c>
      <c r="M329" s="4" t="e" cm="1">
        <f t="array" aca="1" ref="M329" ca="1">IF(abbrAtEnd,"",L329&amp;"-")&amp;E329&amp;"-"&amp;INDIRECT(OFFSET(element3,MATCH($C329,resources,0)-1,0))&amp;"-"&amp;INDIRECT(OFFSET(element4,MATCH($C329,resources,0)-1,0))&amp;"-"&amp;INDIRECT(OFFSET(element5,MATCH($C329,resources,0)-1,0))&amp;IF(OFFSET(element6,MATCH($C329,resources,0)-1,0)="","","-"&amp;INDIRECT(OFFSET(element6,MATCH($C329,resources,0)-1,0)))&amp;IF(abbrAtEnd,"-"&amp;L329,"")</f>
        <v>#N/A</v>
      </c>
      <c r="N329" s="4" t="str">
        <f t="shared" si="29"/>
        <v>-000</v>
      </c>
      <c r="O329" s="4">
        <f ca="1">IF(totalElements+COUNTIF(Entities!$C$10,"*")+COUNTIF(B329:C329,"*")+COUNTIF(E329:F329,"*")=9,1,0)</f>
        <v>0</v>
      </c>
      <c r="P329" s="4">
        <f>COUNTIF($C$6:C329,C329)</f>
        <v>0</v>
      </c>
      <c r="Q329" s="4">
        <f ca="1">IF(ISNA(M329),0,COUNTIF($M$6:M329,M329))</f>
        <v>0</v>
      </c>
      <c r="R329" s="4" t="e">
        <f t="shared" ca="1" si="35"/>
        <v>#N/A</v>
      </c>
      <c r="S329" s="4">
        <f ca="1">IF(ISNA(M329),0,COUNTIF($R$6:R329,R329))</f>
        <v>0</v>
      </c>
      <c r="T329" s="4" t="e">
        <f t="shared" ca="1" si="34"/>
        <v>#N/A</v>
      </c>
    </row>
    <row r="330" spans="2:20" x14ac:dyDescent="0.3">
      <c r="B330" s="48"/>
      <c r="C330" s="48"/>
      <c r="D330" s="10" t="str">
        <f t="shared" ca="1" si="31"/>
        <v/>
      </c>
      <c r="E330" s="48"/>
      <c r="F330" s="48"/>
      <c r="G330" s="10" t="str">
        <f t="shared" ca="1" si="30"/>
        <v/>
      </c>
      <c r="I330" s="10" t="str">
        <f t="shared" ca="1" si="32"/>
        <v/>
      </c>
      <c r="K330" s="4" t="e">
        <f t="shared" ca="1" si="33"/>
        <v>#N/A</v>
      </c>
      <c r="L330" s="4" t="e">
        <f>VLOOKUP(C330,_resources!B:D,3,0)</f>
        <v>#N/A</v>
      </c>
      <c r="M330" s="4" t="e" cm="1">
        <f t="array" aca="1" ref="M330" ca="1">IF(abbrAtEnd,"",L330&amp;"-")&amp;E330&amp;"-"&amp;INDIRECT(OFFSET(element3,MATCH($C330,resources,0)-1,0))&amp;"-"&amp;INDIRECT(OFFSET(element4,MATCH($C330,resources,0)-1,0))&amp;"-"&amp;INDIRECT(OFFSET(element5,MATCH($C330,resources,0)-1,0))&amp;IF(OFFSET(element6,MATCH($C330,resources,0)-1,0)="","","-"&amp;INDIRECT(OFFSET(element6,MATCH($C330,resources,0)-1,0)))&amp;IF(abbrAtEnd,"-"&amp;L330,"")</f>
        <v>#N/A</v>
      </c>
      <c r="N330" s="4" t="str">
        <f t="shared" si="29"/>
        <v>-000</v>
      </c>
      <c r="O330" s="4">
        <f ca="1">IF(totalElements+COUNTIF(Entities!$C$10,"*")+COUNTIF(B330:C330,"*")+COUNTIF(E330:F330,"*")=9,1,0)</f>
        <v>0</v>
      </c>
      <c r="P330" s="4">
        <f>COUNTIF($C$6:C330,C330)</f>
        <v>0</v>
      </c>
      <c r="Q330" s="4">
        <f ca="1">IF(ISNA(M330),0,COUNTIF($M$6:M330,M330))</f>
        <v>0</v>
      </c>
      <c r="R330" s="4" t="e">
        <f t="shared" ca="1" si="35"/>
        <v>#N/A</v>
      </c>
      <c r="S330" s="4">
        <f ca="1">IF(ISNA(M330),0,COUNTIF($R$6:R330,R330))</f>
        <v>0</v>
      </c>
      <c r="T330" s="4" t="e">
        <f t="shared" ca="1" si="34"/>
        <v>#N/A</v>
      </c>
    </row>
    <row r="331" spans="2:20" x14ac:dyDescent="0.3">
      <c r="B331" s="48"/>
      <c r="C331" s="48"/>
      <c r="D331" s="10" t="str">
        <f t="shared" ca="1" si="31"/>
        <v/>
      </c>
      <c r="E331" s="48"/>
      <c r="F331" s="48"/>
      <c r="G331" s="10" t="str">
        <f t="shared" ca="1" si="30"/>
        <v/>
      </c>
      <c r="I331" s="10" t="str">
        <f t="shared" ca="1" si="32"/>
        <v/>
      </c>
      <c r="K331" s="4" t="e">
        <f t="shared" ca="1" si="33"/>
        <v>#N/A</v>
      </c>
      <c r="L331" s="4" t="e">
        <f>VLOOKUP(C331,_resources!B:D,3,0)</f>
        <v>#N/A</v>
      </c>
      <c r="M331" s="4" t="e" cm="1">
        <f t="array" aca="1" ref="M331" ca="1">IF(abbrAtEnd,"",L331&amp;"-")&amp;E331&amp;"-"&amp;INDIRECT(OFFSET(element3,MATCH($C331,resources,0)-1,0))&amp;"-"&amp;INDIRECT(OFFSET(element4,MATCH($C331,resources,0)-1,0))&amp;"-"&amp;INDIRECT(OFFSET(element5,MATCH($C331,resources,0)-1,0))&amp;IF(OFFSET(element6,MATCH($C331,resources,0)-1,0)="","","-"&amp;INDIRECT(OFFSET(element6,MATCH($C331,resources,0)-1,0)))&amp;IF(abbrAtEnd,"-"&amp;L331,"")</f>
        <v>#N/A</v>
      </c>
      <c r="N331" s="4" t="str">
        <f t="shared" si="29"/>
        <v>-000</v>
      </c>
      <c r="O331" s="4">
        <f ca="1">IF(totalElements+COUNTIF(Entities!$C$10,"*")+COUNTIF(B331:C331,"*")+COUNTIF(E331:F331,"*")=9,1,0)</f>
        <v>0</v>
      </c>
      <c r="P331" s="4">
        <f>COUNTIF($C$6:C331,C331)</f>
        <v>0</v>
      </c>
      <c r="Q331" s="4">
        <f ca="1">IF(ISNA(M331),0,COUNTIF($M$6:M331,M331))</f>
        <v>0</v>
      </c>
      <c r="R331" s="4" t="e">
        <f t="shared" ca="1" si="35"/>
        <v>#N/A</v>
      </c>
      <c r="S331" s="4">
        <f ca="1">IF(ISNA(M331),0,COUNTIF($R$6:R331,R331))</f>
        <v>0</v>
      </c>
      <c r="T331" s="4" t="e">
        <f t="shared" ca="1" si="34"/>
        <v>#N/A</v>
      </c>
    </row>
    <row r="332" spans="2:20" x14ac:dyDescent="0.3">
      <c r="B332" s="48"/>
      <c r="C332" s="48"/>
      <c r="D332" s="10" t="str">
        <f t="shared" ca="1" si="31"/>
        <v/>
      </c>
      <c r="E332" s="48"/>
      <c r="F332" s="48"/>
      <c r="G332" s="10" t="str">
        <f t="shared" ca="1" si="30"/>
        <v/>
      </c>
      <c r="I332" s="10" t="str">
        <f t="shared" ca="1" si="32"/>
        <v/>
      </c>
      <c r="K332" s="4" t="e">
        <f t="shared" ca="1" si="33"/>
        <v>#N/A</v>
      </c>
      <c r="L332" s="4" t="e">
        <f>VLOOKUP(C332,_resources!B:D,3,0)</f>
        <v>#N/A</v>
      </c>
      <c r="M332" s="4" t="e" cm="1">
        <f t="array" aca="1" ref="M332" ca="1">IF(abbrAtEnd,"",L332&amp;"-")&amp;E332&amp;"-"&amp;INDIRECT(OFFSET(element3,MATCH($C332,resources,0)-1,0))&amp;"-"&amp;INDIRECT(OFFSET(element4,MATCH($C332,resources,0)-1,0))&amp;"-"&amp;INDIRECT(OFFSET(element5,MATCH($C332,resources,0)-1,0))&amp;IF(OFFSET(element6,MATCH($C332,resources,0)-1,0)="","","-"&amp;INDIRECT(OFFSET(element6,MATCH($C332,resources,0)-1,0)))&amp;IF(abbrAtEnd,"-"&amp;L332,"")</f>
        <v>#N/A</v>
      </c>
      <c r="N332" s="4" t="str">
        <f t="shared" si="29"/>
        <v>-000</v>
      </c>
      <c r="O332" s="4">
        <f ca="1">IF(totalElements+COUNTIF(Entities!$C$10,"*")+COUNTIF(B332:C332,"*")+COUNTIF(E332:F332,"*")=9,1,0)</f>
        <v>0</v>
      </c>
      <c r="P332" s="4">
        <f>COUNTIF($C$6:C332,C332)</f>
        <v>0</v>
      </c>
      <c r="Q332" s="4">
        <f ca="1">IF(ISNA(M332),0,COUNTIF($M$6:M332,M332))</f>
        <v>0</v>
      </c>
      <c r="R332" s="4" t="e">
        <f t="shared" ca="1" si="35"/>
        <v>#N/A</v>
      </c>
      <c r="S332" s="4">
        <f ca="1">IF(ISNA(M332),0,COUNTIF($R$6:R332,R332))</f>
        <v>0</v>
      </c>
      <c r="T332" s="4" t="e">
        <f t="shared" ca="1" si="34"/>
        <v>#N/A</v>
      </c>
    </row>
    <row r="333" spans="2:20" x14ac:dyDescent="0.3">
      <c r="B333" s="48"/>
      <c r="C333" s="48"/>
      <c r="D333" s="10" t="str">
        <f t="shared" ca="1" si="31"/>
        <v/>
      </c>
      <c r="E333" s="48"/>
      <c r="F333" s="48"/>
      <c r="G333" s="10" t="str">
        <f t="shared" ca="1" si="30"/>
        <v/>
      </c>
      <c r="I333" s="10" t="str">
        <f t="shared" ca="1" si="32"/>
        <v/>
      </c>
      <c r="K333" s="4" t="e">
        <f t="shared" ca="1" si="33"/>
        <v>#N/A</v>
      </c>
      <c r="L333" s="4" t="e">
        <f>VLOOKUP(C333,_resources!B:D,3,0)</f>
        <v>#N/A</v>
      </c>
      <c r="M333" s="4" t="e" cm="1">
        <f t="array" aca="1" ref="M333" ca="1">IF(abbrAtEnd,"",L333&amp;"-")&amp;E333&amp;"-"&amp;INDIRECT(OFFSET(element3,MATCH($C333,resources,0)-1,0))&amp;"-"&amp;INDIRECT(OFFSET(element4,MATCH($C333,resources,0)-1,0))&amp;"-"&amp;INDIRECT(OFFSET(element5,MATCH($C333,resources,0)-1,0))&amp;IF(OFFSET(element6,MATCH($C333,resources,0)-1,0)="","","-"&amp;INDIRECT(OFFSET(element6,MATCH($C333,resources,0)-1,0)))&amp;IF(abbrAtEnd,"-"&amp;L333,"")</f>
        <v>#N/A</v>
      </c>
      <c r="N333" s="4" t="str">
        <f t="shared" si="29"/>
        <v>-000</v>
      </c>
      <c r="O333" s="4">
        <f ca="1">IF(totalElements+COUNTIF(Entities!$C$10,"*")+COUNTIF(B333:C333,"*")+COUNTIF(E333:F333,"*")=9,1,0)</f>
        <v>0</v>
      </c>
      <c r="P333" s="4">
        <f>COUNTIF($C$6:C333,C333)</f>
        <v>0</v>
      </c>
      <c r="Q333" s="4">
        <f ca="1">IF(ISNA(M333),0,COUNTIF($M$6:M333,M333))</f>
        <v>0</v>
      </c>
      <c r="R333" s="4" t="e">
        <f t="shared" ca="1" si="35"/>
        <v>#N/A</v>
      </c>
      <c r="S333" s="4">
        <f ca="1">IF(ISNA(M333),0,COUNTIF($R$6:R333,R333))</f>
        <v>0</v>
      </c>
      <c r="T333" s="4" t="e">
        <f t="shared" ca="1" si="34"/>
        <v>#N/A</v>
      </c>
    </row>
    <row r="334" spans="2:20" x14ac:dyDescent="0.3">
      <c r="B334" s="48"/>
      <c r="C334" s="48"/>
      <c r="D334" s="10" t="str">
        <f t="shared" ca="1" si="31"/>
        <v/>
      </c>
      <c r="E334" s="48"/>
      <c r="F334" s="48"/>
      <c r="G334" s="10" t="str">
        <f t="shared" ca="1" si="30"/>
        <v/>
      </c>
      <c r="I334" s="10" t="str">
        <f t="shared" ca="1" si="32"/>
        <v/>
      </c>
      <c r="K334" s="4" t="e">
        <f t="shared" ca="1" si="33"/>
        <v>#N/A</v>
      </c>
      <c r="L334" s="4" t="e">
        <f>VLOOKUP(C334,_resources!B:D,3,0)</f>
        <v>#N/A</v>
      </c>
      <c r="M334" s="4" t="e" cm="1">
        <f t="array" aca="1" ref="M334" ca="1">IF(abbrAtEnd,"",L334&amp;"-")&amp;E334&amp;"-"&amp;INDIRECT(OFFSET(element3,MATCH($C334,resources,0)-1,0))&amp;"-"&amp;INDIRECT(OFFSET(element4,MATCH($C334,resources,0)-1,0))&amp;"-"&amp;INDIRECT(OFFSET(element5,MATCH($C334,resources,0)-1,0))&amp;IF(OFFSET(element6,MATCH($C334,resources,0)-1,0)="","","-"&amp;INDIRECT(OFFSET(element6,MATCH($C334,resources,0)-1,0)))&amp;IF(abbrAtEnd,"-"&amp;L334,"")</f>
        <v>#N/A</v>
      </c>
      <c r="N334" s="4" t="str">
        <f t="shared" ref="N334:N397" si="36">IF($M$4,"-"&amp;TEXT(P334,"000"),"-"&amp;TEXT(Q334,"000"))</f>
        <v>-000</v>
      </c>
      <c r="O334" s="4">
        <f ca="1">IF(totalElements+COUNTIF(Entities!$C$10,"*")+COUNTIF(B334:C334,"*")+COUNTIF(E334:F334,"*")=9,1,0)</f>
        <v>0</v>
      </c>
      <c r="P334" s="4">
        <f>COUNTIF($C$6:C334,C334)</f>
        <v>0</v>
      </c>
      <c r="Q334" s="4">
        <f ca="1">IF(ISNA(M334),0,COUNTIF($M$6:M334,M334))</f>
        <v>0</v>
      </c>
      <c r="R334" s="4" t="e">
        <f t="shared" ca="1" si="35"/>
        <v>#N/A</v>
      </c>
      <c r="S334" s="4">
        <f ca="1">IF(ISNA(M334),0,COUNTIF($R$6:R334,R334))</f>
        <v>0</v>
      </c>
      <c r="T334" s="4" t="e">
        <f t="shared" ca="1" si="34"/>
        <v>#N/A</v>
      </c>
    </row>
    <row r="335" spans="2:20" x14ac:dyDescent="0.3">
      <c r="B335" s="48"/>
      <c r="C335" s="48"/>
      <c r="D335" s="10" t="str">
        <f t="shared" ca="1" si="31"/>
        <v/>
      </c>
      <c r="E335" s="48"/>
      <c r="F335" s="48"/>
      <c r="G335" s="10" t="str">
        <f t="shared" ca="1" si="30"/>
        <v/>
      </c>
      <c r="I335" s="10" t="str">
        <f t="shared" ca="1" si="32"/>
        <v/>
      </c>
      <c r="K335" s="4" t="e">
        <f t="shared" ca="1" si="33"/>
        <v>#N/A</v>
      </c>
      <c r="L335" s="4" t="e">
        <f>VLOOKUP(C335,_resources!B:D,3,0)</f>
        <v>#N/A</v>
      </c>
      <c r="M335" s="4" t="e" cm="1">
        <f t="array" aca="1" ref="M335" ca="1">IF(abbrAtEnd,"",L335&amp;"-")&amp;E335&amp;"-"&amp;INDIRECT(OFFSET(element3,MATCH($C335,resources,0)-1,0))&amp;"-"&amp;INDIRECT(OFFSET(element4,MATCH($C335,resources,0)-1,0))&amp;"-"&amp;INDIRECT(OFFSET(element5,MATCH($C335,resources,0)-1,0))&amp;IF(OFFSET(element6,MATCH($C335,resources,0)-1,0)="","","-"&amp;INDIRECT(OFFSET(element6,MATCH($C335,resources,0)-1,0)))&amp;IF(abbrAtEnd,"-"&amp;L335,"")</f>
        <v>#N/A</v>
      </c>
      <c r="N335" s="4" t="str">
        <f t="shared" si="36"/>
        <v>-000</v>
      </c>
      <c r="O335" s="4">
        <f ca="1">IF(totalElements+COUNTIF(Entities!$C$10,"*")+COUNTIF(B335:C335,"*")+COUNTIF(E335:F335,"*")=9,1,0)</f>
        <v>0</v>
      </c>
      <c r="P335" s="4">
        <f>COUNTIF($C$6:C335,C335)</f>
        <v>0</v>
      </c>
      <c r="Q335" s="4">
        <f ca="1">IF(ISNA(M335),0,COUNTIF($M$6:M335,M335))</f>
        <v>0</v>
      </c>
      <c r="R335" s="4" t="e">
        <f t="shared" ca="1" si="35"/>
        <v>#N/A</v>
      </c>
      <c r="S335" s="4">
        <f ca="1">IF(ISNA(M335),0,COUNTIF($R$6:R335,R335))</f>
        <v>0</v>
      </c>
      <c r="T335" s="4" t="e">
        <f t="shared" ca="1" si="34"/>
        <v>#N/A</v>
      </c>
    </row>
    <row r="336" spans="2:20" x14ac:dyDescent="0.3">
      <c r="B336" s="48"/>
      <c r="C336" s="48"/>
      <c r="D336" s="10" t="str">
        <f t="shared" ca="1" si="31"/>
        <v/>
      </c>
      <c r="E336" s="48"/>
      <c r="F336" s="48"/>
      <c r="G336" s="10" t="str">
        <f t="shared" ca="1" si="30"/>
        <v/>
      </c>
      <c r="I336" s="10" t="str">
        <f t="shared" ca="1" si="32"/>
        <v/>
      </c>
      <c r="K336" s="4" t="e">
        <f t="shared" ca="1" si="33"/>
        <v>#N/A</v>
      </c>
      <c r="L336" s="4" t="e">
        <f>VLOOKUP(C336,_resources!B:D,3,0)</f>
        <v>#N/A</v>
      </c>
      <c r="M336" s="4" t="e" cm="1">
        <f t="array" aca="1" ref="M336" ca="1">IF(abbrAtEnd,"",L336&amp;"-")&amp;E336&amp;"-"&amp;INDIRECT(OFFSET(element3,MATCH($C336,resources,0)-1,0))&amp;"-"&amp;INDIRECT(OFFSET(element4,MATCH($C336,resources,0)-1,0))&amp;"-"&amp;INDIRECT(OFFSET(element5,MATCH($C336,resources,0)-1,0))&amp;IF(OFFSET(element6,MATCH($C336,resources,0)-1,0)="","","-"&amp;INDIRECT(OFFSET(element6,MATCH($C336,resources,0)-1,0)))&amp;IF(abbrAtEnd,"-"&amp;L336,"")</f>
        <v>#N/A</v>
      </c>
      <c r="N336" s="4" t="str">
        <f t="shared" si="36"/>
        <v>-000</v>
      </c>
      <c r="O336" s="4">
        <f ca="1">IF(totalElements+COUNTIF(Entities!$C$10,"*")+COUNTIF(B336:C336,"*")+COUNTIF(E336:F336,"*")=9,1,0)</f>
        <v>0</v>
      </c>
      <c r="P336" s="4">
        <f>COUNTIF($C$6:C336,C336)</f>
        <v>0</v>
      </c>
      <c r="Q336" s="4">
        <f ca="1">IF(ISNA(M336),0,COUNTIF($M$6:M336,M336))</f>
        <v>0</v>
      </c>
      <c r="R336" s="4" t="e">
        <f t="shared" ca="1" si="35"/>
        <v>#N/A</v>
      </c>
      <c r="S336" s="4">
        <f ca="1">IF(ISNA(M336),0,COUNTIF($R$6:R336,R336))</f>
        <v>0</v>
      </c>
      <c r="T336" s="4" t="e">
        <f t="shared" ca="1" si="34"/>
        <v>#N/A</v>
      </c>
    </row>
    <row r="337" spans="2:20" x14ac:dyDescent="0.3">
      <c r="B337" s="48"/>
      <c r="C337" s="48"/>
      <c r="D337" s="10" t="str">
        <f t="shared" ca="1" si="31"/>
        <v/>
      </c>
      <c r="E337" s="48"/>
      <c r="F337" s="48"/>
      <c r="G337" s="10" t="str">
        <f t="shared" ca="1" si="30"/>
        <v/>
      </c>
      <c r="I337" s="10" t="str">
        <f t="shared" ca="1" si="32"/>
        <v/>
      </c>
      <c r="K337" s="4" t="e">
        <f t="shared" ca="1" si="33"/>
        <v>#N/A</v>
      </c>
      <c r="L337" s="4" t="e">
        <f>VLOOKUP(C337,_resources!B:D,3,0)</f>
        <v>#N/A</v>
      </c>
      <c r="M337" s="4" t="e" cm="1">
        <f t="array" aca="1" ref="M337" ca="1">IF(abbrAtEnd,"",L337&amp;"-")&amp;E337&amp;"-"&amp;INDIRECT(OFFSET(element3,MATCH($C337,resources,0)-1,0))&amp;"-"&amp;INDIRECT(OFFSET(element4,MATCH($C337,resources,0)-1,0))&amp;"-"&amp;INDIRECT(OFFSET(element5,MATCH($C337,resources,0)-1,0))&amp;IF(OFFSET(element6,MATCH($C337,resources,0)-1,0)="","","-"&amp;INDIRECT(OFFSET(element6,MATCH($C337,resources,0)-1,0)))&amp;IF(abbrAtEnd,"-"&amp;L337,"")</f>
        <v>#N/A</v>
      </c>
      <c r="N337" s="4" t="str">
        <f t="shared" si="36"/>
        <v>-000</v>
      </c>
      <c r="O337" s="4">
        <f ca="1">IF(totalElements+COUNTIF(Entities!$C$10,"*")+COUNTIF(B337:C337,"*")+COUNTIF(E337:F337,"*")=9,1,0)</f>
        <v>0</v>
      </c>
      <c r="P337" s="4">
        <f>COUNTIF($C$6:C337,C337)</f>
        <v>0</v>
      </c>
      <c r="Q337" s="4">
        <f ca="1">IF(ISNA(M337),0,COUNTIF($M$6:M337,M337))</f>
        <v>0</v>
      </c>
      <c r="R337" s="4" t="e">
        <f t="shared" ca="1" si="35"/>
        <v>#N/A</v>
      </c>
      <c r="S337" s="4">
        <f ca="1">IF(ISNA(M337),0,COUNTIF($R$6:R337,R337))</f>
        <v>0</v>
      </c>
      <c r="T337" s="4" t="e">
        <f t="shared" ca="1" si="34"/>
        <v>#N/A</v>
      </c>
    </row>
    <row r="338" spans="2:20" x14ac:dyDescent="0.3">
      <c r="B338" s="48"/>
      <c r="C338" s="48"/>
      <c r="D338" s="10" t="str">
        <f t="shared" ca="1" si="31"/>
        <v/>
      </c>
      <c r="E338" s="48"/>
      <c r="F338" s="48"/>
      <c r="G338" s="10" t="str">
        <f t="shared" ca="1" si="30"/>
        <v/>
      </c>
      <c r="I338" s="10" t="str">
        <f t="shared" ca="1" si="32"/>
        <v/>
      </c>
      <c r="K338" s="4" t="e">
        <f t="shared" ca="1" si="33"/>
        <v>#N/A</v>
      </c>
      <c r="L338" s="4" t="e">
        <f>VLOOKUP(C338,_resources!B:D,3,0)</f>
        <v>#N/A</v>
      </c>
      <c r="M338" s="4" t="e" cm="1">
        <f t="array" aca="1" ref="M338" ca="1">IF(abbrAtEnd,"",L338&amp;"-")&amp;E338&amp;"-"&amp;INDIRECT(OFFSET(element3,MATCH($C338,resources,0)-1,0))&amp;"-"&amp;INDIRECT(OFFSET(element4,MATCH($C338,resources,0)-1,0))&amp;"-"&amp;INDIRECT(OFFSET(element5,MATCH($C338,resources,0)-1,0))&amp;IF(OFFSET(element6,MATCH($C338,resources,0)-1,0)="","","-"&amp;INDIRECT(OFFSET(element6,MATCH($C338,resources,0)-1,0)))&amp;IF(abbrAtEnd,"-"&amp;L338,"")</f>
        <v>#N/A</v>
      </c>
      <c r="N338" s="4" t="str">
        <f t="shared" si="36"/>
        <v>-000</v>
      </c>
      <c r="O338" s="4">
        <f ca="1">IF(totalElements+COUNTIF(Entities!$C$10,"*")+COUNTIF(B338:C338,"*")+COUNTIF(E338:F338,"*")=9,1,0)</f>
        <v>0</v>
      </c>
      <c r="P338" s="4">
        <f>COUNTIF($C$6:C338,C338)</f>
        <v>0</v>
      </c>
      <c r="Q338" s="4">
        <f ca="1">IF(ISNA(M338),0,COUNTIF($M$6:M338,M338))</f>
        <v>0</v>
      </c>
      <c r="R338" s="4" t="e">
        <f t="shared" ca="1" si="35"/>
        <v>#N/A</v>
      </c>
      <c r="S338" s="4">
        <f ca="1">IF(ISNA(M338),0,COUNTIF($R$6:R338,R338))</f>
        <v>0</v>
      </c>
      <c r="T338" s="4" t="e">
        <f t="shared" ca="1" si="34"/>
        <v>#N/A</v>
      </c>
    </row>
    <row r="339" spans="2:20" x14ac:dyDescent="0.3">
      <c r="B339" s="48"/>
      <c r="C339" s="48"/>
      <c r="D339" s="10" t="str">
        <f t="shared" ca="1" si="31"/>
        <v/>
      </c>
      <c r="E339" s="48"/>
      <c r="F339" s="48"/>
      <c r="G339" s="10" t="str">
        <f t="shared" ref="G339:G402" ca="1" si="37">IF(O339,IF(K339="hyphenated",M339&amp;N339,IF(K339="dnsname",E339,IF(K339="alphanumeric",SUBSTITUTE(M339&amp;N339,"-",""),"unknown or missing resource structure"))),"")</f>
        <v/>
      </c>
      <c r="I339" s="10" t="str">
        <f t="shared" ca="1" si="32"/>
        <v/>
      </c>
      <c r="K339" s="4" t="e">
        <f t="shared" ca="1" si="33"/>
        <v>#N/A</v>
      </c>
      <c r="L339" s="4" t="e">
        <f>VLOOKUP(C339,_resources!B:D,3,0)</f>
        <v>#N/A</v>
      </c>
      <c r="M339" s="4" t="e" cm="1">
        <f t="array" aca="1" ref="M339" ca="1">IF(abbrAtEnd,"",L339&amp;"-")&amp;E339&amp;"-"&amp;INDIRECT(OFFSET(element3,MATCH($C339,resources,0)-1,0))&amp;"-"&amp;INDIRECT(OFFSET(element4,MATCH($C339,resources,0)-1,0))&amp;"-"&amp;INDIRECT(OFFSET(element5,MATCH($C339,resources,0)-1,0))&amp;IF(OFFSET(element6,MATCH($C339,resources,0)-1,0)="","","-"&amp;INDIRECT(OFFSET(element6,MATCH($C339,resources,0)-1,0)))&amp;IF(abbrAtEnd,"-"&amp;L339,"")</f>
        <v>#N/A</v>
      </c>
      <c r="N339" s="4" t="str">
        <f t="shared" si="36"/>
        <v>-000</v>
      </c>
      <c r="O339" s="4">
        <f ca="1">IF(totalElements+COUNTIF(Entities!$C$10,"*")+COUNTIF(B339:C339,"*")+COUNTIF(E339:F339,"*")=9,1,0)</f>
        <v>0</v>
      </c>
      <c r="P339" s="4">
        <f>COUNTIF($C$6:C339,C339)</f>
        <v>0</v>
      </c>
      <c r="Q339" s="4">
        <f ca="1">IF(ISNA(M339),0,COUNTIF($M$6:M339,M339))</f>
        <v>0</v>
      </c>
      <c r="R339" s="4" t="e">
        <f t="shared" ca="1" si="35"/>
        <v>#N/A</v>
      </c>
      <c r="S339" s="4">
        <f ca="1">IF(ISNA(M339),0,COUNTIF($R$6:R339,R339))</f>
        <v>0</v>
      </c>
      <c r="T339" s="4" t="e">
        <f t="shared" ca="1" si="34"/>
        <v>#N/A</v>
      </c>
    </row>
    <row r="340" spans="2:20" x14ac:dyDescent="0.3">
      <c r="B340" s="48"/>
      <c r="C340" s="48"/>
      <c r="D340" s="10" t="str">
        <f t="shared" ca="1" si="31"/>
        <v/>
      </c>
      <c r="E340" s="48"/>
      <c r="F340" s="48"/>
      <c r="G340" s="10" t="str">
        <f t="shared" ca="1" si="37"/>
        <v/>
      </c>
      <c r="I340" s="10" t="str">
        <f t="shared" ca="1" si="32"/>
        <v/>
      </c>
      <c r="K340" s="4" t="e">
        <f t="shared" ca="1" si="33"/>
        <v>#N/A</v>
      </c>
      <c r="L340" s="4" t="e">
        <f>VLOOKUP(C340,_resources!B:D,3,0)</f>
        <v>#N/A</v>
      </c>
      <c r="M340" s="4" t="e" cm="1">
        <f t="array" aca="1" ref="M340" ca="1">IF(abbrAtEnd,"",L340&amp;"-")&amp;E340&amp;"-"&amp;INDIRECT(OFFSET(element3,MATCH($C340,resources,0)-1,0))&amp;"-"&amp;INDIRECT(OFFSET(element4,MATCH($C340,resources,0)-1,0))&amp;"-"&amp;INDIRECT(OFFSET(element5,MATCH($C340,resources,0)-1,0))&amp;IF(OFFSET(element6,MATCH($C340,resources,0)-1,0)="","","-"&amp;INDIRECT(OFFSET(element6,MATCH($C340,resources,0)-1,0)))&amp;IF(abbrAtEnd,"-"&amp;L340,"")</f>
        <v>#N/A</v>
      </c>
      <c r="N340" s="4" t="str">
        <f t="shared" si="36"/>
        <v>-000</v>
      </c>
      <c r="O340" s="4">
        <f ca="1">IF(totalElements+COUNTIF(Entities!$C$10,"*")+COUNTIF(B340:C340,"*")+COUNTIF(E340:F340,"*")=9,1,0)</f>
        <v>0</v>
      </c>
      <c r="P340" s="4">
        <f>COUNTIF($C$6:C340,C340)</f>
        <v>0</v>
      </c>
      <c r="Q340" s="4">
        <f ca="1">IF(ISNA(M340),0,COUNTIF($M$6:M340,M340))</f>
        <v>0</v>
      </c>
      <c r="R340" s="4" t="e">
        <f t="shared" ca="1" si="35"/>
        <v>#N/A</v>
      </c>
      <c r="S340" s="4">
        <f ca="1">IF(ISNA(M340),0,COUNTIF($R$6:R340,R340))</f>
        <v>0</v>
      </c>
      <c r="T340" s="4" t="e">
        <f t="shared" ca="1" si="34"/>
        <v>#N/A</v>
      </c>
    </row>
    <row r="341" spans="2:20" x14ac:dyDescent="0.3">
      <c r="B341" s="48"/>
      <c r="C341" s="48"/>
      <c r="D341" s="10" t="str">
        <f t="shared" ca="1" si="31"/>
        <v/>
      </c>
      <c r="E341" s="48"/>
      <c r="F341" s="48"/>
      <c r="G341" s="10" t="str">
        <f t="shared" ca="1" si="37"/>
        <v/>
      </c>
      <c r="I341" s="10" t="str">
        <f t="shared" ca="1" si="32"/>
        <v/>
      </c>
      <c r="K341" s="4" t="e">
        <f t="shared" ca="1" si="33"/>
        <v>#N/A</v>
      </c>
      <c r="L341" s="4" t="e">
        <f>VLOOKUP(C341,_resources!B:D,3,0)</f>
        <v>#N/A</v>
      </c>
      <c r="M341" s="4" t="e" cm="1">
        <f t="array" aca="1" ref="M341" ca="1">IF(abbrAtEnd,"",L341&amp;"-")&amp;E341&amp;"-"&amp;INDIRECT(OFFSET(element3,MATCH($C341,resources,0)-1,0))&amp;"-"&amp;INDIRECT(OFFSET(element4,MATCH($C341,resources,0)-1,0))&amp;"-"&amp;INDIRECT(OFFSET(element5,MATCH($C341,resources,0)-1,0))&amp;IF(OFFSET(element6,MATCH($C341,resources,0)-1,0)="","","-"&amp;INDIRECT(OFFSET(element6,MATCH($C341,resources,0)-1,0)))&amp;IF(abbrAtEnd,"-"&amp;L341,"")</f>
        <v>#N/A</v>
      </c>
      <c r="N341" s="4" t="str">
        <f t="shared" si="36"/>
        <v>-000</v>
      </c>
      <c r="O341" s="4">
        <f ca="1">IF(totalElements+COUNTIF(Entities!$C$10,"*")+COUNTIF(B341:C341,"*")+COUNTIF(E341:F341,"*")=9,1,0)</f>
        <v>0</v>
      </c>
      <c r="P341" s="4">
        <f>COUNTIF($C$6:C341,C341)</f>
        <v>0</v>
      </c>
      <c r="Q341" s="4">
        <f ca="1">IF(ISNA(M341),0,COUNTIF($M$6:M341,M341))</f>
        <v>0</v>
      </c>
      <c r="R341" s="4" t="e">
        <f t="shared" ca="1" si="35"/>
        <v>#N/A</v>
      </c>
      <c r="S341" s="4">
        <f ca="1">IF(ISNA(M341),0,COUNTIF($R$6:R341,R341))</f>
        <v>0</v>
      </c>
      <c r="T341" s="4" t="e">
        <f t="shared" ca="1" si="34"/>
        <v>#N/A</v>
      </c>
    </row>
    <row r="342" spans="2:20" x14ac:dyDescent="0.3">
      <c r="B342" s="48"/>
      <c r="C342" s="48"/>
      <c r="D342" s="10" t="str">
        <f t="shared" ca="1" si="31"/>
        <v/>
      </c>
      <c r="E342" s="48"/>
      <c r="F342" s="48"/>
      <c r="G342" s="10" t="str">
        <f t="shared" ca="1" si="37"/>
        <v/>
      </c>
      <c r="I342" s="10" t="str">
        <f t="shared" ca="1" si="32"/>
        <v/>
      </c>
      <c r="K342" s="4" t="e">
        <f t="shared" ca="1" si="33"/>
        <v>#N/A</v>
      </c>
      <c r="L342" s="4" t="e">
        <f>VLOOKUP(C342,_resources!B:D,3,0)</f>
        <v>#N/A</v>
      </c>
      <c r="M342" s="4" t="e" cm="1">
        <f t="array" aca="1" ref="M342" ca="1">IF(abbrAtEnd,"",L342&amp;"-")&amp;E342&amp;"-"&amp;INDIRECT(OFFSET(element3,MATCH($C342,resources,0)-1,0))&amp;"-"&amp;INDIRECT(OFFSET(element4,MATCH($C342,resources,0)-1,0))&amp;"-"&amp;INDIRECT(OFFSET(element5,MATCH($C342,resources,0)-1,0))&amp;IF(OFFSET(element6,MATCH($C342,resources,0)-1,0)="","","-"&amp;INDIRECT(OFFSET(element6,MATCH($C342,resources,0)-1,0)))&amp;IF(abbrAtEnd,"-"&amp;L342,"")</f>
        <v>#N/A</v>
      </c>
      <c r="N342" s="4" t="str">
        <f t="shared" si="36"/>
        <v>-000</v>
      </c>
      <c r="O342" s="4">
        <f ca="1">IF(totalElements+COUNTIF(Entities!$C$10,"*")+COUNTIF(B342:C342,"*")+COUNTIF(E342:F342,"*")=9,1,0)</f>
        <v>0</v>
      </c>
      <c r="P342" s="4">
        <f>COUNTIF($C$6:C342,C342)</f>
        <v>0</v>
      </c>
      <c r="Q342" s="4">
        <f ca="1">IF(ISNA(M342),0,COUNTIF($M$6:M342,M342))</f>
        <v>0</v>
      </c>
      <c r="R342" s="4" t="e">
        <f t="shared" ca="1" si="35"/>
        <v>#N/A</v>
      </c>
      <c r="S342" s="4">
        <f ca="1">IF(ISNA(M342),0,COUNTIF($R$6:R342,R342))</f>
        <v>0</v>
      </c>
      <c r="T342" s="4" t="e">
        <f t="shared" ca="1" si="34"/>
        <v>#N/A</v>
      </c>
    </row>
    <row r="343" spans="2:20" x14ac:dyDescent="0.3">
      <c r="B343" s="48"/>
      <c r="C343" s="48"/>
      <c r="D343" s="10" t="str">
        <f t="shared" ca="1" si="31"/>
        <v/>
      </c>
      <c r="E343" s="48"/>
      <c r="F343" s="48"/>
      <c r="G343" s="10" t="str">
        <f t="shared" ca="1" si="37"/>
        <v/>
      </c>
      <c r="I343" s="10" t="str">
        <f t="shared" ca="1" si="32"/>
        <v/>
      </c>
      <c r="K343" s="4" t="e">
        <f t="shared" ca="1" si="33"/>
        <v>#N/A</v>
      </c>
      <c r="L343" s="4" t="e">
        <f>VLOOKUP(C343,_resources!B:D,3,0)</f>
        <v>#N/A</v>
      </c>
      <c r="M343" s="4" t="e" cm="1">
        <f t="array" aca="1" ref="M343" ca="1">IF(abbrAtEnd,"",L343&amp;"-")&amp;E343&amp;"-"&amp;INDIRECT(OFFSET(element3,MATCH($C343,resources,0)-1,0))&amp;"-"&amp;INDIRECT(OFFSET(element4,MATCH($C343,resources,0)-1,0))&amp;"-"&amp;INDIRECT(OFFSET(element5,MATCH($C343,resources,0)-1,0))&amp;IF(OFFSET(element6,MATCH($C343,resources,0)-1,0)="","","-"&amp;INDIRECT(OFFSET(element6,MATCH($C343,resources,0)-1,0)))&amp;IF(abbrAtEnd,"-"&amp;L343,"")</f>
        <v>#N/A</v>
      </c>
      <c r="N343" s="4" t="str">
        <f t="shared" si="36"/>
        <v>-000</v>
      </c>
      <c r="O343" s="4">
        <f ca="1">IF(totalElements+COUNTIF(Entities!$C$10,"*")+COUNTIF(B343:C343,"*")+COUNTIF(E343:F343,"*")=9,1,0)</f>
        <v>0</v>
      </c>
      <c r="P343" s="4">
        <f>COUNTIF($C$6:C343,C343)</f>
        <v>0</v>
      </c>
      <c r="Q343" s="4">
        <f ca="1">IF(ISNA(M343),0,COUNTIF($M$6:M343,M343))</f>
        <v>0</v>
      </c>
      <c r="R343" s="4" t="e">
        <f t="shared" ca="1" si="35"/>
        <v>#N/A</v>
      </c>
      <c r="S343" s="4">
        <f ca="1">IF(ISNA(M343),0,COUNTIF($R$6:R343,R343))</f>
        <v>0</v>
      </c>
      <c r="T343" s="4" t="e">
        <f t="shared" ca="1" si="34"/>
        <v>#N/A</v>
      </c>
    </row>
    <row r="344" spans="2:20" x14ac:dyDescent="0.3">
      <c r="B344" s="48"/>
      <c r="C344" s="48"/>
      <c r="D344" s="10" t="str">
        <f t="shared" ca="1" si="31"/>
        <v/>
      </c>
      <c r="E344" s="48"/>
      <c r="F344" s="48"/>
      <c r="G344" s="10" t="str">
        <f t="shared" ca="1" si="37"/>
        <v/>
      </c>
      <c r="I344" s="10" t="str">
        <f t="shared" ca="1" si="32"/>
        <v/>
      </c>
      <c r="K344" s="4" t="e">
        <f t="shared" ca="1" si="33"/>
        <v>#N/A</v>
      </c>
      <c r="L344" s="4" t="e">
        <f>VLOOKUP(C344,_resources!B:D,3,0)</f>
        <v>#N/A</v>
      </c>
      <c r="M344" s="4" t="e" cm="1">
        <f t="array" aca="1" ref="M344" ca="1">IF(abbrAtEnd,"",L344&amp;"-")&amp;E344&amp;"-"&amp;INDIRECT(OFFSET(element3,MATCH($C344,resources,0)-1,0))&amp;"-"&amp;INDIRECT(OFFSET(element4,MATCH($C344,resources,0)-1,0))&amp;"-"&amp;INDIRECT(OFFSET(element5,MATCH($C344,resources,0)-1,0))&amp;IF(OFFSET(element6,MATCH($C344,resources,0)-1,0)="","","-"&amp;INDIRECT(OFFSET(element6,MATCH($C344,resources,0)-1,0)))&amp;IF(abbrAtEnd,"-"&amp;L344,"")</f>
        <v>#N/A</v>
      </c>
      <c r="N344" s="4" t="str">
        <f t="shared" si="36"/>
        <v>-000</v>
      </c>
      <c r="O344" s="4">
        <f ca="1">IF(totalElements+COUNTIF(Entities!$C$10,"*")+COUNTIF(B344:C344,"*")+COUNTIF(E344:F344,"*")=9,1,0)</f>
        <v>0</v>
      </c>
      <c r="P344" s="4">
        <f>COUNTIF($C$6:C344,C344)</f>
        <v>0</v>
      </c>
      <c r="Q344" s="4">
        <f ca="1">IF(ISNA(M344),0,COUNTIF($M$6:M344,M344))</f>
        <v>0</v>
      </c>
      <c r="R344" s="4" t="e">
        <f t="shared" ca="1" si="35"/>
        <v>#N/A</v>
      </c>
      <c r="S344" s="4">
        <f ca="1">IF(ISNA(M344),0,COUNTIF($R$6:R344,R344))</f>
        <v>0</v>
      </c>
      <c r="T344" s="4" t="e">
        <f t="shared" ca="1" si="34"/>
        <v>#N/A</v>
      </c>
    </row>
    <row r="345" spans="2:20" x14ac:dyDescent="0.3">
      <c r="B345" s="48"/>
      <c r="C345" s="48"/>
      <c r="D345" s="10" t="str">
        <f t="shared" ca="1" si="31"/>
        <v/>
      </c>
      <c r="E345" s="48"/>
      <c r="F345" s="48"/>
      <c r="G345" s="10" t="str">
        <f t="shared" ca="1" si="37"/>
        <v/>
      </c>
      <c r="I345" s="10" t="str">
        <f t="shared" ca="1" si="32"/>
        <v/>
      </c>
      <c r="K345" s="4" t="e">
        <f t="shared" ca="1" si="33"/>
        <v>#N/A</v>
      </c>
      <c r="L345" s="4" t="e">
        <f>VLOOKUP(C345,_resources!B:D,3,0)</f>
        <v>#N/A</v>
      </c>
      <c r="M345" s="4" t="e" cm="1">
        <f t="array" aca="1" ref="M345" ca="1">IF(abbrAtEnd,"",L345&amp;"-")&amp;E345&amp;"-"&amp;INDIRECT(OFFSET(element3,MATCH($C345,resources,0)-1,0))&amp;"-"&amp;INDIRECT(OFFSET(element4,MATCH($C345,resources,0)-1,0))&amp;"-"&amp;INDIRECT(OFFSET(element5,MATCH($C345,resources,0)-1,0))&amp;IF(OFFSET(element6,MATCH($C345,resources,0)-1,0)="","","-"&amp;INDIRECT(OFFSET(element6,MATCH($C345,resources,0)-1,0)))&amp;IF(abbrAtEnd,"-"&amp;L345,"")</f>
        <v>#N/A</v>
      </c>
      <c r="N345" s="4" t="str">
        <f t="shared" si="36"/>
        <v>-000</v>
      </c>
      <c r="O345" s="4">
        <f ca="1">IF(totalElements+COUNTIF(Entities!$C$10,"*")+COUNTIF(B345:C345,"*")+COUNTIF(E345:F345,"*")=9,1,0)</f>
        <v>0</v>
      </c>
      <c r="P345" s="4">
        <f>COUNTIF($C$6:C345,C345)</f>
        <v>0</v>
      </c>
      <c r="Q345" s="4">
        <f ca="1">IF(ISNA(M345),0,COUNTIF($M$6:M345,M345))</f>
        <v>0</v>
      </c>
      <c r="R345" s="4" t="e">
        <f t="shared" ca="1" si="35"/>
        <v>#N/A</v>
      </c>
      <c r="S345" s="4">
        <f ca="1">IF(ISNA(M345),0,COUNTIF($R$6:R345,R345))</f>
        <v>0</v>
      </c>
      <c r="T345" s="4" t="e">
        <f t="shared" ca="1" si="34"/>
        <v>#N/A</v>
      </c>
    </row>
    <row r="346" spans="2:20" x14ac:dyDescent="0.3">
      <c r="B346" s="48"/>
      <c r="C346" s="48"/>
      <c r="D346" s="10" t="str">
        <f t="shared" ca="1" si="31"/>
        <v/>
      </c>
      <c r="E346" s="48"/>
      <c r="F346" s="48"/>
      <c r="G346" s="10" t="str">
        <f t="shared" ca="1" si="37"/>
        <v/>
      </c>
      <c r="I346" s="10" t="str">
        <f t="shared" ca="1" si="32"/>
        <v/>
      </c>
      <c r="K346" s="4" t="e">
        <f t="shared" ca="1" si="33"/>
        <v>#N/A</v>
      </c>
      <c r="L346" s="4" t="e">
        <f>VLOOKUP(C346,_resources!B:D,3,0)</f>
        <v>#N/A</v>
      </c>
      <c r="M346" s="4" t="e" cm="1">
        <f t="array" aca="1" ref="M346" ca="1">IF(abbrAtEnd,"",L346&amp;"-")&amp;E346&amp;"-"&amp;INDIRECT(OFFSET(element3,MATCH($C346,resources,0)-1,0))&amp;"-"&amp;INDIRECT(OFFSET(element4,MATCH($C346,resources,0)-1,0))&amp;"-"&amp;INDIRECT(OFFSET(element5,MATCH($C346,resources,0)-1,0))&amp;IF(OFFSET(element6,MATCH($C346,resources,0)-1,0)="","","-"&amp;INDIRECT(OFFSET(element6,MATCH($C346,resources,0)-1,0)))&amp;IF(abbrAtEnd,"-"&amp;L346,"")</f>
        <v>#N/A</v>
      </c>
      <c r="N346" s="4" t="str">
        <f t="shared" si="36"/>
        <v>-000</v>
      </c>
      <c r="O346" s="4">
        <f ca="1">IF(totalElements+COUNTIF(Entities!$C$10,"*")+COUNTIF(B346:C346,"*")+COUNTIF(E346:F346,"*")=9,1,0)</f>
        <v>0</v>
      </c>
      <c r="P346" s="4">
        <f>COUNTIF($C$6:C346,C346)</f>
        <v>0</v>
      </c>
      <c r="Q346" s="4">
        <f ca="1">IF(ISNA(M346),0,COUNTIF($M$6:M346,M346))</f>
        <v>0</v>
      </c>
      <c r="R346" s="4" t="e">
        <f t="shared" ca="1" si="35"/>
        <v>#N/A</v>
      </c>
      <c r="S346" s="4">
        <f ca="1">IF(ISNA(M346),0,COUNTIF($R$6:R346,R346))</f>
        <v>0</v>
      </c>
      <c r="T346" s="4" t="e">
        <f t="shared" ca="1" si="34"/>
        <v>#N/A</v>
      </c>
    </row>
    <row r="347" spans="2:20" x14ac:dyDescent="0.3">
      <c r="B347" s="48"/>
      <c r="C347" s="48"/>
      <c r="D347" s="10" t="str">
        <f t="shared" ca="1" si="31"/>
        <v/>
      </c>
      <c r="E347" s="48"/>
      <c r="F347" s="48"/>
      <c r="G347" s="10" t="str">
        <f t="shared" ca="1" si="37"/>
        <v/>
      </c>
      <c r="I347" s="10" t="str">
        <f t="shared" ca="1" si="32"/>
        <v/>
      </c>
      <c r="K347" s="4" t="e">
        <f t="shared" ca="1" si="33"/>
        <v>#N/A</v>
      </c>
      <c r="L347" s="4" t="e">
        <f>VLOOKUP(C347,_resources!B:D,3,0)</f>
        <v>#N/A</v>
      </c>
      <c r="M347" s="4" t="e" cm="1">
        <f t="array" aca="1" ref="M347" ca="1">IF(abbrAtEnd,"",L347&amp;"-")&amp;E347&amp;"-"&amp;INDIRECT(OFFSET(element3,MATCH($C347,resources,0)-1,0))&amp;"-"&amp;INDIRECT(OFFSET(element4,MATCH($C347,resources,0)-1,0))&amp;"-"&amp;INDIRECT(OFFSET(element5,MATCH($C347,resources,0)-1,0))&amp;IF(OFFSET(element6,MATCH($C347,resources,0)-1,0)="","","-"&amp;INDIRECT(OFFSET(element6,MATCH($C347,resources,0)-1,0)))&amp;IF(abbrAtEnd,"-"&amp;L347,"")</f>
        <v>#N/A</v>
      </c>
      <c r="N347" s="4" t="str">
        <f t="shared" si="36"/>
        <v>-000</v>
      </c>
      <c r="O347" s="4">
        <f ca="1">IF(totalElements+COUNTIF(Entities!$C$10,"*")+COUNTIF(B347:C347,"*")+COUNTIF(E347:F347,"*")=9,1,0)</f>
        <v>0</v>
      </c>
      <c r="P347" s="4">
        <f>COUNTIF($C$6:C347,C347)</f>
        <v>0</v>
      </c>
      <c r="Q347" s="4">
        <f ca="1">IF(ISNA(M347),0,COUNTIF($M$6:M347,M347))</f>
        <v>0</v>
      </c>
      <c r="R347" s="4" t="e">
        <f t="shared" ca="1" si="35"/>
        <v>#N/A</v>
      </c>
      <c r="S347" s="4">
        <f ca="1">IF(ISNA(M347),0,COUNTIF($R$6:R347,R347))</f>
        <v>0</v>
      </c>
      <c r="T347" s="4" t="e">
        <f t="shared" ca="1" si="34"/>
        <v>#N/A</v>
      </c>
    </row>
    <row r="348" spans="2:20" x14ac:dyDescent="0.3">
      <c r="B348" s="48"/>
      <c r="C348" s="48"/>
      <c r="D348" s="10" t="str">
        <f t="shared" ca="1" si="31"/>
        <v/>
      </c>
      <c r="E348" s="48"/>
      <c r="F348" s="48"/>
      <c r="G348" s="10" t="str">
        <f t="shared" ca="1" si="37"/>
        <v/>
      </c>
      <c r="I348" s="10" t="str">
        <f t="shared" ca="1" si="32"/>
        <v/>
      </c>
      <c r="K348" s="4" t="e">
        <f t="shared" ca="1" si="33"/>
        <v>#N/A</v>
      </c>
      <c r="L348" s="4" t="e">
        <f>VLOOKUP(C348,_resources!B:D,3,0)</f>
        <v>#N/A</v>
      </c>
      <c r="M348" s="4" t="e" cm="1">
        <f t="array" aca="1" ref="M348" ca="1">IF(abbrAtEnd,"",L348&amp;"-")&amp;E348&amp;"-"&amp;INDIRECT(OFFSET(element3,MATCH($C348,resources,0)-1,0))&amp;"-"&amp;INDIRECT(OFFSET(element4,MATCH($C348,resources,0)-1,0))&amp;"-"&amp;INDIRECT(OFFSET(element5,MATCH($C348,resources,0)-1,0))&amp;IF(OFFSET(element6,MATCH($C348,resources,0)-1,0)="","","-"&amp;INDIRECT(OFFSET(element6,MATCH($C348,resources,0)-1,0)))&amp;IF(abbrAtEnd,"-"&amp;L348,"")</f>
        <v>#N/A</v>
      </c>
      <c r="N348" s="4" t="str">
        <f t="shared" si="36"/>
        <v>-000</v>
      </c>
      <c r="O348" s="4">
        <f ca="1">IF(totalElements+COUNTIF(Entities!$C$10,"*")+COUNTIF(B348:C348,"*")+COUNTIF(E348:F348,"*")=9,1,0)</f>
        <v>0</v>
      </c>
      <c r="P348" s="4">
        <f>COUNTIF($C$6:C348,C348)</f>
        <v>0</v>
      </c>
      <c r="Q348" s="4">
        <f ca="1">IF(ISNA(M348),0,COUNTIF($M$6:M348,M348))</f>
        <v>0</v>
      </c>
      <c r="R348" s="4" t="e">
        <f t="shared" ca="1" si="35"/>
        <v>#N/A</v>
      </c>
      <c r="S348" s="4">
        <f ca="1">IF(ISNA(M348),0,COUNTIF($R$6:R348,R348))</f>
        <v>0</v>
      </c>
      <c r="T348" s="4" t="e">
        <f t="shared" ca="1" si="34"/>
        <v>#N/A</v>
      </c>
    </row>
    <row r="349" spans="2:20" x14ac:dyDescent="0.3">
      <c r="B349" s="48"/>
      <c r="C349" s="48"/>
      <c r="D349" s="10" t="str">
        <f t="shared" ca="1" si="31"/>
        <v/>
      </c>
      <c r="E349" s="48"/>
      <c r="F349" s="48"/>
      <c r="G349" s="10" t="str">
        <f t="shared" ca="1" si="37"/>
        <v/>
      </c>
      <c r="I349" s="10" t="str">
        <f t="shared" ca="1" si="32"/>
        <v/>
      </c>
      <c r="K349" s="4" t="e">
        <f t="shared" ca="1" si="33"/>
        <v>#N/A</v>
      </c>
      <c r="L349" s="4" t="e">
        <f>VLOOKUP(C349,_resources!B:D,3,0)</f>
        <v>#N/A</v>
      </c>
      <c r="M349" s="4" t="e" cm="1">
        <f t="array" aca="1" ref="M349" ca="1">IF(abbrAtEnd,"",L349&amp;"-")&amp;E349&amp;"-"&amp;INDIRECT(OFFSET(element3,MATCH($C349,resources,0)-1,0))&amp;"-"&amp;INDIRECT(OFFSET(element4,MATCH($C349,resources,0)-1,0))&amp;"-"&amp;INDIRECT(OFFSET(element5,MATCH($C349,resources,0)-1,0))&amp;IF(OFFSET(element6,MATCH($C349,resources,0)-1,0)="","","-"&amp;INDIRECT(OFFSET(element6,MATCH($C349,resources,0)-1,0)))&amp;IF(abbrAtEnd,"-"&amp;L349,"")</f>
        <v>#N/A</v>
      </c>
      <c r="N349" s="4" t="str">
        <f t="shared" si="36"/>
        <v>-000</v>
      </c>
      <c r="O349" s="4">
        <f ca="1">IF(totalElements+COUNTIF(Entities!$C$10,"*")+COUNTIF(B349:C349,"*")+COUNTIF(E349:F349,"*")=9,1,0)</f>
        <v>0</v>
      </c>
      <c r="P349" s="4">
        <f>COUNTIF($C$6:C349,C349)</f>
        <v>0</v>
      </c>
      <c r="Q349" s="4">
        <f ca="1">IF(ISNA(M349),0,COUNTIF($M$6:M349,M349))</f>
        <v>0</v>
      </c>
      <c r="R349" s="4" t="e">
        <f t="shared" ca="1" si="35"/>
        <v>#N/A</v>
      </c>
      <c r="S349" s="4">
        <f ca="1">IF(ISNA(M349),0,COUNTIF($R$6:R349,R349))</f>
        <v>0</v>
      </c>
      <c r="T349" s="4" t="e">
        <f t="shared" ca="1" si="34"/>
        <v>#N/A</v>
      </c>
    </row>
    <row r="350" spans="2:20" x14ac:dyDescent="0.3">
      <c r="B350" s="48"/>
      <c r="C350" s="48"/>
      <c r="D350" s="10" t="str">
        <f t="shared" ca="1" si="31"/>
        <v/>
      </c>
      <c r="E350" s="48"/>
      <c r="F350" s="48"/>
      <c r="G350" s="10" t="str">
        <f t="shared" ca="1" si="37"/>
        <v/>
      </c>
      <c r="I350" s="10" t="str">
        <f t="shared" ca="1" si="32"/>
        <v/>
      </c>
      <c r="K350" s="4" t="e">
        <f t="shared" ca="1" si="33"/>
        <v>#N/A</v>
      </c>
      <c r="L350" s="4" t="e">
        <f>VLOOKUP(C350,_resources!B:D,3,0)</f>
        <v>#N/A</v>
      </c>
      <c r="M350" s="4" t="e" cm="1">
        <f t="array" aca="1" ref="M350" ca="1">IF(abbrAtEnd,"",L350&amp;"-")&amp;E350&amp;"-"&amp;INDIRECT(OFFSET(element3,MATCH($C350,resources,0)-1,0))&amp;"-"&amp;INDIRECT(OFFSET(element4,MATCH($C350,resources,0)-1,0))&amp;"-"&amp;INDIRECT(OFFSET(element5,MATCH($C350,resources,0)-1,0))&amp;IF(OFFSET(element6,MATCH($C350,resources,0)-1,0)="","","-"&amp;INDIRECT(OFFSET(element6,MATCH($C350,resources,0)-1,0)))&amp;IF(abbrAtEnd,"-"&amp;L350,"")</f>
        <v>#N/A</v>
      </c>
      <c r="N350" s="4" t="str">
        <f t="shared" si="36"/>
        <v>-000</v>
      </c>
      <c r="O350" s="4">
        <f ca="1">IF(totalElements+COUNTIF(Entities!$C$10,"*")+COUNTIF(B350:C350,"*")+COUNTIF(E350:F350,"*")=9,1,0)</f>
        <v>0</v>
      </c>
      <c r="P350" s="4">
        <f>COUNTIF($C$6:C350,C350)</f>
        <v>0</v>
      </c>
      <c r="Q350" s="4">
        <f ca="1">IF(ISNA(M350),0,COUNTIF($M$6:M350,M350))</f>
        <v>0</v>
      </c>
      <c r="R350" s="4" t="e">
        <f t="shared" ca="1" si="35"/>
        <v>#N/A</v>
      </c>
      <c r="S350" s="4">
        <f ca="1">IF(ISNA(M350),0,COUNTIF($R$6:R350,R350))</f>
        <v>0</v>
      </c>
      <c r="T350" s="4" t="e">
        <f t="shared" ca="1" si="34"/>
        <v>#N/A</v>
      </c>
    </row>
    <row r="351" spans="2:20" x14ac:dyDescent="0.3">
      <c r="B351" s="48"/>
      <c r="C351" s="48"/>
      <c r="D351" s="10" t="str">
        <f t="shared" ca="1" si="31"/>
        <v/>
      </c>
      <c r="E351" s="48"/>
      <c r="F351" s="48"/>
      <c r="G351" s="10" t="str">
        <f t="shared" ca="1" si="37"/>
        <v/>
      </c>
      <c r="I351" s="10" t="str">
        <f t="shared" ca="1" si="32"/>
        <v/>
      </c>
      <c r="K351" s="4" t="e">
        <f t="shared" ca="1" si="33"/>
        <v>#N/A</v>
      </c>
      <c r="L351" s="4" t="e">
        <f>VLOOKUP(C351,_resources!B:D,3,0)</f>
        <v>#N/A</v>
      </c>
      <c r="M351" s="4" t="e" cm="1">
        <f t="array" aca="1" ref="M351" ca="1">IF(abbrAtEnd,"",L351&amp;"-")&amp;E351&amp;"-"&amp;INDIRECT(OFFSET(element3,MATCH($C351,resources,0)-1,0))&amp;"-"&amp;INDIRECT(OFFSET(element4,MATCH($C351,resources,0)-1,0))&amp;"-"&amp;INDIRECT(OFFSET(element5,MATCH($C351,resources,0)-1,0))&amp;IF(OFFSET(element6,MATCH($C351,resources,0)-1,0)="","","-"&amp;INDIRECT(OFFSET(element6,MATCH($C351,resources,0)-1,0)))&amp;IF(abbrAtEnd,"-"&amp;L351,"")</f>
        <v>#N/A</v>
      </c>
      <c r="N351" s="4" t="str">
        <f t="shared" si="36"/>
        <v>-000</v>
      </c>
      <c r="O351" s="4">
        <f ca="1">IF(totalElements+COUNTIF(Entities!$C$10,"*")+COUNTIF(B351:C351,"*")+COUNTIF(E351:F351,"*")=9,1,0)</f>
        <v>0</v>
      </c>
      <c r="P351" s="4">
        <f>COUNTIF($C$6:C351,C351)</f>
        <v>0</v>
      </c>
      <c r="Q351" s="4">
        <f ca="1">IF(ISNA(M351),0,COUNTIF($M$6:M351,M351))</f>
        <v>0</v>
      </c>
      <c r="R351" s="4" t="e">
        <f t="shared" ca="1" si="35"/>
        <v>#N/A</v>
      </c>
      <c r="S351" s="4">
        <f ca="1">IF(ISNA(M351),0,COUNTIF($R$6:R351,R351))</f>
        <v>0</v>
      </c>
      <c r="T351" s="4" t="e">
        <f t="shared" ca="1" si="34"/>
        <v>#N/A</v>
      </c>
    </row>
    <row r="352" spans="2:20" x14ac:dyDescent="0.3">
      <c r="B352" s="48"/>
      <c r="C352" s="48"/>
      <c r="D352" s="10" t="str">
        <f t="shared" ca="1" si="31"/>
        <v/>
      </c>
      <c r="E352" s="48"/>
      <c r="F352" s="48"/>
      <c r="G352" s="10" t="str">
        <f t="shared" ca="1" si="37"/>
        <v/>
      </c>
      <c r="I352" s="10" t="str">
        <f t="shared" ca="1" si="32"/>
        <v/>
      </c>
      <c r="K352" s="4" t="e">
        <f t="shared" ca="1" si="33"/>
        <v>#N/A</v>
      </c>
      <c r="L352" s="4" t="e">
        <f>VLOOKUP(C352,_resources!B:D,3,0)</f>
        <v>#N/A</v>
      </c>
      <c r="M352" s="4" t="e" cm="1">
        <f t="array" aca="1" ref="M352" ca="1">IF(abbrAtEnd,"",L352&amp;"-")&amp;E352&amp;"-"&amp;INDIRECT(OFFSET(element3,MATCH($C352,resources,0)-1,0))&amp;"-"&amp;INDIRECT(OFFSET(element4,MATCH($C352,resources,0)-1,0))&amp;"-"&amp;INDIRECT(OFFSET(element5,MATCH($C352,resources,0)-1,0))&amp;IF(OFFSET(element6,MATCH($C352,resources,0)-1,0)="","","-"&amp;INDIRECT(OFFSET(element6,MATCH($C352,resources,0)-1,0)))&amp;IF(abbrAtEnd,"-"&amp;L352,"")</f>
        <v>#N/A</v>
      </c>
      <c r="N352" s="4" t="str">
        <f t="shared" si="36"/>
        <v>-000</v>
      </c>
      <c r="O352" s="4">
        <f ca="1">IF(totalElements+COUNTIF(Entities!$C$10,"*")+COUNTIF(B352:C352,"*")+COUNTIF(E352:F352,"*")=9,1,0)</f>
        <v>0</v>
      </c>
      <c r="P352" s="4">
        <f>COUNTIF($C$6:C352,C352)</f>
        <v>0</v>
      </c>
      <c r="Q352" s="4">
        <f ca="1">IF(ISNA(M352),0,COUNTIF($M$6:M352,M352))</f>
        <v>0</v>
      </c>
      <c r="R352" s="4" t="e">
        <f t="shared" ca="1" si="35"/>
        <v>#N/A</v>
      </c>
      <c r="S352" s="4">
        <f ca="1">IF(ISNA(M352),0,COUNTIF($R$6:R352,R352))</f>
        <v>0</v>
      </c>
      <c r="T352" s="4" t="e">
        <f t="shared" ca="1" si="34"/>
        <v>#N/A</v>
      </c>
    </row>
    <row r="353" spans="2:20" x14ac:dyDescent="0.3">
      <c r="B353" s="48"/>
      <c r="C353" s="48"/>
      <c r="D353" s="10" t="str">
        <f t="shared" ca="1" si="31"/>
        <v/>
      </c>
      <c r="E353" s="48"/>
      <c r="F353" s="48"/>
      <c r="G353" s="10" t="str">
        <f t="shared" ca="1" si="37"/>
        <v/>
      </c>
      <c r="I353" s="10" t="str">
        <f t="shared" ca="1" si="32"/>
        <v/>
      </c>
      <c r="K353" s="4" t="e">
        <f t="shared" ca="1" si="33"/>
        <v>#N/A</v>
      </c>
      <c r="L353" s="4" t="e">
        <f>VLOOKUP(C353,_resources!B:D,3,0)</f>
        <v>#N/A</v>
      </c>
      <c r="M353" s="4" t="e" cm="1">
        <f t="array" aca="1" ref="M353" ca="1">IF(abbrAtEnd,"",L353&amp;"-")&amp;E353&amp;"-"&amp;INDIRECT(OFFSET(element3,MATCH($C353,resources,0)-1,0))&amp;"-"&amp;INDIRECT(OFFSET(element4,MATCH($C353,resources,0)-1,0))&amp;"-"&amp;INDIRECT(OFFSET(element5,MATCH($C353,resources,0)-1,0))&amp;IF(OFFSET(element6,MATCH($C353,resources,0)-1,0)="","","-"&amp;INDIRECT(OFFSET(element6,MATCH($C353,resources,0)-1,0)))&amp;IF(abbrAtEnd,"-"&amp;L353,"")</f>
        <v>#N/A</v>
      </c>
      <c r="N353" s="4" t="str">
        <f t="shared" si="36"/>
        <v>-000</v>
      </c>
      <c r="O353" s="4">
        <f ca="1">IF(totalElements+COUNTIF(Entities!$C$10,"*")+COUNTIF(B353:C353,"*")+COUNTIF(E353:F353,"*")=9,1,0)</f>
        <v>0</v>
      </c>
      <c r="P353" s="4">
        <f>COUNTIF($C$6:C353,C353)</f>
        <v>0</v>
      </c>
      <c r="Q353" s="4">
        <f ca="1">IF(ISNA(M353),0,COUNTIF($M$6:M353,M353))</f>
        <v>0</v>
      </c>
      <c r="R353" s="4" t="e">
        <f t="shared" ca="1" si="35"/>
        <v>#N/A</v>
      </c>
      <c r="S353" s="4">
        <f ca="1">IF(ISNA(M353),0,COUNTIF($R$6:R353,R353))</f>
        <v>0</v>
      </c>
      <c r="T353" s="4" t="e">
        <f t="shared" ca="1" si="34"/>
        <v>#N/A</v>
      </c>
    </row>
    <row r="354" spans="2:20" x14ac:dyDescent="0.3">
      <c r="B354" s="48"/>
      <c r="C354" s="48"/>
      <c r="D354" s="10" t="str">
        <f t="shared" ca="1" si="31"/>
        <v/>
      </c>
      <c r="E354" s="48"/>
      <c r="F354" s="48"/>
      <c r="G354" s="10" t="str">
        <f t="shared" ca="1" si="37"/>
        <v/>
      </c>
      <c r="I354" s="10" t="str">
        <f t="shared" ca="1" si="32"/>
        <v/>
      </c>
      <c r="K354" s="4" t="e">
        <f t="shared" ca="1" si="33"/>
        <v>#N/A</v>
      </c>
      <c r="L354" s="4" t="e">
        <f>VLOOKUP(C354,_resources!B:D,3,0)</f>
        <v>#N/A</v>
      </c>
      <c r="M354" s="4" t="e" cm="1">
        <f t="array" aca="1" ref="M354" ca="1">IF(abbrAtEnd,"",L354&amp;"-")&amp;E354&amp;"-"&amp;INDIRECT(OFFSET(element3,MATCH($C354,resources,0)-1,0))&amp;"-"&amp;INDIRECT(OFFSET(element4,MATCH($C354,resources,0)-1,0))&amp;"-"&amp;INDIRECT(OFFSET(element5,MATCH($C354,resources,0)-1,0))&amp;IF(OFFSET(element6,MATCH($C354,resources,0)-1,0)="","","-"&amp;INDIRECT(OFFSET(element6,MATCH($C354,resources,0)-1,0)))&amp;IF(abbrAtEnd,"-"&amp;L354,"")</f>
        <v>#N/A</v>
      </c>
      <c r="N354" s="4" t="str">
        <f t="shared" si="36"/>
        <v>-000</v>
      </c>
      <c r="O354" s="4">
        <f ca="1">IF(totalElements+COUNTIF(Entities!$C$10,"*")+COUNTIF(B354:C354,"*")+COUNTIF(E354:F354,"*")=9,1,0)</f>
        <v>0</v>
      </c>
      <c r="P354" s="4">
        <f>COUNTIF($C$6:C354,C354)</f>
        <v>0</v>
      </c>
      <c r="Q354" s="4">
        <f ca="1">IF(ISNA(M354),0,COUNTIF($M$6:M354,M354))</f>
        <v>0</v>
      </c>
      <c r="R354" s="4" t="e">
        <f t="shared" ca="1" si="35"/>
        <v>#N/A</v>
      </c>
      <c r="S354" s="4">
        <f ca="1">IF(ISNA(M354),0,COUNTIF($R$6:R354,R354))</f>
        <v>0</v>
      </c>
      <c r="T354" s="4" t="e">
        <f t="shared" ca="1" si="34"/>
        <v>#N/A</v>
      </c>
    </row>
    <row r="355" spans="2:20" x14ac:dyDescent="0.3">
      <c r="B355" s="48"/>
      <c r="C355" s="48"/>
      <c r="D355" s="10" t="str">
        <f t="shared" ca="1" si="31"/>
        <v/>
      </c>
      <c r="E355" s="48"/>
      <c r="F355" s="48"/>
      <c r="G355" s="10" t="str">
        <f t="shared" ca="1" si="37"/>
        <v/>
      </c>
      <c r="I355" s="10" t="str">
        <f t="shared" ca="1" si="32"/>
        <v/>
      </c>
      <c r="K355" s="4" t="e">
        <f t="shared" ca="1" si="33"/>
        <v>#N/A</v>
      </c>
      <c r="L355" s="4" t="e">
        <f>VLOOKUP(C355,_resources!B:D,3,0)</f>
        <v>#N/A</v>
      </c>
      <c r="M355" s="4" t="e" cm="1">
        <f t="array" aca="1" ref="M355" ca="1">IF(abbrAtEnd,"",L355&amp;"-")&amp;E355&amp;"-"&amp;INDIRECT(OFFSET(element3,MATCH($C355,resources,0)-1,0))&amp;"-"&amp;INDIRECT(OFFSET(element4,MATCH($C355,resources,0)-1,0))&amp;"-"&amp;INDIRECT(OFFSET(element5,MATCH($C355,resources,0)-1,0))&amp;IF(OFFSET(element6,MATCH($C355,resources,0)-1,0)="","","-"&amp;INDIRECT(OFFSET(element6,MATCH($C355,resources,0)-1,0)))&amp;IF(abbrAtEnd,"-"&amp;L355,"")</f>
        <v>#N/A</v>
      </c>
      <c r="N355" s="4" t="str">
        <f t="shared" si="36"/>
        <v>-000</v>
      </c>
      <c r="O355" s="4">
        <f ca="1">IF(totalElements+COUNTIF(Entities!$C$10,"*")+COUNTIF(B355:C355,"*")+COUNTIF(E355:F355,"*")=9,1,0)</f>
        <v>0</v>
      </c>
      <c r="P355" s="4">
        <f>COUNTIF($C$6:C355,C355)</f>
        <v>0</v>
      </c>
      <c r="Q355" s="4">
        <f ca="1">IF(ISNA(M355),0,COUNTIF($M$6:M355,M355))</f>
        <v>0</v>
      </c>
      <c r="R355" s="4" t="e">
        <f t="shared" ca="1" si="35"/>
        <v>#N/A</v>
      </c>
      <c r="S355" s="4">
        <f ca="1">IF(ISNA(M355),0,COUNTIF($R$6:R355,R355))</f>
        <v>0</v>
      </c>
      <c r="T355" s="4" t="e">
        <f t="shared" ca="1" si="34"/>
        <v>#N/A</v>
      </c>
    </row>
    <row r="356" spans="2:20" x14ac:dyDescent="0.3">
      <c r="B356" s="48"/>
      <c r="C356" s="48"/>
      <c r="D356" s="10" t="str">
        <f t="shared" ca="1" si="31"/>
        <v/>
      </c>
      <c r="E356" s="48"/>
      <c r="F356" s="48"/>
      <c r="G356" s="10" t="str">
        <f t="shared" ca="1" si="37"/>
        <v/>
      </c>
      <c r="I356" s="10" t="str">
        <f t="shared" ca="1" si="32"/>
        <v/>
      </c>
      <c r="K356" s="4" t="e">
        <f t="shared" ca="1" si="33"/>
        <v>#N/A</v>
      </c>
      <c r="L356" s="4" t="e">
        <f>VLOOKUP(C356,_resources!B:D,3,0)</f>
        <v>#N/A</v>
      </c>
      <c r="M356" s="4" t="e" cm="1">
        <f t="array" aca="1" ref="M356" ca="1">IF(abbrAtEnd,"",L356&amp;"-")&amp;E356&amp;"-"&amp;INDIRECT(OFFSET(element3,MATCH($C356,resources,0)-1,0))&amp;"-"&amp;INDIRECT(OFFSET(element4,MATCH($C356,resources,0)-1,0))&amp;"-"&amp;INDIRECT(OFFSET(element5,MATCH($C356,resources,0)-1,0))&amp;IF(OFFSET(element6,MATCH($C356,resources,0)-1,0)="","","-"&amp;INDIRECT(OFFSET(element6,MATCH($C356,resources,0)-1,0)))&amp;IF(abbrAtEnd,"-"&amp;L356,"")</f>
        <v>#N/A</v>
      </c>
      <c r="N356" s="4" t="str">
        <f t="shared" si="36"/>
        <v>-000</v>
      </c>
      <c r="O356" s="4">
        <f ca="1">IF(totalElements+COUNTIF(Entities!$C$10,"*")+COUNTIF(B356:C356,"*")+COUNTIF(E356:F356,"*")=9,1,0)</f>
        <v>0</v>
      </c>
      <c r="P356" s="4">
        <f>COUNTIF($C$6:C356,C356)</f>
        <v>0</v>
      </c>
      <c r="Q356" s="4">
        <f ca="1">IF(ISNA(M356),0,COUNTIF($M$6:M356,M356))</f>
        <v>0</v>
      </c>
      <c r="R356" s="4" t="e">
        <f t="shared" ca="1" si="35"/>
        <v>#N/A</v>
      </c>
      <c r="S356" s="4">
        <f ca="1">IF(ISNA(M356),0,COUNTIF($R$6:R356,R356))</f>
        <v>0</v>
      </c>
      <c r="T356" s="4" t="e">
        <f t="shared" ca="1" si="34"/>
        <v>#N/A</v>
      </c>
    </row>
    <row r="357" spans="2:20" x14ac:dyDescent="0.3">
      <c r="B357" s="48"/>
      <c r="C357" s="48"/>
      <c r="D357" s="10" t="str">
        <f t="shared" ca="1" si="31"/>
        <v/>
      </c>
      <c r="E357" s="48"/>
      <c r="F357" s="48"/>
      <c r="G357" s="10" t="str">
        <f t="shared" ca="1" si="37"/>
        <v/>
      </c>
      <c r="I357" s="10" t="str">
        <f t="shared" ca="1" si="32"/>
        <v/>
      </c>
      <c r="K357" s="4" t="e">
        <f t="shared" ca="1" si="33"/>
        <v>#N/A</v>
      </c>
      <c r="L357" s="4" t="e">
        <f>VLOOKUP(C357,_resources!B:D,3,0)</f>
        <v>#N/A</v>
      </c>
      <c r="M357" s="4" t="e" cm="1">
        <f t="array" aca="1" ref="M357" ca="1">IF(abbrAtEnd,"",L357&amp;"-")&amp;E357&amp;"-"&amp;INDIRECT(OFFSET(element3,MATCH($C357,resources,0)-1,0))&amp;"-"&amp;INDIRECT(OFFSET(element4,MATCH($C357,resources,0)-1,0))&amp;"-"&amp;INDIRECT(OFFSET(element5,MATCH($C357,resources,0)-1,0))&amp;IF(OFFSET(element6,MATCH($C357,resources,0)-1,0)="","","-"&amp;INDIRECT(OFFSET(element6,MATCH($C357,resources,0)-1,0)))&amp;IF(abbrAtEnd,"-"&amp;L357,"")</f>
        <v>#N/A</v>
      </c>
      <c r="N357" s="4" t="str">
        <f t="shared" si="36"/>
        <v>-000</v>
      </c>
      <c r="O357" s="4">
        <f ca="1">IF(totalElements+COUNTIF(Entities!$C$10,"*")+COUNTIF(B357:C357,"*")+COUNTIF(E357:F357,"*")=9,1,0)</f>
        <v>0</v>
      </c>
      <c r="P357" s="4">
        <f>COUNTIF($C$6:C357,C357)</f>
        <v>0</v>
      </c>
      <c r="Q357" s="4">
        <f ca="1">IF(ISNA(M357),0,COUNTIF($M$6:M357,M357))</f>
        <v>0</v>
      </c>
      <c r="R357" s="4" t="e">
        <f t="shared" ca="1" si="35"/>
        <v>#N/A</v>
      </c>
      <c r="S357" s="4">
        <f ca="1">IF(ISNA(M357),0,COUNTIF($R$6:R357,R357))</f>
        <v>0</v>
      </c>
      <c r="T357" s="4" t="e">
        <f t="shared" ca="1" si="34"/>
        <v>#N/A</v>
      </c>
    </row>
    <row r="358" spans="2:20" x14ac:dyDescent="0.3">
      <c r="B358" s="48"/>
      <c r="C358" s="48"/>
      <c r="D358" s="10" t="str">
        <f t="shared" ca="1" si="31"/>
        <v/>
      </c>
      <c r="E358" s="48"/>
      <c r="F358" s="48"/>
      <c r="G358" s="10" t="str">
        <f t="shared" ca="1" si="37"/>
        <v/>
      </c>
      <c r="I358" s="10" t="str">
        <f t="shared" ca="1" si="32"/>
        <v/>
      </c>
      <c r="K358" s="4" t="e">
        <f t="shared" ca="1" si="33"/>
        <v>#N/A</v>
      </c>
      <c r="L358" s="4" t="e">
        <f>VLOOKUP(C358,_resources!B:D,3,0)</f>
        <v>#N/A</v>
      </c>
      <c r="M358" s="4" t="e" cm="1">
        <f t="array" aca="1" ref="M358" ca="1">IF(abbrAtEnd,"",L358&amp;"-")&amp;E358&amp;"-"&amp;INDIRECT(OFFSET(element3,MATCH($C358,resources,0)-1,0))&amp;"-"&amp;INDIRECT(OFFSET(element4,MATCH($C358,resources,0)-1,0))&amp;"-"&amp;INDIRECT(OFFSET(element5,MATCH($C358,resources,0)-1,0))&amp;IF(OFFSET(element6,MATCH($C358,resources,0)-1,0)="","","-"&amp;INDIRECT(OFFSET(element6,MATCH($C358,resources,0)-1,0)))&amp;IF(abbrAtEnd,"-"&amp;L358,"")</f>
        <v>#N/A</v>
      </c>
      <c r="N358" s="4" t="str">
        <f t="shared" si="36"/>
        <v>-000</v>
      </c>
      <c r="O358" s="4">
        <f ca="1">IF(totalElements+COUNTIF(Entities!$C$10,"*")+COUNTIF(B358:C358,"*")+COUNTIF(E358:F358,"*")=9,1,0)</f>
        <v>0</v>
      </c>
      <c r="P358" s="4">
        <f>COUNTIF($C$6:C358,C358)</f>
        <v>0</v>
      </c>
      <c r="Q358" s="4">
        <f ca="1">IF(ISNA(M358),0,COUNTIF($M$6:M358,M358))</f>
        <v>0</v>
      </c>
      <c r="R358" s="4" t="e">
        <f t="shared" ca="1" si="35"/>
        <v>#N/A</v>
      </c>
      <c r="S358" s="4">
        <f ca="1">IF(ISNA(M358),0,COUNTIF($R$6:R358,R358))</f>
        <v>0</v>
      </c>
      <c r="T358" s="4" t="e">
        <f t="shared" ca="1" si="34"/>
        <v>#N/A</v>
      </c>
    </row>
    <row r="359" spans="2:20" x14ac:dyDescent="0.3">
      <c r="B359" s="48"/>
      <c r="C359" s="48"/>
      <c r="D359" s="10" t="str">
        <f t="shared" ca="1" si="31"/>
        <v/>
      </c>
      <c r="E359" s="48"/>
      <c r="F359" s="48"/>
      <c r="G359" s="10" t="str">
        <f t="shared" ca="1" si="37"/>
        <v/>
      </c>
      <c r="I359" s="10" t="str">
        <f t="shared" ca="1" si="32"/>
        <v/>
      </c>
      <c r="K359" s="4" t="e">
        <f t="shared" ca="1" si="33"/>
        <v>#N/A</v>
      </c>
      <c r="L359" s="4" t="e">
        <f>VLOOKUP(C359,_resources!B:D,3,0)</f>
        <v>#N/A</v>
      </c>
      <c r="M359" s="4" t="e" cm="1">
        <f t="array" aca="1" ref="M359" ca="1">IF(abbrAtEnd,"",L359&amp;"-")&amp;E359&amp;"-"&amp;INDIRECT(OFFSET(element3,MATCH($C359,resources,0)-1,0))&amp;"-"&amp;INDIRECT(OFFSET(element4,MATCH($C359,resources,0)-1,0))&amp;"-"&amp;INDIRECT(OFFSET(element5,MATCH($C359,resources,0)-1,0))&amp;IF(OFFSET(element6,MATCH($C359,resources,0)-1,0)="","","-"&amp;INDIRECT(OFFSET(element6,MATCH($C359,resources,0)-1,0)))&amp;IF(abbrAtEnd,"-"&amp;L359,"")</f>
        <v>#N/A</v>
      </c>
      <c r="N359" s="4" t="str">
        <f t="shared" si="36"/>
        <v>-000</v>
      </c>
      <c r="O359" s="4">
        <f ca="1">IF(totalElements+COUNTIF(Entities!$C$10,"*")+COUNTIF(B359:C359,"*")+COUNTIF(E359:F359,"*")=9,1,0)</f>
        <v>0</v>
      </c>
      <c r="P359" s="4">
        <f>COUNTIF($C$6:C359,C359)</f>
        <v>0</v>
      </c>
      <c r="Q359" s="4">
        <f ca="1">IF(ISNA(M359),0,COUNTIF($M$6:M359,M359))</f>
        <v>0</v>
      </c>
      <c r="R359" s="4" t="e">
        <f t="shared" ca="1" si="35"/>
        <v>#N/A</v>
      </c>
      <c r="S359" s="4">
        <f ca="1">IF(ISNA(M359),0,COUNTIF($R$6:R359,R359))</f>
        <v>0</v>
      </c>
      <c r="T359" s="4" t="e">
        <f t="shared" ca="1" si="34"/>
        <v>#N/A</v>
      </c>
    </row>
    <row r="360" spans="2:20" x14ac:dyDescent="0.3">
      <c r="B360" s="48"/>
      <c r="C360" s="48"/>
      <c r="D360" s="10" t="str">
        <f t="shared" ca="1" si="31"/>
        <v/>
      </c>
      <c r="E360" s="48"/>
      <c r="F360" s="48"/>
      <c r="G360" s="10" t="str">
        <f t="shared" ca="1" si="37"/>
        <v/>
      </c>
      <c r="I360" s="10" t="str">
        <f t="shared" ca="1" si="32"/>
        <v/>
      </c>
      <c r="K360" s="4" t="e">
        <f t="shared" ca="1" si="33"/>
        <v>#N/A</v>
      </c>
      <c r="L360" s="4" t="e">
        <f>VLOOKUP(C360,_resources!B:D,3,0)</f>
        <v>#N/A</v>
      </c>
      <c r="M360" s="4" t="e" cm="1">
        <f t="array" aca="1" ref="M360" ca="1">IF(abbrAtEnd,"",L360&amp;"-")&amp;E360&amp;"-"&amp;INDIRECT(OFFSET(element3,MATCH($C360,resources,0)-1,0))&amp;"-"&amp;INDIRECT(OFFSET(element4,MATCH($C360,resources,0)-1,0))&amp;"-"&amp;INDIRECT(OFFSET(element5,MATCH($C360,resources,0)-1,0))&amp;IF(OFFSET(element6,MATCH($C360,resources,0)-1,0)="","","-"&amp;INDIRECT(OFFSET(element6,MATCH($C360,resources,0)-1,0)))&amp;IF(abbrAtEnd,"-"&amp;L360,"")</f>
        <v>#N/A</v>
      </c>
      <c r="N360" s="4" t="str">
        <f t="shared" si="36"/>
        <v>-000</v>
      </c>
      <c r="O360" s="4">
        <f ca="1">IF(totalElements+COUNTIF(Entities!$C$10,"*")+COUNTIF(B360:C360,"*")+COUNTIF(E360:F360,"*")=9,1,0)</f>
        <v>0</v>
      </c>
      <c r="P360" s="4">
        <f>COUNTIF($C$6:C360,C360)</f>
        <v>0</v>
      </c>
      <c r="Q360" s="4">
        <f ca="1">IF(ISNA(M360),0,COUNTIF($M$6:M360,M360))</f>
        <v>0</v>
      </c>
      <c r="R360" s="4" t="e">
        <f t="shared" ca="1" si="35"/>
        <v>#N/A</v>
      </c>
      <c r="S360" s="4">
        <f ca="1">IF(ISNA(M360),0,COUNTIF($R$6:R360,R360))</f>
        <v>0</v>
      </c>
      <c r="T360" s="4" t="e">
        <f t="shared" ca="1" si="34"/>
        <v>#N/A</v>
      </c>
    </row>
    <row r="361" spans="2:20" x14ac:dyDescent="0.3">
      <c r="B361" s="48"/>
      <c r="C361" s="48"/>
      <c r="D361" s="10" t="str">
        <f t="shared" ca="1" si="31"/>
        <v/>
      </c>
      <c r="E361" s="48"/>
      <c r="F361" s="48"/>
      <c r="G361" s="10" t="str">
        <f t="shared" ca="1" si="37"/>
        <v/>
      </c>
      <c r="I361" s="10" t="str">
        <f t="shared" ca="1" si="32"/>
        <v/>
      </c>
      <c r="K361" s="4" t="e">
        <f t="shared" ca="1" si="33"/>
        <v>#N/A</v>
      </c>
      <c r="L361" s="4" t="e">
        <f>VLOOKUP(C361,_resources!B:D,3,0)</f>
        <v>#N/A</v>
      </c>
      <c r="M361" s="4" t="e" cm="1">
        <f t="array" aca="1" ref="M361" ca="1">IF(abbrAtEnd,"",L361&amp;"-")&amp;E361&amp;"-"&amp;INDIRECT(OFFSET(element3,MATCH($C361,resources,0)-1,0))&amp;"-"&amp;INDIRECT(OFFSET(element4,MATCH($C361,resources,0)-1,0))&amp;"-"&amp;INDIRECT(OFFSET(element5,MATCH($C361,resources,0)-1,0))&amp;IF(OFFSET(element6,MATCH($C361,resources,0)-1,0)="","","-"&amp;INDIRECT(OFFSET(element6,MATCH($C361,resources,0)-1,0)))&amp;IF(abbrAtEnd,"-"&amp;L361,"")</f>
        <v>#N/A</v>
      </c>
      <c r="N361" s="4" t="str">
        <f t="shared" si="36"/>
        <v>-000</v>
      </c>
      <c r="O361" s="4">
        <f ca="1">IF(totalElements+COUNTIF(Entities!$C$10,"*")+COUNTIF(B361:C361,"*")+COUNTIF(E361:F361,"*")=9,1,0)</f>
        <v>0</v>
      </c>
      <c r="P361" s="4">
        <f>COUNTIF($C$6:C361,C361)</f>
        <v>0</v>
      </c>
      <c r="Q361" s="4">
        <f ca="1">IF(ISNA(M361),0,COUNTIF($M$6:M361,M361))</f>
        <v>0</v>
      </c>
      <c r="R361" s="4" t="e">
        <f t="shared" ca="1" si="35"/>
        <v>#N/A</v>
      </c>
      <c r="S361" s="4">
        <f ca="1">IF(ISNA(M361),0,COUNTIF($R$6:R361,R361))</f>
        <v>0</v>
      </c>
      <c r="T361" s="4" t="e">
        <f t="shared" ca="1" si="34"/>
        <v>#N/A</v>
      </c>
    </row>
    <row r="362" spans="2:20" x14ac:dyDescent="0.3">
      <c r="B362" s="48"/>
      <c r="C362" s="48"/>
      <c r="D362" s="10" t="str">
        <f t="shared" ca="1" si="31"/>
        <v/>
      </c>
      <c r="E362" s="48"/>
      <c r="F362" s="48"/>
      <c r="G362" s="10" t="str">
        <f t="shared" ca="1" si="37"/>
        <v/>
      </c>
      <c r="I362" s="10" t="str">
        <f t="shared" ca="1" si="32"/>
        <v/>
      </c>
      <c r="K362" s="4" t="e">
        <f t="shared" ca="1" si="33"/>
        <v>#N/A</v>
      </c>
      <c r="L362" s="4" t="e">
        <f>VLOOKUP(C362,_resources!B:D,3,0)</f>
        <v>#N/A</v>
      </c>
      <c r="M362" s="4" t="e" cm="1">
        <f t="array" aca="1" ref="M362" ca="1">IF(abbrAtEnd,"",L362&amp;"-")&amp;E362&amp;"-"&amp;INDIRECT(OFFSET(element3,MATCH($C362,resources,0)-1,0))&amp;"-"&amp;INDIRECT(OFFSET(element4,MATCH($C362,resources,0)-1,0))&amp;"-"&amp;INDIRECT(OFFSET(element5,MATCH($C362,resources,0)-1,0))&amp;IF(OFFSET(element6,MATCH($C362,resources,0)-1,0)="","","-"&amp;INDIRECT(OFFSET(element6,MATCH($C362,resources,0)-1,0)))&amp;IF(abbrAtEnd,"-"&amp;L362,"")</f>
        <v>#N/A</v>
      </c>
      <c r="N362" s="4" t="str">
        <f t="shared" si="36"/>
        <v>-000</v>
      </c>
      <c r="O362" s="4">
        <f ca="1">IF(totalElements+COUNTIF(Entities!$C$10,"*")+COUNTIF(B362:C362,"*")+COUNTIF(E362:F362,"*")=9,1,0)</f>
        <v>0</v>
      </c>
      <c r="P362" s="4">
        <f>COUNTIF($C$6:C362,C362)</f>
        <v>0</v>
      </c>
      <c r="Q362" s="4">
        <f ca="1">IF(ISNA(M362),0,COUNTIF($M$6:M362,M362))</f>
        <v>0</v>
      </c>
      <c r="R362" s="4" t="e">
        <f t="shared" ca="1" si="35"/>
        <v>#N/A</v>
      </c>
      <c r="S362" s="4">
        <f ca="1">IF(ISNA(M362),0,COUNTIF($R$6:R362,R362))</f>
        <v>0</v>
      </c>
      <c r="T362" s="4" t="e">
        <f t="shared" ca="1" si="34"/>
        <v>#N/A</v>
      </c>
    </row>
    <row r="363" spans="2:20" x14ac:dyDescent="0.3">
      <c r="B363" s="48"/>
      <c r="C363" s="48"/>
      <c r="D363" s="10" t="str">
        <f t="shared" ca="1" si="31"/>
        <v/>
      </c>
      <c r="E363" s="48"/>
      <c r="F363" s="48"/>
      <c r="G363" s="10" t="str">
        <f t="shared" ca="1" si="37"/>
        <v/>
      </c>
      <c r="I363" s="10" t="str">
        <f t="shared" ca="1" si="32"/>
        <v/>
      </c>
      <c r="K363" s="4" t="e">
        <f t="shared" ca="1" si="33"/>
        <v>#N/A</v>
      </c>
      <c r="L363" s="4" t="e">
        <f>VLOOKUP(C363,_resources!B:D,3,0)</f>
        <v>#N/A</v>
      </c>
      <c r="M363" s="4" t="e" cm="1">
        <f t="array" aca="1" ref="M363" ca="1">IF(abbrAtEnd,"",L363&amp;"-")&amp;E363&amp;"-"&amp;INDIRECT(OFFSET(element3,MATCH($C363,resources,0)-1,0))&amp;"-"&amp;INDIRECT(OFFSET(element4,MATCH($C363,resources,0)-1,0))&amp;"-"&amp;INDIRECT(OFFSET(element5,MATCH($C363,resources,0)-1,0))&amp;IF(OFFSET(element6,MATCH($C363,resources,0)-1,0)="","","-"&amp;INDIRECT(OFFSET(element6,MATCH($C363,resources,0)-1,0)))&amp;IF(abbrAtEnd,"-"&amp;L363,"")</f>
        <v>#N/A</v>
      </c>
      <c r="N363" s="4" t="str">
        <f t="shared" si="36"/>
        <v>-000</v>
      </c>
      <c r="O363" s="4">
        <f ca="1">IF(totalElements+COUNTIF(Entities!$C$10,"*")+COUNTIF(B363:C363,"*")+COUNTIF(E363:F363,"*")=9,1,0)</f>
        <v>0</v>
      </c>
      <c r="P363" s="4">
        <f>COUNTIF($C$6:C363,C363)</f>
        <v>0</v>
      </c>
      <c r="Q363" s="4">
        <f ca="1">IF(ISNA(M363),0,COUNTIF($M$6:M363,M363))</f>
        <v>0</v>
      </c>
      <c r="R363" s="4" t="e">
        <f t="shared" ca="1" si="35"/>
        <v>#N/A</v>
      </c>
      <c r="S363" s="4">
        <f ca="1">IF(ISNA(M363),0,COUNTIF($R$6:R363,R363))</f>
        <v>0</v>
      </c>
      <c r="T363" s="4" t="e">
        <f t="shared" ca="1" si="34"/>
        <v>#N/A</v>
      </c>
    </row>
    <row r="364" spans="2:20" x14ac:dyDescent="0.3">
      <c r="B364" s="48"/>
      <c r="C364" s="48"/>
      <c r="D364" s="10" t="str">
        <f t="shared" ca="1" si="31"/>
        <v/>
      </c>
      <c r="E364" s="48"/>
      <c r="F364" s="48"/>
      <c r="G364" s="10" t="str">
        <f t="shared" ca="1" si="37"/>
        <v/>
      </c>
      <c r="I364" s="10" t="str">
        <f t="shared" ca="1" si="32"/>
        <v/>
      </c>
      <c r="K364" s="4" t="e">
        <f t="shared" ca="1" si="33"/>
        <v>#N/A</v>
      </c>
      <c r="L364" s="4" t="e">
        <f>VLOOKUP(C364,_resources!B:D,3,0)</f>
        <v>#N/A</v>
      </c>
      <c r="M364" s="4" t="e" cm="1">
        <f t="array" aca="1" ref="M364" ca="1">IF(abbrAtEnd,"",L364&amp;"-")&amp;E364&amp;"-"&amp;INDIRECT(OFFSET(element3,MATCH($C364,resources,0)-1,0))&amp;"-"&amp;INDIRECT(OFFSET(element4,MATCH($C364,resources,0)-1,0))&amp;"-"&amp;INDIRECT(OFFSET(element5,MATCH($C364,resources,0)-1,0))&amp;IF(OFFSET(element6,MATCH($C364,resources,0)-1,0)="","","-"&amp;INDIRECT(OFFSET(element6,MATCH($C364,resources,0)-1,0)))&amp;IF(abbrAtEnd,"-"&amp;L364,"")</f>
        <v>#N/A</v>
      </c>
      <c r="N364" s="4" t="str">
        <f t="shared" si="36"/>
        <v>-000</v>
      </c>
      <c r="O364" s="4">
        <f ca="1">IF(totalElements+COUNTIF(Entities!$C$10,"*")+COUNTIF(B364:C364,"*")+COUNTIF(E364:F364,"*")=9,1,0)</f>
        <v>0</v>
      </c>
      <c r="P364" s="4">
        <f>COUNTIF($C$6:C364,C364)</f>
        <v>0</v>
      </c>
      <c r="Q364" s="4">
        <f ca="1">IF(ISNA(M364),0,COUNTIF($M$6:M364,M364))</f>
        <v>0</v>
      </c>
      <c r="R364" s="4" t="e">
        <f t="shared" ca="1" si="35"/>
        <v>#N/A</v>
      </c>
      <c r="S364" s="4">
        <f ca="1">IF(ISNA(M364),0,COUNTIF($R$6:R364,R364))</f>
        <v>0</v>
      </c>
      <c r="T364" s="4" t="e">
        <f t="shared" ca="1" si="34"/>
        <v>#N/A</v>
      </c>
    </row>
    <row r="365" spans="2:20" x14ac:dyDescent="0.3">
      <c r="B365" s="48"/>
      <c r="C365" s="48"/>
      <c r="D365" s="10" t="str">
        <f t="shared" ca="1" si="31"/>
        <v/>
      </c>
      <c r="E365" s="48"/>
      <c r="F365" s="48"/>
      <c r="G365" s="10" t="str">
        <f t="shared" ca="1" si="37"/>
        <v/>
      </c>
      <c r="I365" s="10" t="str">
        <f t="shared" ca="1" si="32"/>
        <v/>
      </c>
      <c r="K365" s="4" t="e">
        <f t="shared" ca="1" si="33"/>
        <v>#N/A</v>
      </c>
      <c r="L365" s="4" t="e">
        <f>VLOOKUP(C365,_resources!B:D,3,0)</f>
        <v>#N/A</v>
      </c>
      <c r="M365" s="4" t="e" cm="1">
        <f t="array" aca="1" ref="M365" ca="1">IF(abbrAtEnd,"",L365&amp;"-")&amp;E365&amp;"-"&amp;INDIRECT(OFFSET(element3,MATCH($C365,resources,0)-1,0))&amp;"-"&amp;INDIRECT(OFFSET(element4,MATCH($C365,resources,0)-1,0))&amp;"-"&amp;INDIRECT(OFFSET(element5,MATCH($C365,resources,0)-1,0))&amp;IF(OFFSET(element6,MATCH($C365,resources,0)-1,0)="","","-"&amp;INDIRECT(OFFSET(element6,MATCH($C365,resources,0)-1,0)))&amp;IF(abbrAtEnd,"-"&amp;L365,"")</f>
        <v>#N/A</v>
      </c>
      <c r="N365" s="4" t="str">
        <f t="shared" si="36"/>
        <v>-000</v>
      </c>
      <c r="O365" s="4">
        <f ca="1">IF(totalElements+COUNTIF(Entities!$C$10,"*")+COUNTIF(B365:C365,"*")+COUNTIF(E365:F365,"*")=9,1,0)</f>
        <v>0</v>
      </c>
      <c r="P365" s="4">
        <f>COUNTIF($C$6:C365,C365)</f>
        <v>0</v>
      </c>
      <c r="Q365" s="4">
        <f ca="1">IF(ISNA(M365),0,COUNTIF($M$6:M365,M365))</f>
        <v>0</v>
      </c>
      <c r="R365" s="4" t="e">
        <f t="shared" ca="1" si="35"/>
        <v>#N/A</v>
      </c>
      <c r="S365" s="4">
        <f ca="1">IF(ISNA(M365),0,COUNTIF($R$6:R365,R365))</f>
        <v>0</v>
      </c>
      <c r="T365" s="4" t="e">
        <f t="shared" ca="1" si="34"/>
        <v>#N/A</v>
      </c>
    </row>
    <row r="366" spans="2:20" x14ac:dyDescent="0.3">
      <c r="B366" s="48"/>
      <c r="C366" s="48"/>
      <c r="D366" s="10" t="str">
        <f t="shared" ca="1" si="31"/>
        <v/>
      </c>
      <c r="E366" s="48"/>
      <c r="F366" s="48"/>
      <c r="G366" s="10" t="str">
        <f t="shared" ca="1" si="37"/>
        <v/>
      </c>
      <c r="I366" s="10" t="str">
        <f t="shared" ca="1" si="32"/>
        <v/>
      </c>
      <c r="K366" s="4" t="e">
        <f t="shared" ca="1" si="33"/>
        <v>#N/A</v>
      </c>
      <c r="L366" s="4" t="e">
        <f>VLOOKUP(C366,_resources!B:D,3,0)</f>
        <v>#N/A</v>
      </c>
      <c r="M366" s="4" t="e" cm="1">
        <f t="array" aca="1" ref="M366" ca="1">IF(abbrAtEnd,"",L366&amp;"-")&amp;E366&amp;"-"&amp;INDIRECT(OFFSET(element3,MATCH($C366,resources,0)-1,0))&amp;"-"&amp;INDIRECT(OFFSET(element4,MATCH($C366,resources,0)-1,0))&amp;"-"&amp;INDIRECT(OFFSET(element5,MATCH($C366,resources,0)-1,0))&amp;IF(OFFSET(element6,MATCH($C366,resources,0)-1,0)="","","-"&amp;INDIRECT(OFFSET(element6,MATCH($C366,resources,0)-1,0)))&amp;IF(abbrAtEnd,"-"&amp;L366,"")</f>
        <v>#N/A</v>
      </c>
      <c r="N366" s="4" t="str">
        <f t="shared" si="36"/>
        <v>-000</v>
      </c>
      <c r="O366" s="4">
        <f ca="1">IF(totalElements+COUNTIF(Entities!$C$10,"*")+COUNTIF(B366:C366,"*")+COUNTIF(E366:F366,"*")=9,1,0)</f>
        <v>0</v>
      </c>
      <c r="P366" s="4">
        <f>COUNTIF($C$6:C366,C366)</f>
        <v>0</v>
      </c>
      <c r="Q366" s="4">
        <f ca="1">IF(ISNA(M366),0,COUNTIF($M$6:M366,M366))</f>
        <v>0</v>
      </c>
      <c r="R366" s="4" t="e">
        <f t="shared" ca="1" si="35"/>
        <v>#N/A</v>
      </c>
      <c r="S366" s="4">
        <f ca="1">IF(ISNA(M366),0,COUNTIF($R$6:R366,R366))</f>
        <v>0</v>
      </c>
      <c r="T366" s="4" t="e">
        <f t="shared" ca="1" si="34"/>
        <v>#N/A</v>
      </c>
    </row>
    <row r="367" spans="2:20" x14ac:dyDescent="0.3">
      <c r="B367" s="48"/>
      <c r="C367" s="48"/>
      <c r="D367" s="10" t="str">
        <f t="shared" ca="1" si="31"/>
        <v/>
      </c>
      <c r="E367" s="48"/>
      <c r="F367" s="48"/>
      <c r="G367" s="10" t="str">
        <f t="shared" ca="1" si="37"/>
        <v/>
      </c>
      <c r="I367" s="10" t="str">
        <f t="shared" ca="1" si="32"/>
        <v/>
      </c>
      <c r="K367" s="4" t="e">
        <f t="shared" ca="1" si="33"/>
        <v>#N/A</v>
      </c>
      <c r="L367" s="4" t="e">
        <f>VLOOKUP(C367,_resources!B:D,3,0)</f>
        <v>#N/A</v>
      </c>
      <c r="M367" s="4" t="e" cm="1">
        <f t="array" aca="1" ref="M367" ca="1">IF(abbrAtEnd,"",L367&amp;"-")&amp;E367&amp;"-"&amp;INDIRECT(OFFSET(element3,MATCH($C367,resources,0)-1,0))&amp;"-"&amp;INDIRECT(OFFSET(element4,MATCH($C367,resources,0)-1,0))&amp;"-"&amp;INDIRECT(OFFSET(element5,MATCH($C367,resources,0)-1,0))&amp;IF(OFFSET(element6,MATCH($C367,resources,0)-1,0)="","","-"&amp;INDIRECT(OFFSET(element6,MATCH($C367,resources,0)-1,0)))&amp;IF(abbrAtEnd,"-"&amp;L367,"")</f>
        <v>#N/A</v>
      </c>
      <c r="N367" s="4" t="str">
        <f t="shared" si="36"/>
        <v>-000</v>
      </c>
      <c r="O367" s="4">
        <f ca="1">IF(totalElements+COUNTIF(Entities!$C$10,"*")+COUNTIF(B367:C367,"*")+COUNTIF(E367:F367,"*")=9,1,0)</f>
        <v>0</v>
      </c>
      <c r="P367" s="4">
        <f>COUNTIF($C$6:C367,C367)</f>
        <v>0</v>
      </c>
      <c r="Q367" s="4">
        <f ca="1">IF(ISNA(M367),0,COUNTIF($M$6:M367,M367))</f>
        <v>0</v>
      </c>
      <c r="R367" s="4" t="e">
        <f t="shared" ca="1" si="35"/>
        <v>#N/A</v>
      </c>
      <c r="S367" s="4">
        <f ca="1">IF(ISNA(M367),0,COUNTIF($R$6:R367,R367))</f>
        <v>0</v>
      </c>
      <c r="T367" s="4" t="e">
        <f t="shared" ca="1" si="34"/>
        <v>#N/A</v>
      </c>
    </row>
    <row r="368" spans="2:20" x14ac:dyDescent="0.3">
      <c r="B368" s="48"/>
      <c r="C368" s="48"/>
      <c r="D368" s="10" t="str">
        <f t="shared" ca="1" si="31"/>
        <v/>
      </c>
      <c r="E368" s="48"/>
      <c r="F368" s="48"/>
      <c r="G368" s="10" t="str">
        <f t="shared" ca="1" si="37"/>
        <v/>
      </c>
      <c r="I368" s="10" t="str">
        <f t="shared" ca="1" si="32"/>
        <v/>
      </c>
      <c r="K368" s="4" t="e">
        <f t="shared" ca="1" si="33"/>
        <v>#N/A</v>
      </c>
      <c r="L368" s="4" t="e">
        <f>VLOOKUP(C368,_resources!B:D,3,0)</f>
        <v>#N/A</v>
      </c>
      <c r="M368" s="4" t="e" cm="1">
        <f t="array" aca="1" ref="M368" ca="1">IF(abbrAtEnd,"",L368&amp;"-")&amp;E368&amp;"-"&amp;INDIRECT(OFFSET(element3,MATCH($C368,resources,0)-1,0))&amp;"-"&amp;INDIRECT(OFFSET(element4,MATCH($C368,resources,0)-1,0))&amp;"-"&amp;INDIRECT(OFFSET(element5,MATCH($C368,resources,0)-1,0))&amp;IF(OFFSET(element6,MATCH($C368,resources,0)-1,0)="","","-"&amp;INDIRECT(OFFSET(element6,MATCH($C368,resources,0)-1,0)))&amp;IF(abbrAtEnd,"-"&amp;L368,"")</f>
        <v>#N/A</v>
      </c>
      <c r="N368" s="4" t="str">
        <f t="shared" si="36"/>
        <v>-000</v>
      </c>
      <c r="O368" s="4">
        <f ca="1">IF(totalElements+COUNTIF(Entities!$C$10,"*")+COUNTIF(B368:C368,"*")+COUNTIF(E368:F368,"*")=9,1,0)</f>
        <v>0</v>
      </c>
      <c r="P368" s="4">
        <f>COUNTIF($C$6:C368,C368)</f>
        <v>0</v>
      </c>
      <c r="Q368" s="4">
        <f ca="1">IF(ISNA(M368),0,COUNTIF($M$6:M368,M368))</f>
        <v>0</v>
      </c>
      <c r="R368" s="4" t="e">
        <f t="shared" ca="1" si="35"/>
        <v>#N/A</v>
      </c>
      <c r="S368" s="4">
        <f ca="1">IF(ISNA(M368),0,COUNTIF($R$6:R368,R368))</f>
        <v>0</v>
      </c>
      <c r="T368" s="4" t="e">
        <f t="shared" ca="1" si="34"/>
        <v>#N/A</v>
      </c>
    </row>
    <row r="369" spans="2:20" x14ac:dyDescent="0.3">
      <c r="B369" s="48"/>
      <c r="C369" s="48"/>
      <c r="D369" s="10" t="str">
        <f t="shared" ref="D369:D432" ca="1" si="38">IF(ISBLANK(C369),"",OFFSET(element2,MATCH($C369,resources,0)-1,0))</f>
        <v/>
      </c>
      <c r="E369" s="48"/>
      <c r="F369" s="48"/>
      <c r="G369" s="10" t="str">
        <f t="shared" ca="1" si="37"/>
        <v/>
      </c>
      <c r="I369" s="10" t="str">
        <f t="shared" ref="I369:I432" ca="1" si="39">IF(O369,IF(LEN(G369)&gt;T369,"Name too Long (length: "&amp;LEN(G369)&amp;", max. "&amp;T369&amp;")","None"),"")</f>
        <v/>
      </c>
      <c r="K369" s="4" t="e">
        <f t="shared" ca="1" si="33"/>
        <v>#N/A</v>
      </c>
      <c r="L369" s="4" t="e">
        <f>VLOOKUP(C369,_resources!B:D,3,0)</f>
        <v>#N/A</v>
      </c>
      <c r="M369" s="4" t="e" cm="1">
        <f t="array" aca="1" ref="M369" ca="1">IF(abbrAtEnd,"",L369&amp;"-")&amp;E369&amp;"-"&amp;INDIRECT(OFFSET(element3,MATCH($C369,resources,0)-1,0))&amp;"-"&amp;INDIRECT(OFFSET(element4,MATCH($C369,resources,0)-1,0))&amp;"-"&amp;INDIRECT(OFFSET(element5,MATCH($C369,resources,0)-1,0))&amp;IF(OFFSET(element6,MATCH($C369,resources,0)-1,0)="","","-"&amp;INDIRECT(OFFSET(element6,MATCH($C369,resources,0)-1,0)))&amp;IF(abbrAtEnd,"-"&amp;L369,"")</f>
        <v>#N/A</v>
      </c>
      <c r="N369" s="4" t="str">
        <f t="shared" si="36"/>
        <v>-000</v>
      </c>
      <c r="O369" s="4">
        <f ca="1">IF(totalElements+COUNTIF(Entities!$C$10,"*")+COUNTIF(B369:C369,"*")+COUNTIF(E369:F369,"*")=9,1,0)</f>
        <v>0</v>
      </c>
      <c r="P369" s="4">
        <f>COUNTIF($C$6:C369,C369)</f>
        <v>0</v>
      </c>
      <c r="Q369" s="4">
        <f ca="1">IF(ISNA(M369),0,COUNTIF($M$6:M369,M369))</f>
        <v>0</v>
      </c>
      <c r="R369" s="4" t="e">
        <f t="shared" ca="1" si="35"/>
        <v>#N/A</v>
      </c>
      <c r="S369" s="4">
        <f ca="1">IF(ISNA(M369),0,COUNTIF($R$6:R369,R369))</f>
        <v>0</v>
      </c>
      <c r="T369" s="4" t="e">
        <f t="shared" ca="1" si="34"/>
        <v>#N/A</v>
      </c>
    </row>
    <row r="370" spans="2:20" x14ac:dyDescent="0.3">
      <c r="B370" s="48"/>
      <c r="C370" s="48"/>
      <c r="D370" s="10" t="str">
        <f t="shared" ca="1" si="38"/>
        <v/>
      </c>
      <c r="E370" s="48"/>
      <c r="F370" s="48"/>
      <c r="G370" s="10" t="str">
        <f t="shared" ca="1" si="37"/>
        <v/>
      </c>
      <c r="I370" s="10" t="str">
        <f t="shared" ca="1" si="39"/>
        <v/>
      </c>
      <c r="K370" s="4" t="e">
        <f t="shared" ca="1" si="33"/>
        <v>#N/A</v>
      </c>
      <c r="L370" s="4" t="e">
        <f>VLOOKUP(C370,_resources!B:D,3,0)</f>
        <v>#N/A</v>
      </c>
      <c r="M370" s="4" t="e" cm="1">
        <f t="array" aca="1" ref="M370" ca="1">IF(abbrAtEnd,"",L370&amp;"-")&amp;E370&amp;"-"&amp;INDIRECT(OFFSET(element3,MATCH($C370,resources,0)-1,0))&amp;"-"&amp;INDIRECT(OFFSET(element4,MATCH($C370,resources,0)-1,0))&amp;"-"&amp;INDIRECT(OFFSET(element5,MATCH($C370,resources,0)-1,0))&amp;IF(OFFSET(element6,MATCH($C370,resources,0)-1,0)="","","-"&amp;INDIRECT(OFFSET(element6,MATCH($C370,resources,0)-1,0)))&amp;IF(abbrAtEnd,"-"&amp;L370,"")</f>
        <v>#N/A</v>
      </c>
      <c r="N370" s="4" t="str">
        <f t="shared" si="36"/>
        <v>-000</v>
      </c>
      <c r="O370" s="4">
        <f ca="1">IF(totalElements+COUNTIF(Entities!$C$10,"*")+COUNTIF(B370:C370,"*")+COUNTIF(E370:F370,"*")=9,1,0)</f>
        <v>0</v>
      </c>
      <c r="P370" s="4">
        <f>COUNTIF($C$6:C370,C370)</f>
        <v>0</v>
      </c>
      <c r="Q370" s="4">
        <f ca="1">IF(ISNA(M370),0,COUNTIF($M$6:M370,M370))</f>
        <v>0</v>
      </c>
      <c r="R370" s="4" t="e">
        <f t="shared" ca="1" si="35"/>
        <v>#N/A</v>
      </c>
      <c r="S370" s="4">
        <f ca="1">IF(ISNA(M370),0,COUNTIF($R$6:R370,R370))</f>
        <v>0</v>
      </c>
      <c r="T370" s="4" t="e">
        <f t="shared" ca="1" si="34"/>
        <v>#N/A</v>
      </c>
    </row>
    <row r="371" spans="2:20" x14ac:dyDescent="0.3">
      <c r="B371" s="48"/>
      <c r="C371" s="48"/>
      <c r="D371" s="10" t="str">
        <f t="shared" ca="1" si="38"/>
        <v/>
      </c>
      <c r="E371" s="48"/>
      <c r="F371" s="48"/>
      <c r="G371" s="10" t="str">
        <f t="shared" ca="1" si="37"/>
        <v/>
      </c>
      <c r="I371" s="10" t="str">
        <f t="shared" ca="1" si="39"/>
        <v/>
      </c>
      <c r="K371" s="4" t="e">
        <f t="shared" ca="1" si="33"/>
        <v>#N/A</v>
      </c>
      <c r="L371" s="4" t="e">
        <f>VLOOKUP(C371,_resources!B:D,3,0)</f>
        <v>#N/A</v>
      </c>
      <c r="M371" s="4" t="e" cm="1">
        <f t="array" aca="1" ref="M371" ca="1">IF(abbrAtEnd,"",L371&amp;"-")&amp;E371&amp;"-"&amp;INDIRECT(OFFSET(element3,MATCH($C371,resources,0)-1,0))&amp;"-"&amp;INDIRECT(OFFSET(element4,MATCH($C371,resources,0)-1,0))&amp;"-"&amp;INDIRECT(OFFSET(element5,MATCH($C371,resources,0)-1,0))&amp;IF(OFFSET(element6,MATCH($C371,resources,0)-1,0)="","","-"&amp;INDIRECT(OFFSET(element6,MATCH($C371,resources,0)-1,0)))&amp;IF(abbrAtEnd,"-"&amp;L371,"")</f>
        <v>#N/A</v>
      </c>
      <c r="N371" s="4" t="str">
        <f t="shared" si="36"/>
        <v>-000</v>
      </c>
      <c r="O371" s="4">
        <f ca="1">IF(totalElements+COUNTIF(Entities!$C$10,"*")+COUNTIF(B371:C371,"*")+COUNTIF(E371:F371,"*")=9,1,0)</f>
        <v>0</v>
      </c>
      <c r="P371" s="4">
        <f>COUNTIF($C$6:C371,C371)</f>
        <v>0</v>
      </c>
      <c r="Q371" s="4">
        <f ca="1">IF(ISNA(M371),0,COUNTIF($M$6:M371,M371))</f>
        <v>0</v>
      </c>
      <c r="R371" s="4" t="e">
        <f t="shared" ca="1" si="35"/>
        <v>#N/A</v>
      </c>
      <c r="S371" s="4">
        <f ca="1">IF(ISNA(M371),0,COUNTIF($R$6:R371,R371))</f>
        <v>0</v>
      </c>
      <c r="T371" s="4" t="e">
        <f t="shared" ca="1" si="34"/>
        <v>#N/A</v>
      </c>
    </row>
    <row r="372" spans="2:20" x14ac:dyDescent="0.3">
      <c r="B372" s="48"/>
      <c r="C372" s="48"/>
      <c r="D372" s="10" t="str">
        <f t="shared" ca="1" si="38"/>
        <v/>
      </c>
      <c r="E372" s="48"/>
      <c r="F372" s="48"/>
      <c r="G372" s="10" t="str">
        <f t="shared" ca="1" si="37"/>
        <v/>
      </c>
      <c r="I372" s="10" t="str">
        <f t="shared" ca="1" si="39"/>
        <v/>
      </c>
      <c r="K372" s="4" t="e">
        <f t="shared" ca="1" si="33"/>
        <v>#N/A</v>
      </c>
      <c r="L372" s="4" t="e">
        <f>VLOOKUP(C372,_resources!B:D,3,0)</f>
        <v>#N/A</v>
      </c>
      <c r="M372" s="4" t="e" cm="1">
        <f t="array" aca="1" ref="M372" ca="1">IF(abbrAtEnd,"",L372&amp;"-")&amp;E372&amp;"-"&amp;INDIRECT(OFFSET(element3,MATCH($C372,resources,0)-1,0))&amp;"-"&amp;INDIRECT(OFFSET(element4,MATCH($C372,resources,0)-1,0))&amp;"-"&amp;INDIRECT(OFFSET(element5,MATCH($C372,resources,0)-1,0))&amp;IF(OFFSET(element6,MATCH($C372,resources,0)-1,0)="","","-"&amp;INDIRECT(OFFSET(element6,MATCH($C372,resources,0)-1,0)))&amp;IF(abbrAtEnd,"-"&amp;L372,"")</f>
        <v>#N/A</v>
      </c>
      <c r="N372" s="4" t="str">
        <f t="shared" si="36"/>
        <v>-000</v>
      </c>
      <c r="O372" s="4">
        <f ca="1">IF(totalElements+COUNTIF(Entities!$C$10,"*")+COUNTIF(B372:C372,"*")+COUNTIF(E372:F372,"*")=9,1,0)</f>
        <v>0</v>
      </c>
      <c r="P372" s="4">
        <f>COUNTIF($C$6:C372,C372)</f>
        <v>0</v>
      </c>
      <c r="Q372" s="4">
        <f ca="1">IF(ISNA(M372),0,COUNTIF($M$6:M372,M372))</f>
        <v>0</v>
      </c>
      <c r="R372" s="4" t="e">
        <f t="shared" ca="1" si="35"/>
        <v>#N/A</v>
      </c>
      <c r="S372" s="4">
        <f ca="1">IF(ISNA(M372),0,COUNTIF($R$6:R372,R372))</f>
        <v>0</v>
      </c>
      <c r="T372" s="4" t="e">
        <f t="shared" ca="1" si="34"/>
        <v>#N/A</v>
      </c>
    </row>
    <row r="373" spans="2:20" x14ac:dyDescent="0.3">
      <c r="B373" s="48"/>
      <c r="C373" s="48"/>
      <c r="D373" s="10" t="str">
        <f t="shared" ca="1" si="38"/>
        <v/>
      </c>
      <c r="E373" s="48"/>
      <c r="F373" s="48"/>
      <c r="G373" s="10" t="str">
        <f t="shared" ca="1" si="37"/>
        <v/>
      </c>
      <c r="I373" s="10" t="str">
        <f t="shared" ca="1" si="39"/>
        <v/>
      </c>
      <c r="K373" s="4" t="e">
        <f t="shared" ca="1" si="33"/>
        <v>#N/A</v>
      </c>
      <c r="L373" s="4" t="e">
        <f>VLOOKUP(C373,_resources!B:D,3,0)</f>
        <v>#N/A</v>
      </c>
      <c r="M373" s="4" t="e" cm="1">
        <f t="array" aca="1" ref="M373" ca="1">IF(abbrAtEnd,"",L373&amp;"-")&amp;E373&amp;"-"&amp;INDIRECT(OFFSET(element3,MATCH($C373,resources,0)-1,0))&amp;"-"&amp;INDIRECT(OFFSET(element4,MATCH($C373,resources,0)-1,0))&amp;"-"&amp;INDIRECT(OFFSET(element5,MATCH($C373,resources,0)-1,0))&amp;IF(OFFSET(element6,MATCH($C373,resources,0)-1,0)="","","-"&amp;INDIRECT(OFFSET(element6,MATCH($C373,resources,0)-1,0)))&amp;IF(abbrAtEnd,"-"&amp;L373,"")</f>
        <v>#N/A</v>
      </c>
      <c r="N373" s="4" t="str">
        <f t="shared" si="36"/>
        <v>-000</v>
      </c>
      <c r="O373" s="4">
        <f ca="1">IF(totalElements+COUNTIF(Entities!$C$10,"*")+COUNTIF(B373:C373,"*")+COUNTIF(E373:F373,"*")=9,1,0)</f>
        <v>0</v>
      </c>
      <c r="P373" s="4">
        <f>COUNTIF($C$6:C373,C373)</f>
        <v>0</v>
      </c>
      <c r="Q373" s="4">
        <f ca="1">IF(ISNA(M373),0,COUNTIF($M$6:M373,M373))</f>
        <v>0</v>
      </c>
      <c r="R373" s="4" t="e">
        <f t="shared" ca="1" si="35"/>
        <v>#N/A</v>
      </c>
      <c r="S373" s="4">
        <f ca="1">IF(ISNA(M373),0,COUNTIF($R$6:R373,R373))</f>
        <v>0</v>
      </c>
      <c r="T373" s="4" t="e">
        <f t="shared" ca="1" si="34"/>
        <v>#N/A</v>
      </c>
    </row>
    <row r="374" spans="2:20" x14ac:dyDescent="0.3">
      <c r="B374" s="48"/>
      <c r="C374" s="48"/>
      <c r="D374" s="10" t="str">
        <f t="shared" ca="1" si="38"/>
        <v/>
      </c>
      <c r="E374" s="48"/>
      <c r="F374" s="48"/>
      <c r="G374" s="10" t="str">
        <f t="shared" ca="1" si="37"/>
        <v/>
      </c>
      <c r="I374" s="10" t="str">
        <f t="shared" ca="1" si="39"/>
        <v/>
      </c>
      <c r="K374" s="4" t="e">
        <f t="shared" ca="1" si="33"/>
        <v>#N/A</v>
      </c>
      <c r="L374" s="4" t="e">
        <f>VLOOKUP(C374,_resources!B:D,3,0)</f>
        <v>#N/A</v>
      </c>
      <c r="M374" s="4" t="e" cm="1">
        <f t="array" aca="1" ref="M374" ca="1">IF(abbrAtEnd,"",L374&amp;"-")&amp;E374&amp;"-"&amp;INDIRECT(OFFSET(element3,MATCH($C374,resources,0)-1,0))&amp;"-"&amp;INDIRECT(OFFSET(element4,MATCH($C374,resources,0)-1,0))&amp;"-"&amp;INDIRECT(OFFSET(element5,MATCH($C374,resources,0)-1,0))&amp;IF(OFFSET(element6,MATCH($C374,resources,0)-1,0)="","","-"&amp;INDIRECT(OFFSET(element6,MATCH($C374,resources,0)-1,0)))&amp;IF(abbrAtEnd,"-"&amp;L374,"")</f>
        <v>#N/A</v>
      </c>
      <c r="N374" s="4" t="str">
        <f t="shared" si="36"/>
        <v>-000</v>
      </c>
      <c r="O374" s="4">
        <f ca="1">IF(totalElements+COUNTIF(Entities!$C$10,"*")+COUNTIF(B374:C374,"*")+COUNTIF(E374:F374,"*")=9,1,0)</f>
        <v>0</v>
      </c>
      <c r="P374" s="4">
        <f>COUNTIF($C$6:C374,C374)</f>
        <v>0</v>
      </c>
      <c r="Q374" s="4">
        <f ca="1">IF(ISNA(M374),0,COUNTIF($M$6:M374,M374))</f>
        <v>0</v>
      </c>
      <c r="R374" s="4" t="e">
        <f t="shared" ca="1" si="35"/>
        <v>#N/A</v>
      </c>
      <c r="S374" s="4">
        <f ca="1">IF(ISNA(M374),0,COUNTIF($R$6:R374,R374))</f>
        <v>0</v>
      </c>
      <c r="T374" s="4" t="e">
        <f t="shared" ca="1" si="34"/>
        <v>#N/A</v>
      </c>
    </row>
    <row r="375" spans="2:20" x14ac:dyDescent="0.3">
      <c r="B375" s="48"/>
      <c r="C375" s="48"/>
      <c r="D375" s="10" t="str">
        <f t="shared" ca="1" si="38"/>
        <v/>
      </c>
      <c r="E375" s="48"/>
      <c r="F375" s="48"/>
      <c r="G375" s="10" t="str">
        <f t="shared" ca="1" si="37"/>
        <v/>
      </c>
      <c r="I375" s="10" t="str">
        <f t="shared" ca="1" si="39"/>
        <v/>
      </c>
      <c r="K375" s="4" t="e">
        <f t="shared" ca="1" si="33"/>
        <v>#N/A</v>
      </c>
      <c r="L375" s="4" t="e">
        <f>VLOOKUP(C375,_resources!B:D,3,0)</f>
        <v>#N/A</v>
      </c>
      <c r="M375" s="4" t="e" cm="1">
        <f t="array" aca="1" ref="M375" ca="1">IF(abbrAtEnd,"",L375&amp;"-")&amp;E375&amp;"-"&amp;INDIRECT(OFFSET(element3,MATCH($C375,resources,0)-1,0))&amp;"-"&amp;INDIRECT(OFFSET(element4,MATCH($C375,resources,0)-1,0))&amp;"-"&amp;INDIRECT(OFFSET(element5,MATCH($C375,resources,0)-1,0))&amp;IF(OFFSET(element6,MATCH($C375,resources,0)-1,0)="","","-"&amp;INDIRECT(OFFSET(element6,MATCH($C375,resources,0)-1,0)))&amp;IF(abbrAtEnd,"-"&amp;L375,"")</f>
        <v>#N/A</v>
      </c>
      <c r="N375" s="4" t="str">
        <f t="shared" si="36"/>
        <v>-000</v>
      </c>
      <c r="O375" s="4">
        <f ca="1">IF(totalElements+COUNTIF(Entities!$C$10,"*")+COUNTIF(B375:C375,"*")+COUNTIF(E375:F375,"*")=9,1,0)</f>
        <v>0</v>
      </c>
      <c r="P375" s="4">
        <f>COUNTIF($C$6:C375,C375)</f>
        <v>0</v>
      </c>
      <c r="Q375" s="4">
        <f ca="1">IF(ISNA(M375),0,COUNTIF($M$6:M375,M375))</f>
        <v>0</v>
      </c>
      <c r="R375" s="4" t="e">
        <f t="shared" ca="1" si="35"/>
        <v>#N/A</v>
      </c>
      <c r="S375" s="4">
        <f ca="1">IF(ISNA(M375),0,COUNTIF($R$6:R375,R375))</f>
        <v>0</v>
      </c>
      <c r="T375" s="4" t="e">
        <f t="shared" ca="1" si="34"/>
        <v>#N/A</v>
      </c>
    </row>
    <row r="376" spans="2:20" x14ac:dyDescent="0.3">
      <c r="B376" s="48"/>
      <c r="C376" s="48"/>
      <c r="D376" s="10" t="str">
        <f t="shared" ca="1" si="38"/>
        <v/>
      </c>
      <c r="E376" s="48"/>
      <c r="F376" s="48"/>
      <c r="G376" s="10" t="str">
        <f t="shared" ca="1" si="37"/>
        <v/>
      </c>
      <c r="I376" s="10" t="str">
        <f t="shared" ca="1" si="39"/>
        <v/>
      </c>
      <c r="K376" s="4" t="e">
        <f t="shared" ca="1" si="33"/>
        <v>#N/A</v>
      </c>
      <c r="L376" s="4" t="e">
        <f>VLOOKUP(C376,_resources!B:D,3,0)</f>
        <v>#N/A</v>
      </c>
      <c r="M376" s="4" t="e" cm="1">
        <f t="array" aca="1" ref="M376" ca="1">IF(abbrAtEnd,"",L376&amp;"-")&amp;E376&amp;"-"&amp;INDIRECT(OFFSET(element3,MATCH($C376,resources,0)-1,0))&amp;"-"&amp;INDIRECT(OFFSET(element4,MATCH($C376,resources,0)-1,0))&amp;"-"&amp;INDIRECT(OFFSET(element5,MATCH($C376,resources,0)-1,0))&amp;IF(OFFSET(element6,MATCH($C376,resources,0)-1,0)="","","-"&amp;INDIRECT(OFFSET(element6,MATCH($C376,resources,0)-1,0)))&amp;IF(abbrAtEnd,"-"&amp;L376,"")</f>
        <v>#N/A</v>
      </c>
      <c r="N376" s="4" t="str">
        <f t="shared" si="36"/>
        <v>-000</v>
      </c>
      <c r="O376" s="4">
        <f ca="1">IF(totalElements+COUNTIF(Entities!$C$10,"*")+COUNTIF(B376:C376,"*")+COUNTIF(E376:F376,"*")=9,1,0)</f>
        <v>0</v>
      </c>
      <c r="P376" s="4">
        <f>COUNTIF($C$6:C376,C376)</f>
        <v>0</v>
      </c>
      <c r="Q376" s="4">
        <f ca="1">IF(ISNA(M376),0,COUNTIF($M$6:M376,M376))</f>
        <v>0</v>
      </c>
      <c r="R376" s="4" t="e">
        <f t="shared" ca="1" si="35"/>
        <v>#N/A</v>
      </c>
      <c r="S376" s="4">
        <f ca="1">IF(ISNA(M376),0,COUNTIF($R$6:R376,R376))</f>
        <v>0</v>
      </c>
      <c r="T376" s="4" t="e">
        <f t="shared" ca="1" si="34"/>
        <v>#N/A</v>
      </c>
    </row>
    <row r="377" spans="2:20" x14ac:dyDescent="0.3">
      <c r="B377" s="48"/>
      <c r="C377" s="48"/>
      <c r="D377" s="10" t="str">
        <f t="shared" ca="1" si="38"/>
        <v/>
      </c>
      <c r="E377" s="48"/>
      <c r="F377" s="48"/>
      <c r="G377" s="10" t="str">
        <f t="shared" ca="1" si="37"/>
        <v/>
      </c>
      <c r="I377" s="10" t="str">
        <f t="shared" ca="1" si="39"/>
        <v/>
      </c>
      <c r="K377" s="4" t="e">
        <f t="shared" ca="1" si="33"/>
        <v>#N/A</v>
      </c>
      <c r="L377" s="4" t="e">
        <f>VLOOKUP(C377,_resources!B:D,3,0)</f>
        <v>#N/A</v>
      </c>
      <c r="M377" s="4" t="e" cm="1">
        <f t="array" aca="1" ref="M377" ca="1">IF(abbrAtEnd,"",L377&amp;"-")&amp;E377&amp;"-"&amp;INDIRECT(OFFSET(element3,MATCH($C377,resources,0)-1,0))&amp;"-"&amp;INDIRECT(OFFSET(element4,MATCH($C377,resources,0)-1,0))&amp;"-"&amp;INDIRECT(OFFSET(element5,MATCH($C377,resources,0)-1,0))&amp;IF(OFFSET(element6,MATCH($C377,resources,0)-1,0)="","","-"&amp;INDIRECT(OFFSET(element6,MATCH($C377,resources,0)-1,0)))&amp;IF(abbrAtEnd,"-"&amp;L377,"")</f>
        <v>#N/A</v>
      </c>
      <c r="N377" s="4" t="str">
        <f t="shared" si="36"/>
        <v>-000</v>
      </c>
      <c r="O377" s="4">
        <f ca="1">IF(totalElements+COUNTIF(Entities!$C$10,"*")+COUNTIF(B377:C377,"*")+COUNTIF(E377:F377,"*")=9,1,0)</f>
        <v>0</v>
      </c>
      <c r="P377" s="4">
        <f>COUNTIF($C$6:C377,C377)</f>
        <v>0</v>
      </c>
      <c r="Q377" s="4">
        <f ca="1">IF(ISNA(M377),0,COUNTIF($M$6:M377,M377))</f>
        <v>0</v>
      </c>
      <c r="R377" s="4" t="e">
        <f t="shared" ca="1" si="35"/>
        <v>#N/A</v>
      </c>
      <c r="S377" s="4">
        <f ca="1">IF(ISNA(M377),0,COUNTIF($R$6:R377,R377))</f>
        <v>0</v>
      </c>
      <c r="T377" s="4" t="e">
        <f t="shared" ca="1" si="34"/>
        <v>#N/A</v>
      </c>
    </row>
    <row r="378" spans="2:20" x14ac:dyDescent="0.3">
      <c r="B378" s="48"/>
      <c r="C378" s="48"/>
      <c r="D378" s="10" t="str">
        <f t="shared" ca="1" si="38"/>
        <v/>
      </c>
      <c r="E378" s="48"/>
      <c r="F378" s="48"/>
      <c r="G378" s="10" t="str">
        <f t="shared" ca="1" si="37"/>
        <v/>
      </c>
      <c r="I378" s="10" t="str">
        <f t="shared" ca="1" si="39"/>
        <v/>
      </c>
      <c r="K378" s="4" t="e">
        <f t="shared" ca="1" si="33"/>
        <v>#N/A</v>
      </c>
      <c r="L378" s="4" t="e">
        <f>VLOOKUP(C378,_resources!B:D,3,0)</f>
        <v>#N/A</v>
      </c>
      <c r="M378" s="4" t="e" cm="1">
        <f t="array" aca="1" ref="M378" ca="1">IF(abbrAtEnd,"",L378&amp;"-")&amp;E378&amp;"-"&amp;INDIRECT(OFFSET(element3,MATCH($C378,resources,0)-1,0))&amp;"-"&amp;INDIRECT(OFFSET(element4,MATCH($C378,resources,0)-1,0))&amp;"-"&amp;INDIRECT(OFFSET(element5,MATCH($C378,resources,0)-1,0))&amp;IF(OFFSET(element6,MATCH($C378,resources,0)-1,0)="","","-"&amp;INDIRECT(OFFSET(element6,MATCH($C378,resources,0)-1,0)))&amp;IF(abbrAtEnd,"-"&amp;L378,"")</f>
        <v>#N/A</v>
      </c>
      <c r="N378" s="4" t="str">
        <f t="shared" si="36"/>
        <v>-000</v>
      </c>
      <c r="O378" s="4">
        <f ca="1">IF(totalElements+COUNTIF(Entities!$C$10,"*")+COUNTIF(B378:C378,"*")+COUNTIF(E378:F378,"*")=9,1,0)</f>
        <v>0</v>
      </c>
      <c r="P378" s="4">
        <f>COUNTIF($C$6:C378,C378)</f>
        <v>0</v>
      </c>
      <c r="Q378" s="4">
        <f ca="1">IF(ISNA(M378),0,COUNTIF($M$6:M378,M378))</f>
        <v>0</v>
      </c>
      <c r="R378" s="4" t="e">
        <f t="shared" ca="1" si="35"/>
        <v>#N/A</v>
      </c>
      <c r="S378" s="4">
        <f ca="1">IF(ISNA(M378),0,COUNTIF($R$6:R378,R378))</f>
        <v>0</v>
      </c>
      <c r="T378" s="4" t="e">
        <f t="shared" ca="1" si="34"/>
        <v>#N/A</v>
      </c>
    </row>
    <row r="379" spans="2:20" x14ac:dyDescent="0.3">
      <c r="B379" s="48"/>
      <c r="C379" s="48"/>
      <c r="D379" s="10" t="str">
        <f t="shared" ca="1" si="38"/>
        <v/>
      </c>
      <c r="E379" s="48"/>
      <c r="F379" s="48"/>
      <c r="G379" s="10" t="str">
        <f t="shared" ca="1" si="37"/>
        <v/>
      </c>
      <c r="I379" s="10" t="str">
        <f t="shared" ca="1" si="39"/>
        <v/>
      </c>
      <c r="K379" s="4" t="e">
        <f t="shared" ca="1" si="33"/>
        <v>#N/A</v>
      </c>
      <c r="L379" s="4" t="e">
        <f>VLOOKUP(C379,_resources!B:D,3,0)</f>
        <v>#N/A</v>
      </c>
      <c r="M379" s="4" t="e" cm="1">
        <f t="array" aca="1" ref="M379" ca="1">IF(abbrAtEnd,"",L379&amp;"-")&amp;E379&amp;"-"&amp;INDIRECT(OFFSET(element3,MATCH($C379,resources,0)-1,0))&amp;"-"&amp;INDIRECT(OFFSET(element4,MATCH($C379,resources,0)-1,0))&amp;"-"&amp;INDIRECT(OFFSET(element5,MATCH($C379,resources,0)-1,0))&amp;IF(OFFSET(element6,MATCH($C379,resources,0)-1,0)="","","-"&amp;INDIRECT(OFFSET(element6,MATCH($C379,resources,0)-1,0)))&amp;IF(abbrAtEnd,"-"&amp;L379,"")</f>
        <v>#N/A</v>
      </c>
      <c r="N379" s="4" t="str">
        <f t="shared" si="36"/>
        <v>-000</v>
      </c>
      <c r="O379" s="4">
        <f ca="1">IF(totalElements+COUNTIF(Entities!$C$10,"*")+COUNTIF(B379:C379,"*")+COUNTIF(E379:F379,"*")=9,1,0)</f>
        <v>0</v>
      </c>
      <c r="P379" s="4">
        <f>COUNTIF($C$6:C379,C379)</f>
        <v>0</v>
      </c>
      <c r="Q379" s="4">
        <f ca="1">IF(ISNA(M379),0,COUNTIF($M$6:M379,M379))</f>
        <v>0</v>
      </c>
      <c r="R379" s="4" t="e">
        <f t="shared" ca="1" si="35"/>
        <v>#N/A</v>
      </c>
      <c r="S379" s="4">
        <f ca="1">IF(ISNA(M379),0,COUNTIF($R$6:R379,R379))</f>
        <v>0</v>
      </c>
      <c r="T379" s="4" t="e">
        <f t="shared" ca="1" si="34"/>
        <v>#N/A</v>
      </c>
    </row>
    <row r="380" spans="2:20" x14ac:dyDescent="0.3">
      <c r="B380" s="48"/>
      <c r="C380" s="48"/>
      <c r="D380" s="10" t="str">
        <f t="shared" ca="1" si="38"/>
        <v/>
      </c>
      <c r="E380" s="48"/>
      <c r="F380" s="48"/>
      <c r="G380" s="10" t="str">
        <f t="shared" ca="1" si="37"/>
        <v/>
      </c>
      <c r="I380" s="10" t="str">
        <f t="shared" ca="1" si="39"/>
        <v/>
      </c>
      <c r="K380" s="4" t="e">
        <f t="shared" ca="1" si="33"/>
        <v>#N/A</v>
      </c>
      <c r="L380" s="4" t="e">
        <f>VLOOKUP(C380,_resources!B:D,3,0)</f>
        <v>#N/A</v>
      </c>
      <c r="M380" s="4" t="e" cm="1">
        <f t="array" aca="1" ref="M380" ca="1">IF(abbrAtEnd,"",L380&amp;"-")&amp;E380&amp;"-"&amp;INDIRECT(OFFSET(element3,MATCH($C380,resources,0)-1,0))&amp;"-"&amp;INDIRECT(OFFSET(element4,MATCH($C380,resources,0)-1,0))&amp;"-"&amp;INDIRECT(OFFSET(element5,MATCH($C380,resources,0)-1,0))&amp;IF(OFFSET(element6,MATCH($C380,resources,0)-1,0)="","","-"&amp;INDIRECT(OFFSET(element6,MATCH($C380,resources,0)-1,0)))&amp;IF(abbrAtEnd,"-"&amp;L380,"")</f>
        <v>#N/A</v>
      </c>
      <c r="N380" s="4" t="str">
        <f t="shared" si="36"/>
        <v>-000</v>
      </c>
      <c r="O380" s="4">
        <f ca="1">IF(totalElements+COUNTIF(Entities!$C$10,"*")+COUNTIF(B380:C380,"*")+COUNTIF(E380:F380,"*")=9,1,0)</f>
        <v>0</v>
      </c>
      <c r="P380" s="4">
        <f>COUNTIF($C$6:C380,C380)</f>
        <v>0</v>
      </c>
      <c r="Q380" s="4">
        <f ca="1">IF(ISNA(M380),0,COUNTIF($M$6:M380,M380))</f>
        <v>0</v>
      </c>
      <c r="R380" s="4" t="e">
        <f t="shared" ca="1" si="35"/>
        <v>#N/A</v>
      </c>
      <c r="S380" s="4">
        <f ca="1">IF(ISNA(M380),0,COUNTIF($R$6:R380,R380))</f>
        <v>0</v>
      </c>
      <c r="T380" s="4" t="e">
        <f t="shared" ca="1" si="34"/>
        <v>#N/A</v>
      </c>
    </row>
    <row r="381" spans="2:20" x14ac:dyDescent="0.3">
      <c r="B381" s="48"/>
      <c r="C381" s="48"/>
      <c r="D381" s="10" t="str">
        <f t="shared" ca="1" si="38"/>
        <v/>
      </c>
      <c r="E381" s="48"/>
      <c r="F381" s="48"/>
      <c r="G381" s="10" t="str">
        <f t="shared" ca="1" si="37"/>
        <v/>
      </c>
      <c r="I381" s="10" t="str">
        <f t="shared" ca="1" si="39"/>
        <v/>
      </c>
      <c r="K381" s="4" t="e">
        <f t="shared" ca="1" si="33"/>
        <v>#N/A</v>
      </c>
      <c r="L381" s="4" t="e">
        <f>VLOOKUP(C381,_resources!B:D,3,0)</f>
        <v>#N/A</v>
      </c>
      <c r="M381" s="4" t="e" cm="1">
        <f t="array" aca="1" ref="M381" ca="1">IF(abbrAtEnd,"",L381&amp;"-")&amp;E381&amp;"-"&amp;INDIRECT(OFFSET(element3,MATCH($C381,resources,0)-1,0))&amp;"-"&amp;INDIRECT(OFFSET(element4,MATCH($C381,resources,0)-1,0))&amp;"-"&amp;INDIRECT(OFFSET(element5,MATCH($C381,resources,0)-1,0))&amp;IF(OFFSET(element6,MATCH($C381,resources,0)-1,0)="","","-"&amp;INDIRECT(OFFSET(element6,MATCH($C381,resources,0)-1,0)))&amp;IF(abbrAtEnd,"-"&amp;L381,"")</f>
        <v>#N/A</v>
      </c>
      <c r="N381" s="4" t="str">
        <f t="shared" si="36"/>
        <v>-000</v>
      </c>
      <c r="O381" s="4">
        <f ca="1">IF(totalElements+COUNTIF(Entities!$C$10,"*")+COUNTIF(B381:C381,"*")+COUNTIF(E381:F381,"*")=9,1,0)</f>
        <v>0</v>
      </c>
      <c r="P381" s="4">
        <f>COUNTIF($C$6:C381,C381)</f>
        <v>0</v>
      </c>
      <c r="Q381" s="4">
        <f ca="1">IF(ISNA(M381),0,COUNTIF($M$6:M381,M381))</f>
        <v>0</v>
      </c>
      <c r="R381" s="4" t="e">
        <f t="shared" ca="1" si="35"/>
        <v>#N/A</v>
      </c>
      <c r="S381" s="4">
        <f ca="1">IF(ISNA(M381),0,COUNTIF($R$6:R381,R381))</f>
        <v>0</v>
      </c>
      <c r="T381" s="4" t="e">
        <f t="shared" ca="1" si="34"/>
        <v>#N/A</v>
      </c>
    </row>
    <row r="382" spans="2:20" x14ac:dyDescent="0.3">
      <c r="B382" s="48"/>
      <c r="C382" s="48"/>
      <c r="D382" s="10" t="str">
        <f t="shared" ca="1" si="38"/>
        <v/>
      </c>
      <c r="E382" s="48"/>
      <c r="F382" s="48"/>
      <c r="G382" s="10" t="str">
        <f t="shared" ca="1" si="37"/>
        <v/>
      </c>
      <c r="I382" s="10" t="str">
        <f t="shared" ca="1" si="39"/>
        <v/>
      </c>
      <c r="K382" s="4" t="e">
        <f t="shared" ca="1" si="33"/>
        <v>#N/A</v>
      </c>
      <c r="L382" s="4" t="e">
        <f>VLOOKUP(C382,_resources!B:D,3,0)</f>
        <v>#N/A</v>
      </c>
      <c r="M382" s="4" t="e" cm="1">
        <f t="array" aca="1" ref="M382" ca="1">IF(abbrAtEnd,"",L382&amp;"-")&amp;E382&amp;"-"&amp;INDIRECT(OFFSET(element3,MATCH($C382,resources,0)-1,0))&amp;"-"&amp;INDIRECT(OFFSET(element4,MATCH($C382,resources,0)-1,0))&amp;"-"&amp;INDIRECT(OFFSET(element5,MATCH($C382,resources,0)-1,0))&amp;IF(OFFSET(element6,MATCH($C382,resources,0)-1,0)="","","-"&amp;INDIRECT(OFFSET(element6,MATCH($C382,resources,0)-1,0)))&amp;IF(abbrAtEnd,"-"&amp;L382,"")</f>
        <v>#N/A</v>
      </c>
      <c r="N382" s="4" t="str">
        <f t="shared" si="36"/>
        <v>-000</v>
      </c>
      <c r="O382" s="4">
        <f ca="1">IF(totalElements+COUNTIF(Entities!$C$10,"*")+COUNTIF(B382:C382,"*")+COUNTIF(E382:F382,"*")=9,1,0)</f>
        <v>0</v>
      </c>
      <c r="P382" s="4">
        <f>COUNTIF($C$6:C382,C382)</f>
        <v>0</v>
      </c>
      <c r="Q382" s="4">
        <f ca="1">IF(ISNA(M382),0,COUNTIF($M$6:M382,M382))</f>
        <v>0</v>
      </c>
      <c r="R382" s="4" t="e">
        <f t="shared" ca="1" si="35"/>
        <v>#N/A</v>
      </c>
      <c r="S382" s="4">
        <f ca="1">IF(ISNA(M382),0,COUNTIF($R$6:R382,R382))</f>
        <v>0</v>
      </c>
      <c r="T382" s="4" t="e">
        <f t="shared" ca="1" si="34"/>
        <v>#N/A</v>
      </c>
    </row>
    <row r="383" spans="2:20" x14ac:dyDescent="0.3">
      <c r="B383" s="48"/>
      <c r="C383" s="48"/>
      <c r="D383" s="10" t="str">
        <f t="shared" ca="1" si="38"/>
        <v/>
      </c>
      <c r="E383" s="48"/>
      <c r="F383" s="48"/>
      <c r="G383" s="10" t="str">
        <f t="shared" ca="1" si="37"/>
        <v/>
      </c>
      <c r="I383" s="10" t="str">
        <f t="shared" ca="1" si="39"/>
        <v/>
      </c>
      <c r="K383" s="4" t="e">
        <f t="shared" ca="1" si="33"/>
        <v>#N/A</v>
      </c>
      <c r="L383" s="4" t="e">
        <f>VLOOKUP(C383,_resources!B:D,3,0)</f>
        <v>#N/A</v>
      </c>
      <c r="M383" s="4" t="e" cm="1">
        <f t="array" aca="1" ref="M383" ca="1">IF(abbrAtEnd,"",L383&amp;"-")&amp;E383&amp;"-"&amp;INDIRECT(OFFSET(element3,MATCH($C383,resources,0)-1,0))&amp;"-"&amp;INDIRECT(OFFSET(element4,MATCH($C383,resources,0)-1,0))&amp;"-"&amp;INDIRECT(OFFSET(element5,MATCH($C383,resources,0)-1,0))&amp;IF(OFFSET(element6,MATCH($C383,resources,0)-1,0)="","","-"&amp;INDIRECT(OFFSET(element6,MATCH($C383,resources,0)-1,0)))&amp;IF(abbrAtEnd,"-"&amp;L383,"")</f>
        <v>#N/A</v>
      </c>
      <c r="N383" s="4" t="str">
        <f t="shared" si="36"/>
        <v>-000</v>
      </c>
      <c r="O383" s="4">
        <f ca="1">IF(totalElements+COUNTIF(Entities!$C$10,"*")+COUNTIF(B383:C383,"*")+COUNTIF(E383:F383,"*")=9,1,0)</f>
        <v>0</v>
      </c>
      <c r="P383" s="4">
        <f>COUNTIF($C$6:C383,C383)</f>
        <v>0</v>
      </c>
      <c r="Q383" s="4">
        <f ca="1">IF(ISNA(M383),0,COUNTIF($M$6:M383,M383))</f>
        <v>0</v>
      </c>
      <c r="R383" s="4" t="e">
        <f t="shared" ca="1" si="35"/>
        <v>#N/A</v>
      </c>
      <c r="S383" s="4">
        <f ca="1">IF(ISNA(M383),0,COUNTIF($R$6:R383,R383))</f>
        <v>0</v>
      </c>
      <c r="T383" s="4" t="e">
        <f t="shared" ca="1" si="34"/>
        <v>#N/A</v>
      </c>
    </row>
    <row r="384" spans="2:20" x14ac:dyDescent="0.3">
      <c r="B384" s="48"/>
      <c r="C384" s="48"/>
      <c r="D384" s="10" t="str">
        <f t="shared" ca="1" si="38"/>
        <v/>
      </c>
      <c r="E384" s="48"/>
      <c r="F384" s="48"/>
      <c r="G384" s="10" t="str">
        <f t="shared" ca="1" si="37"/>
        <v/>
      </c>
      <c r="I384" s="10" t="str">
        <f t="shared" ca="1" si="39"/>
        <v/>
      </c>
      <c r="K384" s="4" t="e">
        <f t="shared" ca="1" si="33"/>
        <v>#N/A</v>
      </c>
      <c r="L384" s="4" t="e">
        <f>VLOOKUP(C384,_resources!B:D,3,0)</f>
        <v>#N/A</v>
      </c>
      <c r="M384" s="4" t="e" cm="1">
        <f t="array" aca="1" ref="M384" ca="1">IF(abbrAtEnd,"",L384&amp;"-")&amp;E384&amp;"-"&amp;INDIRECT(OFFSET(element3,MATCH($C384,resources,0)-1,0))&amp;"-"&amp;INDIRECT(OFFSET(element4,MATCH($C384,resources,0)-1,0))&amp;"-"&amp;INDIRECT(OFFSET(element5,MATCH($C384,resources,0)-1,0))&amp;IF(OFFSET(element6,MATCH($C384,resources,0)-1,0)="","","-"&amp;INDIRECT(OFFSET(element6,MATCH($C384,resources,0)-1,0)))&amp;IF(abbrAtEnd,"-"&amp;L384,"")</f>
        <v>#N/A</v>
      </c>
      <c r="N384" s="4" t="str">
        <f t="shared" si="36"/>
        <v>-000</v>
      </c>
      <c r="O384" s="4">
        <f ca="1">IF(totalElements+COUNTIF(Entities!$C$10,"*")+COUNTIF(B384:C384,"*")+COUNTIF(E384:F384,"*")=9,1,0)</f>
        <v>0</v>
      </c>
      <c r="P384" s="4">
        <f>COUNTIF($C$6:C384,C384)</f>
        <v>0</v>
      </c>
      <c r="Q384" s="4">
        <f ca="1">IF(ISNA(M384),0,COUNTIF($M$6:M384,M384))</f>
        <v>0</v>
      </c>
      <c r="R384" s="4" t="e">
        <f t="shared" ca="1" si="35"/>
        <v>#N/A</v>
      </c>
      <c r="S384" s="4">
        <f ca="1">IF(ISNA(M384),0,COUNTIF($R$6:R384,R384))</f>
        <v>0</v>
      </c>
      <c r="T384" s="4" t="e">
        <f t="shared" ca="1" si="34"/>
        <v>#N/A</v>
      </c>
    </row>
    <row r="385" spans="2:20" x14ac:dyDescent="0.3">
      <c r="B385" s="48"/>
      <c r="C385" s="48"/>
      <c r="D385" s="10" t="str">
        <f t="shared" ca="1" si="38"/>
        <v/>
      </c>
      <c r="E385" s="48"/>
      <c r="F385" s="48"/>
      <c r="G385" s="10" t="str">
        <f t="shared" ca="1" si="37"/>
        <v/>
      </c>
      <c r="I385" s="10" t="str">
        <f t="shared" ca="1" si="39"/>
        <v/>
      </c>
      <c r="K385" s="4" t="e">
        <f t="shared" ca="1" si="33"/>
        <v>#N/A</v>
      </c>
      <c r="L385" s="4" t="e">
        <f>VLOOKUP(C385,_resources!B:D,3,0)</f>
        <v>#N/A</v>
      </c>
      <c r="M385" s="4" t="e" cm="1">
        <f t="array" aca="1" ref="M385" ca="1">IF(abbrAtEnd,"",L385&amp;"-")&amp;E385&amp;"-"&amp;INDIRECT(OFFSET(element3,MATCH($C385,resources,0)-1,0))&amp;"-"&amp;INDIRECT(OFFSET(element4,MATCH($C385,resources,0)-1,0))&amp;"-"&amp;INDIRECT(OFFSET(element5,MATCH($C385,resources,0)-1,0))&amp;IF(OFFSET(element6,MATCH($C385,resources,0)-1,0)="","","-"&amp;INDIRECT(OFFSET(element6,MATCH($C385,resources,0)-1,0)))&amp;IF(abbrAtEnd,"-"&amp;L385,"")</f>
        <v>#N/A</v>
      </c>
      <c r="N385" s="4" t="str">
        <f t="shared" si="36"/>
        <v>-000</v>
      </c>
      <c r="O385" s="4">
        <f ca="1">IF(totalElements+COUNTIF(Entities!$C$10,"*")+COUNTIF(B385:C385,"*")+COUNTIF(E385:F385,"*")=9,1,0)</f>
        <v>0</v>
      </c>
      <c r="P385" s="4">
        <f>COUNTIF($C$6:C385,C385)</f>
        <v>0</v>
      </c>
      <c r="Q385" s="4">
        <f ca="1">IF(ISNA(M385),0,COUNTIF($M$6:M385,M385))</f>
        <v>0</v>
      </c>
      <c r="R385" s="4" t="e">
        <f t="shared" ca="1" si="35"/>
        <v>#N/A</v>
      </c>
      <c r="S385" s="4">
        <f ca="1">IF(ISNA(M385),0,COUNTIF($R$6:R385,R385))</f>
        <v>0</v>
      </c>
      <c r="T385" s="4" t="e">
        <f t="shared" ca="1" si="34"/>
        <v>#N/A</v>
      </c>
    </row>
    <row r="386" spans="2:20" x14ac:dyDescent="0.3">
      <c r="B386" s="48"/>
      <c r="C386" s="48"/>
      <c r="D386" s="10" t="str">
        <f t="shared" ca="1" si="38"/>
        <v/>
      </c>
      <c r="E386" s="48"/>
      <c r="F386" s="48"/>
      <c r="G386" s="10" t="str">
        <f t="shared" ca="1" si="37"/>
        <v/>
      </c>
      <c r="I386" s="10" t="str">
        <f t="shared" ca="1" si="39"/>
        <v/>
      </c>
      <c r="K386" s="4" t="e">
        <f t="shared" ca="1" si="33"/>
        <v>#N/A</v>
      </c>
      <c r="L386" s="4" t="e">
        <f>VLOOKUP(C386,_resources!B:D,3,0)</f>
        <v>#N/A</v>
      </c>
      <c r="M386" s="4" t="e" cm="1">
        <f t="array" aca="1" ref="M386" ca="1">IF(abbrAtEnd,"",L386&amp;"-")&amp;E386&amp;"-"&amp;INDIRECT(OFFSET(element3,MATCH($C386,resources,0)-1,0))&amp;"-"&amp;INDIRECT(OFFSET(element4,MATCH($C386,resources,0)-1,0))&amp;"-"&amp;INDIRECT(OFFSET(element5,MATCH($C386,resources,0)-1,0))&amp;IF(OFFSET(element6,MATCH($C386,resources,0)-1,0)="","","-"&amp;INDIRECT(OFFSET(element6,MATCH($C386,resources,0)-1,0)))&amp;IF(abbrAtEnd,"-"&amp;L386,"")</f>
        <v>#N/A</v>
      </c>
      <c r="N386" s="4" t="str">
        <f t="shared" si="36"/>
        <v>-000</v>
      </c>
      <c r="O386" s="4">
        <f ca="1">IF(totalElements+COUNTIF(Entities!$C$10,"*")+COUNTIF(B386:C386,"*")+COUNTIF(E386:F386,"*")=9,1,0)</f>
        <v>0</v>
      </c>
      <c r="P386" s="4">
        <f>COUNTIF($C$6:C386,C386)</f>
        <v>0</v>
      </c>
      <c r="Q386" s="4">
        <f ca="1">IF(ISNA(M386),0,COUNTIF($M$6:M386,M386))</f>
        <v>0</v>
      </c>
      <c r="R386" s="4" t="e">
        <f t="shared" ca="1" si="35"/>
        <v>#N/A</v>
      </c>
      <c r="S386" s="4">
        <f ca="1">IF(ISNA(M386),0,COUNTIF($R$6:R386,R386))</f>
        <v>0</v>
      </c>
      <c r="T386" s="4" t="e">
        <f t="shared" ca="1" si="34"/>
        <v>#N/A</v>
      </c>
    </row>
    <row r="387" spans="2:20" x14ac:dyDescent="0.3">
      <c r="B387" s="48"/>
      <c r="C387" s="48"/>
      <c r="D387" s="10" t="str">
        <f t="shared" ca="1" si="38"/>
        <v/>
      </c>
      <c r="E387" s="48"/>
      <c r="F387" s="48"/>
      <c r="G387" s="10" t="str">
        <f t="shared" ca="1" si="37"/>
        <v/>
      </c>
      <c r="I387" s="10" t="str">
        <f t="shared" ca="1" si="39"/>
        <v/>
      </c>
      <c r="K387" s="4" t="e">
        <f t="shared" ca="1" si="33"/>
        <v>#N/A</v>
      </c>
      <c r="L387" s="4" t="e">
        <f>VLOOKUP(C387,_resources!B:D,3,0)</f>
        <v>#N/A</v>
      </c>
      <c r="M387" s="4" t="e" cm="1">
        <f t="array" aca="1" ref="M387" ca="1">IF(abbrAtEnd,"",L387&amp;"-")&amp;E387&amp;"-"&amp;INDIRECT(OFFSET(element3,MATCH($C387,resources,0)-1,0))&amp;"-"&amp;INDIRECT(OFFSET(element4,MATCH($C387,resources,0)-1,0))&amp;"-"&amp;INDIRECT(OFFSET(element5,MATCH($C387,resources,0)-1,0))&amp;IF(OFFSET(element6,MATCH($C387,resources,0)-1,0)="","","-"&amp;INDIRECT(OFFSET(element6,MATCH($C387,resources,0)-1,0)))&amp;IF(abbrAtEnd,"-"&amp;L387,"")</f>
        <v>#N/A</v>
      </c>
      <c r="N387" s="4" t="str">
        <f t="shared" si="36"/>
        <v>-000</v>
      </c>
      <c r="O387" s="4">
        <f ca="1">IF(totalElements+COUNTIF(Entities!$C$10,"*")+COUNTIF(B387:C387,"*")+COUNTIF(E387:F387,"*")=9,1,0)</f>
        <v>0</v>
      </c>
      <c r="P387" s="4">
        <f>COUNTIF($C$6:C387,C387)</f>
        <v>0</v>
      </c>
      <c r="Q387" s="4">
        <f ca="1">IF(ISNA(M387),0,COUNTIF($M$6:M387,M387))</f>
        <v>0</v>
      </c>
      <c r="R387" s="4" t="e">
        <f t="shared" ca="1" si="35"/>
        <v>#N/A</v>
      </c>
      <c r="S387" s="4">
        <f ca="1">IF(ISNA(M387),0,COUNTIF($R$6:R387,R387))</f>
        <v>0</v>
      </c>
      <c r="T387" s="4" t="e">
        <f t="shared" ca="1" si="34"/>
        <v>#N/A</v>
      </c>
    </row>
    <row r="388" spans="2:20" x14ac:dyDescent="0.3">
      <c r="B388" s="48"/>
      <c r="C388" s="48"/>
      <c r="D388" s="10" t="str">
        <f t="shared" ca="1" si="38"/>
        <v/>
      </c>
      <c r="E388" s="48"/>
      <c r="F388" s="48"/>
      <c r="G388" s="10" t="str">
        <f t="shared" ca="1" si="37"/>
        <v/>
      </c>
      <c r="I388" s="10" t="str">
        <f t="shared" ca="1" si="39"/>
        <v/>
      </c>
      <c r="K388" s="4" t="e">
        <f t="shared" ca="1" si="33"/>
        <v>#N/A</v>
      </c>
      <c r="L388" s="4" t="e">
        <f>VLOOKUP(C388,_resources!B:D,3,0)</f>
        <v>#N/A</v>
      </c>
      <c r="M388" s="4" t="e" cm="1">
        <f t="array" aca="1" ref="M388" ca="1">IF(abbrAtEnd,"",L388&amp;"-")&amp;E388&amp;"-"&amp;INDIRECT(OFFSET(element3,MATCH($C388,resources,0)-1,0))&amp;"-"&amp;INDIRECT(OFFSET(element4,MATCH($C388,resources,0)-1,0))&amp;"-"&amp;INDIRECT(OFFSET(element5,MATCH($C388,resources,0)-1,0))&amp;IF(OFFSET(element6,MATCH($C388,resources,0)-1,0)="","","-"&amp;INDIRECT(OFFSET(element6,MATCH($C388,resources,0)-1,0)))&amp;IF(abbrAtEnd,"-"&amp;L388,"")</f>
        <v>#N/A</v>
      </c>
      <c r="N388" s="4" t="str">
        <f t="shared" si="36"/>
        <v>-000</v>
      </c>
      <c r="O388" s="4">
        <f ca="1">IF(totalElements+COUNTIF(Entities!$C$10,"*")+COUNTIF(B388:C388,"*")+COUNTIF(E388:F388,"*")=9,1,0)</f>
        <v>0</v>
      </c>
      <c r="P388" s="4">
        <f>COUNTIF($C$6:C388,C388)</f>
        <v>0</v>
      </c>
      <c r="Q388" s="4">
        <f ca="1">IF(ISNA(M388),0,COUNTIF($M$6:M388,M388))</f>
        <v>0</v>
      </c>
      <c r="R388" s="4" t="e">
        <f t="shared" ca="1" si="35"/>
        <v>#N/A</v>
      </c>
      <c r="S388" s="4">
        <f ca="1">IF(ISNA(M388),0,COUNTIF($R$6:R388,R388))</f>
        <v>0</v>
      </c>
      <c r="T388" s="4" t="e">
        <f t="shared" ca="1" si="34"/>
        <v>#N/A</v>
      </c>
    </row>
    <row r="389" spans="2:20" x14ac:dyDescent="0.3">
      <c r="B389" s="48"/>
      <c r="C389" s="48"/>
      <c r="D389" s="10" t="str">
        <f t="shared" ca="1" si="38"/>
        <v/>
      </c>
      <c r="E389" s="48"/>
      <c r="F389" s="48"/>
      <c r="G389" s="10" t="str">
        <f t="shared" ca="1" si="37"/>
        <v/>
      </c>
      <c r="I389" s="10" t="str">
        <f t="shared" ca="1" si="39"/>
        <v/>
      </c>
      <c r="K389" s="4" t="e">
        <f t="shared" ca="1" si="33"/>
        <v>#N/A</v>
      </c>
      <c r="L389" s="4" t="e">
        <f>VLOOKUP(C389,_resources!B:D,3,0)</f>
        <v>#N/A</v>
      </c>
      <c r="M389" s="4" t="e" cm="1">
        <f t="array" aca="1" ref="M389" ca="1">IF(abbrAtEnd,"",L389&amp;"-")&amp;E389&amp;"-"&amp;INDIRECT(OFFSET(element3,MATCH($C389,resources,0)-1,0))&amp;"-"&amp;INDIRECT(OFFSET(element4,MATCH($C389,resources,0)-1,0))&amp;"-"&amp;INDIRECT(OFFSET(element5,MATCH($C389,resources,0)-1,0))&amp;IF(OFFSET(element6,MATCH($C389,resources,0)-1,0)="","","-"&amp;INDIRECT(OFFSET(element6,MATCH($C389,resources,0)-1,0)))&amp;IF(abbrAtEnd,"-"&amp;L389,"")</f>
        <v>#N/A</v>
      </c>
      <c r="N389" s="4" t="str">
        <f t="shared" si="36"/>
        <v>-000</v>
      </c>
      <c r="O389" s="4">
        <f ca="1">IF(totalElements+COUNTIF(Entities!$C$10,"*")+COUNTIF(B389:C389,"*")+COUNTIF(E389:F389,"*")=9,1,0)</f>
        <v>0</v>
      </c>
      <c r="P389" s="4">
        <f>COUNTIF($C$6:C389,C389)</f>
        <v>0</v>
      </c>
      <c r="Q389" s="4">
        <f ca="1">IF(ISNA(M389),0,COUNTIF($M$6:M389,M389))</f>
        <v>0</v>
      </c>
      <c r="R389" s="4" t="e">
        <f t="shared" ca="1" si="35"/>
        <v>#N/A</v>
      </c>
      <c r="S389" s="4">
        <f ca="1">IF(ISNA(M389),0,COUNTIF($R$6:R389,R389))</f>
        <v>0</v>
      </c>
      <c r="T389" s="4" t="e">
        <f t="shared" ca="1" si="34"/>
        <v>#N/A</v>
      </c>
    </row>
    <row r="390" spans="2:20" x14ac:dyDescent="0.3">
      <c r="B390" s="48"/>
      <c r="C390" s="48"/>
      <c r="D390" s="10" t="str">
        <f t="shared" ca="1" si="38"/>
        <v/>
      </c>
      <c r="E390" s="48"/>
      <c r="F390" s="48"/>
      <c r="G390" s="10" t="str">
        <f t="shared" ca="1" si="37"/>
        <v/>
      </c>
      <c r="I390" s="10" t="str">
        <f t="shared" ca="1" si="39"/>
        <v/>
      </c>
      <c r="K390" s="4" t="e">
        <f t="shared" ref="K390:K453" ca="1" si="40">OFFSET(structure,MATCH($C390,resources,0)-1,0)</f>
        <v>#N/A</v>
      </c>
      <c r="L390" s="4" t="e">
        <f>VLOOKUP(C390,_resources!B:D,3,0)</f>
        <v>#N/A</v>
      </c>
      <c r="M390" s="4" t="e" cm="1">
        <f t="array" aca="1" ref="M390" ca="1">IF(abbrAtEnd,"",L390&amp;"-")&amp;E390&amp;"-"&amp;INDIRECT(OFFSET(element3,MATCH($C390,resources,0)-1,0))&amp;"-"&amp;INDIRECT(OFFSET(element4,MATCH($C390,resources,0)-1,0))&amp;"-"&amp;INDIRECT(OFFSET(element5,MATCH($C390,resources,0)-1,0))&amp;IF(OFFSET(element6,MATCH($C390,resources,0)-1,0)="","","-"&amp;INDIRECT(OFFSET(element6,MATCH($C390,resources,0)-1,0)))&amp;IF(abbrAtEnd,"-"&amp;L390,"")</f>
        <v>#N/A</v>
      </c>
      <c r="N390" s="4" t="str">
        <f t="shared" si="36"/>
        <v>-000</v>
      </c>
      <c r="O390" s="4">
        <f ca="1">IF(totalElements+COUNTIF(Entities!$C$10,"*")+COUNTIF(B390:C390,"*")+COUNTIF(E390:F390,"*")=9,1,0)</f>
        <v>0</v>
      </c>
      <c r="P390" s="4">
        <f>COUNTIF($C$6:C390,C390)</f>
        <v>0</v>
      </c>
      <c r="Q390" s="4">
        <f ca="1">IF(ISNA(M390),0,COUNTIF($M$6:M390,M390))</f>
        <v>0</v>
      </c>
      <c r="R390" s="4" t="e">
        <f t="shared" ca="1" si="35"/>
        <v>#N/A</v>
      </c>
      <c r="S390" s="4">
        <f ca="1">IF(ISNA(M390),0,COUNTIF($R$6:R390,R390))</f>
        <v>0</v>
      </c>
      <c r="T390" s="4" t="e">
        <f t="shared" ref="T390:T453" ca="1" si="41">OFFSET(maxLength,MATCH($C390,resources,0)-1,0)</f>
        <v>#N/A</v>
      </c>
    </row>
    <row r="391" spans="2:20" x14ac:dyDescent="0.3">
      <c r="B391" s="48"/>
      <c r="C391" s="48"/>
      <c r="D391" s="10" t="str">
        <f t="shared" ca="1" si="38"/>
        <v/>
      </c>
      <c r="E391" s="48"/>
      <c r="F391" s="48"/>
      <c r="G391" s="10" t="str">
        <f t="shared" ca="1" si="37"/>
        <v/>
      </c>
      <c r="I391" s="10" t="str">
        <f t="shared" ca="1" si="39"/>
        <v/>
      </c>
      <c r="K391" s="4" t="e">
        <f t="shared" ca="1" si="40"/>
        <v>#N/A</v>
      </c>
      <c r="L391" s="4" t="e">
        <f>VLOOKUP(C391,_resources!B:D,3,0)</f>
        <v>#N/A</v>
      </c>
      <c r="M391" s="4" t="e" cm="1">
        <f t="array" aca="1" ref="M391" ca="1">IF(abbrAtEnd,"",L391&amp;"-")&amp;E391&amp;"-"&amp;INDIRECT(OFFSET(element3,MATCH($C391,resources,0)-1,0))&amp;"-"&amp;INDIRECT(OFFSET(element4,MATCH($C391,resources,0)-1,0))&amp;"-"&amp;INDIRECT(OFFSET(element5,MATCH($C391,resources,0)-1,0))&amp;IF(OFFSET(element6,MATCH($C391,resources,0)-1,0)="","","-"&amp;INDIRECT(OFFSET(element6,MATCH($C391,resources,0)-1,0)))&amp;IF(abbrAtEnd,"-"&amp;L391,"")</f>
        <v>#N/A</v>
      </c>
      <c r="N391" s="4" t="str">
        <f t="shared" si="36"/>
        <v>-000</v>
      </c>
      <c r="O391" s="4">
        <f ca="1">IF(totalElements+COUNTIF(Entities!$C$10,"*")+COUNTIF(B391:C391,"*")+COUNTIF(E391:F391,"*")=9,1,0)</f>
        <v>0</v>
      </c>
      <c r="P391" s="4">
        <f>COUNTIF($C$6:C391,C391)</f>
        <v>0</v>
      </c>
      <c r="Q391" s="4">
        <f ca="1">IF(ISNA(M391),0,COUNTIF($M$6:M391,M391))</f>
        <v>0</v>
      </c>
      <c r="R391" s="4" t="e">
        <f t="shared" ref="R391:R454" ca="1" si="42">F391&amp;"__"&amp;M391</f>
        <v>#N/A</v>
      </c>
      <c r="S391" s="4">
        <f ca="1">IF(ISNA(M391),0,COUNTIF($R$6:R391,R391))</f>
        <v>0</v>
      </c>
      <c r="T391" s="4" t="e">
        <f t="shared" ca="1" si="41"/>
        <v>#N/A</v>
      </c>
    </row>
    <row r="392" spans="2:20" x14ac:dyDescent="0.3">
      <c r="B392" s="48"/>
      <c r="C392" s="48"/>
      <c r="D392" s="10" t="str">
        <f t="shared" ca="1" si="38"/>
        <v/>
      </c>
      <c r="E392" s="48"/>
      <c r="F392" s="48"/>
      <c r="G392" s="10" t="str">
        <f t="shared" ca="1" si="37"/>
        <v/>
      </c>
      <c r="I392" s="10" t="str">
        <f t="shared" ca="1" si="39"/>
        <v/>
      </c>
      <c r="K392" s="4" t="e">
        <f t="shared" ca="1" si="40"/>
        <v>#N/A</v>
      </c>
      <c r="L392" s="4" t="e">
        <f>VLOOKUP(C392,_resources!B:D,3,0)</f>
        <v>#N/A</v>
      </c>
      <c r="M392" s="4" t="e" cm="1">
        <f t="array" aca="1" ref="M392" ca="1">IF(abbrAtEnd,"",L392&amp;"-")&amp;E392&amp;"-"&amp;INDIRECT(OFFSET(element3,MATCH($C392,resources,0)-1,0))&amp;"-"&amp;INDIRECT(OFFSET(element4,MATCH($C392,resources,0)-1,0))&amp;"-"&amp;INDIRECT(OFFSET(element5,MATCH($C392,resources,0)-1,0))&amp;IF(OFFSET(element6,MATCH($C392,resources,0)-1,0)="","","-"&amp;INDIRECT(OFFSET(element6,MATCH($C392,resources,0)-1,0)))&amp;IF(abbrAtEnd,"-"&amp;L392,"")</f>
        <v>#N/A</v>
      </c>
      <c r="N392" s="4" t="str">
        <f t="shared" si="36"/>
        <v>-000</v>
      </c>
      <c r="O392" s="4">
        <f ca="1">IF(totalElements+COUNTIF(Entities!$C$10,"*")+COUNTIF(B392:C392,"*")+COUNTIF(E392:F392,"*")=9,1,0)</f>
        <v>0</v>
      </c>
      <c r="P392" s="4">
        <f>COUNTIF($C$6:C392,C392)</f>
        <v>0</v>
      </c>
      <c r="Q392" s="4">
        <f ca="1">IF(ISNA(M392),0,COUNTIF($M$6:M392,M392))</f>
        <v>0</v>
      </c>
      <c r="R392" s="4" t="e">
        <f t="shared" ca="1" si="42"/>
        <v>#N/A</v>
      </c>
      <c r="S392" s="4">
        <f ca="1">IF(ISNA(M392),0,COUNTIF($R$6:R392,R392))</f>
        <v>0</v>
      </c>
      <c r="T392" s="4" t="e">
        <f t="shared" ca="1" si="41"/>
        <v>#N/A</v>
      </c>
    </row>
    <row r="393" spans="2:20" x14ac:dyDescent="0.3">
      <c r="B393" s="48"/>
      <c r="C393" s="48"/>
      <c r="D393" s="10" t="str">
        <f t="shared" ca="1" si="38"/>
        <v/>
      </c>
      <c r="E393" s="48"/>
      <c r="F393" s="48"/>
      <c r="G393" s="10" t="str">
        <f t="shared" ca="1" si="37"/>
        <v/>
      </c>
      <c r="I393" s="10" t="str">
        <f t="shared" ca="1" si="39"/>
        <v/>
      </c>
      <c r="K393" s="4" t="e">
        <f t="shared" ca="1" si="40"/>
        <v>#N/A</v>
      </c>
      <c r="L393" s="4" t="e">
        <f>VLOOKUP(C393,_resources!B:D,3,0)</f>
        <v>#N/A</v>
      </c>
      <c r="M393" s="4" t="e" cm="1">
        <f t="array" aca="1" ref="M393" ca="1">IF(abbrAtEnd,"",L393&amp;"-")&amp;E393&amp;"-"&amp;INDIRECT(OFFSET(element3,MATCH($C393,resources,0)-1,0))&amp;"-"&amp;INDIRECT(OFFSET(element4,MATCH($C393,resources,0)-1,0))&amp;"-"&amp;INDIRECT(OFFSET(element5,MATCH($C393,resources,0)-1,0))&amp;IF(OFFSET(element6,MATCH($C393,resources,0)-1,0)="","","-"&amp;INDIRECT(OFFSET(element6,MATCH($C393,resources,0)-1,0)))&amp;IF(abbrAtEnd,"-"&amp;L393,"")</f>
        <v>#N/A</v>
      </c>
      <c r="N393" s="4" t="str">
        <f t="shared" si="36"/>
        <v>-000</v>
      </c>
      <c r="O393" s="4">
        <f ca="1">IF(totalElements+COUNTIF(Entities!$C$10,"*")+COUNTIF(B393:C393,"*")+COUNTIF(E393:F393,"*")=9,1,0)</f>
        <v>0</v>
      </c>
      <c r="P393" s="4">
        <f>COUNTIF($C$6:C393,C393)</f>
        <v>0</v>
      </c>
      <c r="Q393" s="4">
        <f ca="1">IF(ISNA(M393),0,COUNTIF($M$6:M393,M393))</f>
        <v>0</v>
      </c>
      <c r="R393" s="4" t="e">
        <f t="shared" ca="1" si="42"/>
        <v>#N/A</v>
      </c>
      <c r="S393" s="4">
        <f ca="1">IF(ISNA(M393),0,COUNTIF($R$6:R393,R393))</f>
        <v>0</v>
      </c>
      <c r="T393" s="4" t="e">
        <f t="shared" ca="1" si="41"/>
        <v>#N/A</v>
      </c>
    </row>
    <row r="394" spans="2:20" x14ac:dyDescent="0.3">
      <c r="B394" s="48"/>
      <c r="C394" s="48"/>
      <c r="D394" s="10" t="str">
        <f t="shared" ca="1" si="38"/>
        <v/>
      </c>
      <c r="E394" s="48"/>
      <c r="F394" s="48"/>
      <c r="G394" s="10" t="str">
        <f t="shared" ca="1" si="37"/>
        <v/>
      </c>
      <c r="I394" s="10" t="str">
        <f t="shared" ca="1" si="39"/>
        <v/>
      </c>
      <c r="K394" s="4" t="e">
        <f t="shared" ca="1" si="40"/>
        <v>#N/A</v>
      </c>
      <c r="L394" s="4" t="e">
        <f>VLOOKUP(C394,_resources!B:D,3,0)</f>
        <v>#N/A</v>
      </c>
      <c r="M394" s="4" t="e" cm="1">
        <f t="array" aca="1" ref="M394" ca="1">IF(abbrAtEnd,"",L394&amp;"-")&amp;E394&amp;"-"&amp;INDIRECT(OFFSET(element3,MATCH($C394,resources,0)-1,0))&amp;"-"&amp;INDIRECT(OFFSET(element4,MATCH($C394,resources,0)-1,0))&amp;"-"&amp;INDIRECT(OFFSET(element5,MATCH($C394,resources,0)-1,0))&amp;IF(OFFSET(element6,MATCH($C394,resources,0)-1,0)="","","-"&amp;INDIRECT(OFFSET(element6,MATCH($C394,resources,0)-1,0)))&amp;IF(abbrAtEnd,"-"&amp;L394,"")</f>
        <v>#N/A</v>
      </c>
      <c r="N394" s="4" t="str">
        <f t="shared" si="36"/>
        <v>-000</v>
      </c>
      <c r="O394" s="4">
        <f ca="1">IF(totalElements+COUNTIF(Entities!$C$10,"*")+COUNTIF(B394:C394,"*")+COUNTIF(E394:F394,"*")=9,1,0)</f>
        <v>0</v>
      </c>
      <c r="P394" s="4">
        <f>COUNTIF($C$6:C394,C394)</f>
        <v>0</v>
      </c>
      <c r="Q394" s="4">
        <f ca="1">IF(ISNA(M394),0,COUNTIF($M$6:M394,M394))</f>
        <v>0</v>
      </c>
      <c r="R394" s="4" t="e">
        <f t="shared" ca="1" si="42"/>
        <v>#N/A</v>
      </c>
      <c r="S394" s="4">
        <f ca="1">IF(ISNA(M394),0,COUNTIF($R$6:R394,R394))</f>
        <v>0</v>
      </c>
      <c r="T394" s="4" t="e">
        <f t="shared" ca="1" si="41"/>
        <v>#N/A</v>
      </c>
    </row>
    <row r="395" spans="2:20" x14ac:dyDescent="0.3">
      <c r="B395" s="48"/>
      <c r="C395" s="48"/>
      <c r="D395" s="10" t="str">
        <f t="shared" ca="1" si="38"/>
        <v/>
      </c>
      <c r="E395" s="48"/>
      <c r="F395" s="48"/>
      <c r="G395" s="10" t="str">
        <f t="shared" ca="1" si="37"/>
        <v/>
      </c>
      <c r="I395" s="10" t="str">
        <f t="shared" ca="1" si="39"/>
        <v/>
      </c>
      <c r="K395" s="4" t="e">
        <f t="shared" ca="1" si="40"/>
        <v>#N/A</v>
      </c>
      <c r="L395" s="4" t="e">
        <f>VLOOKUP(C395,_resources!B:D,3,0)</f>
        <v>#N/A</v>
      </c>
      <c r="M395" s="4" t="e" cm="1">
        <f t="array" aca="1" ref="M395" ca="1">IF(abbrAtEnd,"",L395&amp;"-")&amp;E395&amp;"-"&amp;INDIRECT(OFFSET(element3,MATCH($C395,resources,0)-1,0))&amp;"-"&amp;INDIRECT(OFFSET(element4,MATCH($C395,resources,0)-1,0))&amp;"-"&amp;INDIRECT(OFFSET(element5,MATCH($C395,resources,0)-1,0))&amp;IF(OFFSET(element6,MATCH($C395,resources,0)-1,0)="","","-"&amp;INDIRECT(OFFSET(element6,MATCH($C395,resources,0)-1,0)))&amp;IF(abbrAtEnd,"-"&amp;L395,"")</f>
        <v>#N/A</v>
      </c>
      <c r="N395" s="4" t="str">
        <f t="shared" si="36"/>
        <v>-000</v>
      </c>
      <c r="O395" s="4">
        <f ca="1">IF(totalElements+COUNTIF(Entities!$C$10,"*")+COUNTIF(B395:C395,"*")+COUNTIF(E395:F395,"*")=9,1,0)</f>
        <v>0</v>
      </c>
      <c r="P395" s="4">
        <f>COUNTIF($C$6:C395,C395)</f>
        <v>0</v>
      </c>
      <c r="Q395" s="4">
        <f ca="1">IF(ISNA(M395),0,COUNTIF($M$6:M395,M395))</f>
        <v>0</v>
      </c>
      <c r="R395" s="4" t="e">
        <f t="shared" ca="1" si="42"/>
        <v>#N/A</v>
      </c>
      <c r="S395" s="4">
        <f ca="1">IF(ISNA(M395),0,COUNTIF($R$6:R395,R395))</f>
        <v>0</v>
      </c>
      <c r="T395" s="4" t="e">
        <f t="shared" ca="1" si="41"/>
        <v>#N/A</v>
      </c>
    </row>
    <row r="396" spans="2:20" x14ac:dyDescent="0.3">
      <c r="B396" s="48"/>
      <c r="C396" s="48"/>
      <c r="D396" s="10" t="str">
        <f t="shared" ca="1" si="38"/>
        <v/>
      </c>
      <c r="E396" s="48"/>
      <c r="F396" s="48"/>
      <c r="G396" s="10" t="str">
        <f t="shared" ca="1" si="37"/>
        <v/>
      </c>
      <c r="I396" s="10" t="str">
        <f t="shared" ca="1" si="39"/>
        <v/>
      </c>
      <c r="K396" s="4" t="e">
        <f t="shared" ca="1" si="40"/>
        <v>#N/A</v>
      </c>
      <c r="L396" s="4" t="e">
        <f>VLOOKUP(C396,_resources!B:D,3,0)</f>
        <v>#N/A</v>
      </c>
      <c r="M396" s="4" t="e" cm="1">
        <f t="array" aca="1" ref="M396" ca="1">IF(abbrAtEnd,"",L396&amp;"-")&amp;E396&amp;"-"&amp;INDIRECT(OFFSET(element3,MATCH($C396,resources,0)-1,0))&amp;"-"&amp;INDIRECT(OFFSET(element4,MATCH($C396,resources,0)-1,0))&amp;"-"&amp;INDIRECT(OFFSET(element5,MATCH($C396,resources,0)-1,0))&amp;IF(OFFSET(element6,MATCH($C396,resources,0)-1,0)="","","-"&amp;INDIRECT(OFFSET(element6,MATCH($C396,resources,0)-1,0)))&amp;IF(abbrAtEnd,"-"&amp;L396,"")</f>
        <v>#N/A</v>
      </c>
      <c r="N396" s="4" t="str">
        <f t="shared" si="36"/>
        <v>-000</v>
      </c>
      <c r="O396" s="4">
        <f ca="1">IF(totalElements+COUNTIF(Entities!$C$10,"*")+COUNTIF(B396:C396,"*")+COUNTIF(E396:F396,"*")=9,1,0)</f>
        <v>0</v>
      </c>
      <c r="P396" s="4">
        <f>COUNTIF($C$6:C396,C396)</f>
        <v>0</v>
      </c>
      <c r="Q396" s="4">
        <f ca="1">IF(ISNA(M396),0,COUNTIF($M$6:M396,M396))</f>
        <v>0</v>
      </c>
      <c r="R396" s="4" t="e">
        <f t="shared" ca="1" si="42"/>
        <v>#N/A</v>
      </c>
      <c r="S396" s="4">
        <f ca="1">IF(ISNA(M396),0,COUNTIF($R$6:R396,R396))</f>
        <v>0</v>
      </c>
      <c r="T396" s="4" t="e">
        <f t="shared" ca="1" si="41"/>
        <v>#N/A</v>
      </c>
    </row>
    <row r="397" spans="2:20" x14ac:dyDescent="0.3">
      <c r="B397" s="48"/>
      <c r="C397" s="48"/>
      <c r="D397" s="10" t="str">
        <f t="shared" ca="1" si="38"/>
        <v/>
      </c>
      <c r="E397" s="48"/>
      <c r="F397" s="48"/>
      <c r="G397" s="10" t="str">
        <f t="shared" ca="1" si="37"/>
        <v/>
      </c>
      <c r="I397" s="10" t="str">
        <f t="shared" ca="1" si="39"/>
        <v/>
      </c>
      <c r="K397" s="4" t="e">
        <f t="shared" ca="1" si="40"/>
        <v>#N/A</v>
      </c>
      <c r="L397" s="4" t="e">
        <f>VLOOKUP(C397,_resources!B:D,3,0)</f>
        <v>#N/A</v>
      </c>
      <c r="M397" s="4" t="e" cm="1">
        <f t="array" aca="1" ref="M397" ca="1">IF(abbrAtEnd,"",L397&amp;"-")&amp;E397&amp;"-"&amp;INDIRECT(OFFSET(element3,MATCH($C397,resources,0)-1,0))&amp;"-"&amp;INDIRECT(OFFSET(element4,MATCH($C397,resources,0)-1,0))&amp;"-"&amp;INDIRECT(OFFSET(element5,MATCH($C397,resources,0)-1,0))&amp;IF(OFFSET(element6,MATCH($C397,resources,0)-1,0)="","","-"&amp;INDIRECT(OFFSET(element6,MATCH($C397,resources,0)-1,0)))&amp;IF(abbrAtEnd,"-"&amp;L397,"")</f>
        <v>#N/A</v>
      </c>
      <c r="N397" s="4" t="str">
        <f t="shared" si="36"/>
        <v>-000</v>
      </c>
      <c r="O397" s="4">
        <f ca="1">IF(totalElements+COUNTIF(Entities!$C$10,"*")+COUNTIF(B397:C397,"*")+COUNTIF(E397:F397,"*")=9,1,0)</f>
        <v>0</v>
      </c>
      <c r="P397" s="4">
        <f>COUNTIF($C$6:C397,C397)</f>
        <v>0</v>
      </c>
      <c r="Q397" s="4">
        <f ca="1">IF(ISNA(M397),0,COUNTIF($M$6:M397,M397))</f>
        <v>0</v>
      </c>
      <c r="R397" s="4" t="e">
        <f t="shared" ca="1" si="42"/>
        <v>#N/A</v>
      </c>
      <c r="S397" s="4">
        <f ca="1">IF(ISNA(M397),0,COUNTIF($R$6:R397,R397))</f>
        <v>0</v>
      </c>
      <c r="T397" s="4" t="e">
        <f t="shared" ca="1" si="41"/>
        <v>#N/A</v>
      </c>
    </row>
    <row r="398" spans="2:20" x14ac:dyDescent="0.3">
      <c r="B398" s="48"/>
      <c r="C398" s="48"/>
      <c r="D398" s="10" t="str">
        <f t="shared" ca="1" si="38"/>
        <v/>
      </c>
      <c r="E398" s="48"/>
      <c r="F398" s="48"/>
      <c r="G398" s="10" t="str">
        <f t="shared" ca="1" si="37"/>
        <v/>
      </c>
      <c r="I398" s="10" t="str">
        <f t="shared" ca="1" si="39"/>
        <v/>
      </c>
      <c r="K398" s="4" t="e">
        <f t="shared" ca="1" si="40"/>
        <v>#N/A</v>
      </c>
      <c r="L398" s="4" t="e">
        <f>VLOOKUP(C398,_resources!B:D,3,0)</f>
        <v>#N/A</v>
      </c>
      <c r="M398" s="4" t="e" cm="1">
        <f t="array" aca="1" ref="M398" ca="1">IF(abbrAtEnd,"",L398&amp;"-")&amp;E398&amp;"-"&amp;INDIRECT(OFFSET(element3,MATCH($C398,resources,0)-1,0))&amp;"-"&amp;INDIRECT(OFFSET(element4,MATCH($C398,resources,0)-1,0))&amp;"-"&amp;INDIRECT(OFFSET(element5,MATCH($C398,resources,0)-1,0))&amp;IF(OFFSET(element6,MATCH($C398,resources,0)-1,0)="","","-"&amp;INDIRECT(OFFSET(element6,MATCH($C398,resources,0)-1,0)))&amp;IF(abbrAtEnd,"-"&amp;L398,"")</f>
        <v>#N/A</v>
      </c>
      <c r="N398" s="4" t="str">
        <f t="shared" ref="N398:N461" si="43">IF($M$4,"-"&amp;TEXT(P398,"000"),"-"&amp;TEXT(Q398,"000"))</f>
        <v>-000</v>
      </c>
      <c r="O398" s="4">
        <f ca="1">IF(totalElements+COUNTIF(Entities!$C$10,"*")+COUNTIF(B398:C398,"*")+COUNTIF(E398:F398,"*")=9,1,0)</f>
        <v>0</v>
      </c>
      <c r="P398" s="4">
        <f>COUNTIF($C$6:C398,C398)</f>
        <v>0</v>
      </c>
      <c r="Q398" s="4">
        <f ca="1">IF(ISNA(M398),0,COUNTIF($M$6:M398,M398))</f>
        <v>0</v>
      </c>
      <c r="R398" s="4" t="e">
        <f t="shared" ca="1" si="42"/>
        <v>#N/A</v>
      </c>
      <c r="S398" s="4">
        <f ca="1">IF(ISNA(M398),0,COUNTIF($R$6:R398,R398))</f>
        <v>0</v>
      </c>
      <c r="T398" s="4" t="e">
        <f t="shared" ca="1" si="41"/>
        <v>#N/A</v>
      </c>
    </row>
    <row r="399" spans="2:20" x14ac:dyDescent="0.3">
      <c r="B399" s="48"/>
      <c r="C399" s="48"/>
      <c r="D399" s="10" t="str">
        <f t="shared" ca="1" si="38"/>
        <v/>
      </c>
      <c r="E399" s="48"/>
      <c r="F399" s="48"/>
      <c r="G399" s="10" t="str">
        <f t="shared" ca="1" si="37"/>
        <v/>
      </c>
      <c r="I399" s="10" t="str">
        <f t="shared" ca="1" si="39"/>
        <v/>
      </c>
      <c r="K399" s="4" t="e">
        <f t="shared" ca="1" si="40"/>
        <v>#N/A</v>
      </c>
      <c r="L399" s="4" t="e">
        <f>VLOOKUP(C399,_resources!B:D,3,0)</f>
        <v>#N/A</v>
      </c>
      <c r="M399" s="4" t="e" cm="1">
        <f t="array" aca="1" ref="M399" ca="1">IF(abbrAtEnd,"",L399&amp;"-")&amp;E399&amp;"-"&amp;INDIRECT(OFFSET(element3,MATCH($C399,resources,0)-1,0))&amp;"-"&amp;INDIRECT(OFFSET(element4,MATCH($C399,resources,0)-1,0))&amp;"-"&amp;INDIRECT(OFFSET(element5,MATCH($C399,resources,0)-1,0))&amp;IF(OFFSET(element6,MATCH($C399,resources,0)-1,0)="","","-"&amp;INDIRECT(OFFSET(element6,MATCH($C399,resources,0)-1,0)))&amp;IF(abbrAtEnd,"-"&amp;L399,"")</f>
        <v>#N/A</v>
      </c>
      <c r="N399" s="4" t="str">
        <f t="shared" si="43"/>
        <v>-000</v>
      </c>
      <c r="O399" s="4">
        <f ca="1">IF(totalElements+COUNTIF(Entities!$C$10,"*")+COUNTIF(B399:C399,"*")+COUNTIF(E399:F399,"*")=9,1,0)</f>
        <v>0</v>
      </c>
      <c r="P399" s="4">
        <f>COUNTIF($C$6:C399,C399)</f>
        <v>0</v>
      </c>
      <c r="Q399" s="4">
        <f ca="1">IF(ISNA(M399),0,COUNTIF($M$6:M399,M399))</f>
        <v>0</v>
      </c>
      <c r="R399" s="4" t="e">
        <f t="shared" ca="1" si="42"/>
        <v>#N/A</v>
      </c>
      <c r="S399" s="4">
        <f ca="1">IF(ISNA(M399),0,COUNTIF($R$6:R399,R399))</f>
        <v>0</v>
      </c>
      <c r="T399" s="4" t="e">
        <f t="shared" ca="1" si="41"/>
        <v>#N/A</v>
      </c>
    </row>
    <row r="400" spans="2:20" x14ac:dyDescent="0.3">
      <c r="B400" s="48"/>
      <c r="C400" s="48"/>
      <c r="D400" s="10" t="str">
        <f t="shared" ca="1" si="38"/>
        <v/>
      </c>
      <c r="E400" s="48"/>
      <c r="F400" s="48"/>
      <c r="G400" s="10" t="str">
        <f t="shared" ca="1" si="37"/>
        <v/>
      </c>
      <c r="I400" s="10" t="str">
        <f t="shared" ca="1" si="39"/>
        <v/>
      </c>
      <c r="K400" s="4" t="e">
        <f t="shared" ca="1" si="40"/>
        <v>#N/A</v>
      </c>
      <c r="L400" s="4" t="e">
        <f>VLOOKUP(C400,_resources!B:D,3,0)</f>
        <v>#N/A</v>
      </c>
      <c r="M400" s="4" t="e" cm="1">
        <f t="array" aca="1" ref="M400" ca="1">IF(abbrAtEnd,"",L400&amp;"-")&amp;E400&amp;"-"&amp;INDIRECT(OFFSET(element3,MATCH($C400,resources,0)-1,0))&amp;"-"&amp;INDIRECT(OFFSET(element4,MATCH($C400,resources,0)-1,0))&amp;"-"&amp;INDIRECT(OFFSET(element5,MATCH($C400,resources,0)-1,0))&amp;IF(OFFSET(element6,MATCH($C400,resources,0)-1,0)="","","-"&amp;INDIRECT(OFFSET(element6,MATCH($C400,resources,0)-1,0)))&amp;IF(abbrAtEnd,"-"&amp;L400,"")</f>
        <v>#N/A</v>
      </c>
      <c r="N400" s="4" t="str">
        <f t="shared" si="43"/>
        <v>-000</v>
      </c>
      <c r="O400" s="4">
        <f ca="1">IF(totalElements+COUNTIF(Entities!$C$10,"*")+COUNTIF(B400:C400,"*")+COUNTIF(E400:F400,"*")=9,1,0)</f>
        <v>0</v>
      </c>
      <c r="P400" s="4">
        <f>COUNTIF($C$6:C400,C400)</f>
        <v>0</v>
      </c>
      <c r="Q400" s="4">
        <f ca="1">IF(ISNA(M400),0,COUNTIF($M$6:M400,M400))</f>
        <v>0</v>
      </c>
      <c r="R400" s="4" t="e">
        <f t="shared" ca="1" si="42"/>
        <v>#N/A</v>
      </c>
      <c r="S400" s="4">
        <f ca="1">IF(ISNA(M400),0,COUNTIF($R$6:R400,R400))</f>
        <v>0</v>
      </c>
      <c r="T400" s="4" t="e">
        <f t="shared" ca="1" si="41"/>
        <v>#N/A</v>
      </c>
    </row>
    <row r="401" spans="2:20" x14ac:dyDescent="0.3">
      <c r="B401" s="48"/>
      <c r="C401" s="48"/>
      <c r="D401" s="10" t="str">
        <f t="shared" ca="1" si="38"/>
        <v/>
      </c>
      <c r="E401" s="48"/>
      <c r="F401" s="48"/>
      <c r="G401" s="10" t="str">
        <f t="shared" ca="1" si="37"/>
        <v/>
      </c>
      <c r="I401" s="10" t="str">
        <f t="shared" ca="1" si="39"/>
        <v/>
      </c>
      <c r="K401" s="4" t="e">
        <f t="shared" ca="1" si="40"/>
        <v>#N/A</v>
      </c>
      <c r="L401" s="4" t="e">
        <f>VLOOKUP(C401,_resources!B:D,3,0)</f>
        <v>#N/A</v>
      </c>
      <c r="M401" s="4" t="e" cm="1">
        <f t="array" aca="1" ref="M401" ca="1">IF(abbrAtEnd,"",L401&amp;"-")&amp;E401&amp;"-"&amp;INDIRECT(OFFSET(element3,MATCH($C401,resources,0)-1,0))&amp;"-"&amp;INDIRECT(OFFSET(element4,MATCH($C401,resources,0)-1,0))&amp;"-"&amp;INDIRECT(OFFSET(element5,MATCH($C401,resources,0)-1,0))&amp;IF(OFFSET(element6,MATCH($C401,resources,0)-1,0)="","","-"&amp;INDIRECT(OFFSET(element6,MATCH($C401,resources,0)-1,0)))&amp;IF(abbrAtEnd,"-"&amp;L401,"")</f>
        <v>#N/A</v>
      </c>
      <c r="N401" s="4" t="str">
        <f t="shared" si="43"/>
        <v>-000</v>
      </c>
      <c r="O401" s="4">
        <f ca="1">IF(totalElements+COUNTIF(Entities!$C$10,"*")+COUNTIF(B401:C401,"*")+COUNTIF(E401:F401,"*")=9,1,0)</f>
        <v>0</v>
      </c>
      <c r="P401" s="4">
        <f>COUNTIF($C$6:C401,C401)</f>
        <v>0</v>
      </c>
      <c r="Q401" s="4">
        <f ca="1">IF(ISNA(M401),0,COUNTIF($M$6:M401,M401))</f>
        <v>0</v>
      </c>
      <c r="R401" s="4" t="e">
        <f t="shared" ca="1" si="42"/>
        <v>#N/A</v>
      </c>
      <c r="S401" s="4">
        <f ca="1">IF(ISNA(M401),0,COUNTIF($R$6:R401,R401))</f>
        <v>0</v>
      </c>
      <c r="T401" s="4" t="e">
        <f t="shared" ca="1" si="41"/>
        <v>#N/A</v>
      </c>
    </row>
    <row r="402" spans="2:20" x14ac:dyDescent="0.3">
      <c r="B402" s="48"/>
      <c r="C402" s="48"/>
      <c r="D402" s="10" t="str">
        <f t="shared" ca="1" si="38"/>
        <v/>
      </c>
      <c r="E402" s="48"/>
      <c r="F402" s="48"/>
      <c r="G402" s="10" t="str">
        <f t="shared" ca="1" si="37"/>
        <v/>
      </c>
      <c r="I402" s="10" t="str">
        <f t="shared" ca="1" si="39"/>
        <v/>
      </c>
      <c r="K402" s="4" t="e">
        <f t="shared" ca="1" si="40"/>
        <v>#N/A</v>
      </c>
      <c r="L402" s="4" t="e">
        <f>VLOOKUP(C402,_resources!B:D,3,0)</f>
        <v>#N/A</v>
      </c>
      <c r="M402" s="4" t="e" cm="1">
        <f t="array" aca="1" ref="M402" ca="1">IF(abbrAtEnd,"",L402&amp;"-")&amp;E402&amp;"-"&amp;INDIRECT(OFFSET(element3,MATCH($C402,resources,0)-1,0))&amp;"-"&amp;INDIRECT(OFFSET(element4,MATCH($C402,resources,0)-1,0))&amp;"-"&amp;INDIRECT(OFFSET(element5,MATCH($C402,resources,0)-1,0))&amp;IF(OFFSET(element6,MATCH($C402,resources,0)-1,0)="","","-"&amp;INDIRECT(OFFSET(element6,MATCH($C402,resources,0)-1,0)))&amp;IF(abbrAtEnd,"-"&amp;L402,"")</f>
        <v>#N/A</v>
      </c>
      <c r="N402" s="4" t="str">
        <f t="shared" si="43"/>
        <v>-000</v>
      </c>
      <c r="O402" s="4">
        <f ca="1">IF(totalElements+COUNTIF(Entities!$C$10,"*")+COUNTIF(B402:C402,"*")+COUNTIF(E402:F402,"*")=9,1,0)</f>
        <v>0</v>
      </c>
      <c r="P402" s="4">
        <f>COUNTIF($C$6:C402,C402)</f>
        <v>0</v>
      </c>
      <c r="Q402" s="4">
        <f ca="1">IF(ISNA(M402),0,COUNTIF($M$6:M402,M402))</f>
        <v>0</v>
      </c>
      <c r="R402" s="4" t="e">
        <f t="shared" ca="1" si="42"/>
        <v>#N/A</v>
      </c>
      <c r="S402" s="4">
        <f ca="1">IF(ISNA(M402),0,COUNTIF($R$6:R402,R402))</f>
        <v>0</v>
      </c>
      <c r="T402" s="4" t="e">
        <f t="shared" ca="1" si="41"/>
        <v>#N/A</v>
      </c>
    </row>
    <row r="403" spans="2:20" x14ac:dyDescent="0.3">
      <c r="B403" s="48"/>
      <c r="C403" s="48"/>
      <c r="D403" s="10" t="str">
        <f t="shared" ca="1" si="38"/>
        <v/>
      </c>
      <c r="E403" s="48"/>
      <c r="F403" s="48"/>
      <c r="G403" s="10" t="str">
        <f t="shared" ref="G403:G466" ca="1" si="44">IF(O403,IF(K403="hyphenated",M403&amp;N403,IF(K403="dnsname",E403,IF(K403="alphanumeric",SUBSTITUTE(M403&amp;N403,"-",""),"unknown or missing resource structure"))),"")</f>
        <v/>
      </c>
      <c r="I403" s="10" t="str">
        <f t="shared" ca="1" si="39"/>
        <v/>
      </c>
      <c r="K403" s="4" t="e">
        <f t="shared" ca="1" si="40"/>
        <v>#N/A</v>
      </c>
      <c r="L403" s="4" t="e">
        <f>VLOOKUP(C403,_resources!B:D,3,0)</f>
        <v>#N/A</v>
      </c>
      <c r="M403" s="4" t="e" cm="1">
        <f t="array" aca="1" ref="M403" ca="1">IF(abbrAtEnd,"",L403&amp;"-")&amp;E403&amp;"-"&amp;INDIRECT(OFFSET(element3,MATCH($C403,resources,0)-1,0))&amp;"-"&amp;INDIRECT(OFFSET(element4,MATCH($C403,resources,0)-1,0))&amp;"-"&amp;INDIRECT(OFFSET(element5,MATCH($C403,resources,0)-1,0))&amp;IF(OFFSET(element6,MATCH($C403,resources,0)-1,0)="","","-"&amp;INDIRECT(OFFSET(element6,MATCH($C403,resources,0)-1,0)))&amp;IF(abbrAtEnd,"-"&amp;L403,"")</f>
        <v>#N/A</v>
      </c>
      <c r="N403" s="4" t="str">
        <f t="shared" si="43"/>
        <v>-000</v>
      </c>
      <c r="O403" s="4">
        <f ca="1">IF(totalElements+COUNTIF(Entities!$C$10,"*")+COUNTIF(B403:C403,"*")+COUNTIF(E403:F403,"*")=9,1,0)</f>
        <v>0</v>
      </c>
      <c r="P403" s="4">
        <f>COUNTIF($C$6:C403,C403)</f>
        <v>0</v>
      </c>
      <c r="Q403" s="4">
        <f ca="1">IF(ISNA(M403),0,COUNTIF($M$6:M403,M403))</f>
        <v>0</v>
      </c>
      <c r="R403" s="4" t="e">
        <f t="shared" ca="1" si="42"/>
        <v>#N/A</v>
      </c>
      <c r="S403" s="4">
        <f ca="1">IF(ISNA(M403),0,COUNTIF($R$6:R403,R403))</f>
        <v>0</v>
      </c>
      <c r="T403" s="4" t="e">
        <f t="shared" ca="1" si="41"/>
        <v>#N/A</v>
      </c>
    </row>
    <row r="404" spans="2:20" x14ac:dyDescent="0.3">
      <c r="B404" s="48"/>
      <c r="C404" s="48"/>
      <c r="D404" s="10" t="str">
        <f t="shared" ca="1" si="38"/>
        <v/>
      </c>
      <c r="E404" s="48"/>
      <c r="F404" s="48"/>
      <c r="G404" s="10" t="str">
        <f t="shared" ca="1" si="44"/>
        <v/>
      </c>
      <c r="I404" s="10" t="str">
        <f t="shared" ca="1" si="39"/>
        <v/>
      </c>
      <c r="K404" s="4" t="e">
        <f t="shared" ca="1" si="40"/>
        <v>#N/A</v>
      </c>
      <c r="L404" s="4" t="e">
        <f>VLOOKUP(C404,_resources!B:D,3,0)</f>
        <v>#N/A</v>
      </c>
      <c r="M404" s="4" t="e" cm="1">
        <f t="array" aca="1" ref="M404" ca="1">IF(abbrAtEnd,"",L404&amp;"-")&amp;E404&amp;"-"&amp;INDIRECT(OFFSET(element3,MATCH($C404,resources,0)-1,0))&amp;"-"&amp;INDIRECT(OFFSET(element4,MATCH($C404,resources,0)-1,0))&amp;"-"&amp;INDIRECT(OFFSET(element5,MATCH($C404,resources,0)-1,0))&amp;IF(OFFSET(element6,MATCH($C404,resources,0)-1,0)="","","-"&amp;INDIRECT(OFFSET(element6,MATCH($C404,resources,0)-1,0)))&amp;IF(abbrAtEnd,"-"&amp;L404,"")</f>
        <v>#N/A</v>
      </c>
      <c r="N404" s="4" t="str">
        <f t="shared" si="43"/>
        <v>-000</v>
      </c>
      <c r="O404" s="4">
        <f ca="1">IF(totalElements+COUNTIF(Entities!$C$10,"*")+COUNTIF(B404:C404,"*")+COUNTIF(E404:F404,"*")=9,1,0)</f>
        <v>0</v>
      </c>
      <c r="P404" s="4">
        <f>COUNTIF($C$6:C404,C404)</f>
        <v>0</v>
      </c>
      <c r="Q404" s="4">
        <f ca="1">IF(ISNA(M404),0,COUNTIF($M$6:M404,M404))</f>
        <v>0</v>
      </c>
      <c r="R404" s="4" t="e">
        <f t="shared" ca="1" si="42"/>
        <v>#N/A</v>
      </c>
      <c r="S404" s="4">
        <f ca="1">IF(ISNA(M404),0,COUNTIF($R$6:R404,R404))</f>
        <v>0</v>
      </c>
      <c r="T404" s="4" t="e">
        <f t="shared" ca="1" si="41"/>
        <v>#N/A</v>
      </c>
    </row>
    <row r="405" spans="2:20" x14ac:dyDescent="0.3">
      <c r="B405" s="48"/>
      <c r="C405" s="48"/>
      <c r="D405" s="10" t="str">
        <f t="shared" ca="1" si="38"/>
        <v/>
      </c>
      <c r="E405" s="48"/>
      <c r="F405" s="48"/>
      <c r="G405" s="10" t="str">
        <f t="shared" ca="1" si="44"/>
        <v/>
      </c>
      <c r="I405" s="10" t="str">
        <f t="shared" ca="1" si="39"/>
        <v/>
      </c>
      <c r="K405" s="4" t="e">
        <f t="shared" ca="1" si="40"/>
        <v>#N/A</v>
      </c>
      <c r="L405" s="4" t="e">
        <f>VLOOKUP(C405,_resources!B:D,3,0)</f>
        <v>#N/A</v>
      </c>
      <c r="M405" s="4" t="e" cm="1">
        <f t="array" aca="1" ref="M405" ca="1">IF(abbrAtEnd,"",L405&amp;"-")&amp;E405&amp;"-"&amp;INDIRECT(OFFSET(element3,MATCH($C405,resources,0)-1,0))&amp;"-"&amp;INDIRECT(OFFSET(element4,MATCH($C405,resources,0)-1,0))&amp;"-"&amp;INDIRECT(OFFSET(element5,MATCH($C405,resources,0)-1,0))&amp;IF(OFFSET(element6,MATCH($C405,resources,0)-1,0)="","","-"&amp;INDIRECT(OFFSET(element6,MATCH($C405,resources,0)-1,0)))&amp;IF(abbrAtEnd,"-"&amp;L405,"")</f>
        <v>#N/A</v>
      </c>
      <c r="N405" s="4" t="str">
        <f t="shared" si="43"/>
        <v>-000</v>
      </c>
      <c r="O405" s="4">
        <f ca="1">IF(totalElements+COUNTIF(Entities!$C$10,"*")+COUNTIF(B405:C405,"*")+COUNTIF(E405:F405,"*")=9,1,0)</f>
        <v>0</v>
      </c>
      <c r="P405" s="4">
        <f>COUNTIF($C$6:C405,C405)</f>
        <v>0</v>
      </c>
      <c r="Q405" s="4">
        <f ca="1">IF(ISNA(M405),0,COUNTIF($M$6:M405,M405))</f>
        <v>0</v>
      </c>
      <c r="R405" s="4" t="e">
        <f t="shared" ca="1" si="42"/>
        <v>#N/A</v>
      </c>
      <c r="S405" s="4">
        <f ca="1">IF(ISNA(M405),0,COUNTIF($R$6:R405,R405))</f>
        <v>0</v>
      </c>
      <c r="T405" s="4" t="e">
        <f t="shared" ca="1" si="41"/>
        <v>#N/A</v>
      </c>
    </row>
    <row r="406" spans="2:20" x14ac:dyDescent="0.3">
      <c r="B406" s="48"/>
      <c r="C406" s="48"/>
      <c r="D406" s="10" t="str">
        <f t="shared" ca="1" si="38"/>
        <v/>
      </c>
      <c r="E406" s="48"/>
      <c r="F406" s="48"/>
      <c r="G406" s="10" t="str">
        <f t="shared" ca="1" si="44"/>
        <v/>
      </c>
      <c r="I406" s="10" t="str">
        <f t="shared" ca="1" si="39"/>
        <v/>
      </c>
      <c r="K406" s="4" t="e">
        <f t="shared" ca="1" si="40"/>
        <v>#N/A</v>
      </c>
      <c r="L406" s="4" t="e">
        <f>VLOOKUP(C406,_resources!B:D,3,0)</f>
        <v>#N/A</v>
      </c>
      <c r="M406" s="4" t="e" cm="1">
        <f t="array" aca="1" ref="M406" ca="1">IF(abbrAtEnd,"",L406&amp;"-")&amp;E406&amp;"-"&amp;INDIRECT(OFFSET(element3,MATCH($C406,resources,0)-1,0))&amp;"-"&amp;INDIRECT(OFFSET(element4,MATCH($C406,resources,0)-1,0))&amp;"-"&amp;INDIRECT(OFFSET(element5,MATCH($C406,resources,0)-1,0))&amp;IF(OFFSET(element6,MATCH($C406,resources,0)-1,0)="","","-"&amp;INDIRECT(OFFSET(element6,MATCH($C406,resources,0)-1,0)))&amp;IF(abbrAtEnd,"-"&amp;L406,"")</f>
        <v>#N/A</v>
      </c>
      <c r="N406" s="4" t="str">
        <f t="shared" si="43"/>
        <v>-000</v>
      </c>
      <c r="O406" s="4">
        <f ca="1">IF(totalElements+COUNTIF(Entities!$C$10,"*")+COUNTIF(B406:C406,"*")+COUNTIF(E406:F406,"*")=9,1,0)</f>
        <v>0</v>
      </c>
      <c r="P406" s="4">
        <f>COUNTIF($C$6:C406,C406)</f>
        <v>0</v>
      </c>
      <c r="Q406" s="4">
        <f ca="1">IF(ISNA(M406),0,COUNTIF($M$6:M406,M406))</f>
        <v>0</v>
      </c>
      <c r="R406" s="4" t="e">
        <f t="shared" ca="1" si="42"/>
        <v>#N/A</v>
      </c>
      <c r="S406" s="4">
        <f ca="1">IF(ISNA(M406),0,COUNTIF($R$6:R406,R406))</f>
        <v>0</v>
      </c>
      <c r="T406" s="4" t="e">
        <f t="shared" ca="1" si="41"/>
        <v>#N/A</v>
      </c>
    </row>
    <row r="407" spans="2:20" x14ac:dyDescent="0.3">
      <c r="B407" s="48"/>
      <c r="C407" s="48"/>
      <c r="D407" s="10" t="str">
        <f t="shared" ca="1" si="38"/>
        <v/>
      </c>
      <c r="E407" s="48"/>
      <c r="F407" s="48"/>
      <c r="G407" s="10" t="str">
        <f t="shared" ca="1" si="44"/>
        <v/>
      </c>
      <c r="I407" s="10" t="str">
        <f t="shared" ca="1" si="39"/>
        <v/>
      </c>
      <c r="K407" s="4" t="e">
        <f t="shared" ca="1" si="40"/>
        <v>#N/A</v>
      </c>
      <c r="L407" s="4" t="e">
        <f>VLOOKUP(C407,_resources!B:D,3,0)</f>
        <v>#N/A</v>
      </c>
      <c r="M407" s="4" t="e" cm="1">
        <f t="array" aca="1" ref="M407" ca="1">IF(abbrAtEnd,"",L407&amp;"-")&amp;E407&amp;"-"&amp;INDIRECT(OFFSET(element3,MATCH($C407,resources,0)-1,0))&amp;"-"&amp;INDIRECT(OFFSET(element4,MATCH($C407,resources,0)-1,0))&amp;"-"&amp;INDIRECT(OFFSET(element5,MATCH($C407,resources,0)-1,0))&amp;IF(OFFSET(element6,MATCH($C407,resources,0)-1,0)="","","-"&amp;INDIRECT(OFFSET(element6,MATCH($C407,resources,0)-1,0)))&amp;IF(abbrAtEnd,"-"&amp;L407,"")</f>
        <v>#N/A</v>
      </c>
      <c r="N407" s="4" t="str">
        <f t="shared" si="43"/>
        <v>-000</v>
      </c>
      <c r="O407" s="4">
        <f ca="1">IF(totalElements+COUNTIF(Entities!$C$10,"*")+COUNTIF(B407:C407,"*")+COUNTIF(E407:F407,"*")=9,1,0)</f>
        <v>0</v>
      </c>
      <c r="P407" s="4">
        <f>COUNTIF($C$6:C407,C407)</f>
        <v>0</v>
      </c>
      <c r="Q407" s="4">
        <f ca="1">IF(ISNA(M407),0,COUNTIF($M$6:M407,M407))</f>
        <v>0</v>
      </c>
      <c r="R407" s="4" t="e">
        <f t="shared" ca="1" si="42"/>
        <v>#N/A</v>
      </c>
      <c r="S407" s="4">
        <f ca="1">IF(ISNA(M407),0,COUNTIF($R$6:R407,R407))</f>
        <v>0</v>
      </c>
      <c r="T407" s="4" t="e">
        <f t="shared" ca="1" si="41"/>
        <v>#N/A</v>
      </c>
    </row>
    <row r="408" spans="2:20" x14ac:dyDescent="0.3">
      <c r="B408" s="48"/>
      <c r="C408" s="48"/>
      <c r="D408" s="10" t="str">
        <f t="shared" ca="1" si="38"/>
        <v/>
      </c>
      <c r="E408" s="48"/>
      <c r="F408" s="48"/>
      <c r="G408" s="10" t="str">
        <f t="shared" ca="1" si="44"/>
        <v/>
      </c>
      <c r="I408" s="10" t="str">
        <f t="shared" ca="1" si="39"/>
        <v/>
      </c>
      <c r="K408" s="4" t="e">
        <f t="shared" ca="1" si="40"/>
        <v>#N/A</v>
      </c>
      <c r="L408" s="4" t="e">
        <f>VLOOKUP(C408,_resources!B:D,3,0)</f>
        <v>#N/A</v>
      </c>
      <c r="M408" s="4" t="e" cm="1">
        <f t="array" aca="1" ref="M408" ca="1">IF(abbrAtEnd,"",L408&amp;"-")&amp;E408&amp;"-"&amp;INDIRECT(OFFSET(element3,MATCH($C408,resources,0)-1,0))&amp;"-"&amp;INDIRECT(OFFSET(element4,MATCH($C408,resources,0)-1,0))&amp;"-"&amp;INDIRECT(OFFSET(element5,MATCH($C408,resources,0)-1,0))&amp;IF(OFFSET(element6,MATCH($C408,resources,0)-1,0)="","","-"&amp;INDIRECT(OFFSET(element6,MATCH($C408,resources,0)-1,0)))&amp;IF(abbrAtEnd,"-"&amp;L408,"")</f>
        <v>#N/A</v>
      </c>
      <c r="N408" s="4" t="str">
        <f t="shared" si="43"/>
        <v>-000</v>
      </c>
      <c r="O408" s="4">
        <f ca="1">IF(totalElements+COUNTIF(Entities!$C$10,"*")+COUNTIF(B408:C408,"*")+COUNTIF(E408:F408,"*")=9,1,0)</f>
        <v>0</v>
      </c>
      <c r="P408" s="4">
        <f>COUNTIF($C$6:C408,C408)</f>
        <v>0</v>
      </c>
      <c r="Q408" s="4">
        <f ca="1">IF(ISNA(M408),0,COUNTIF($M$6:M408,M408))</f>
        <v>0</v>
      </c>
      <c r="R408" s="4" t="e">
        <f t="shared" ca="1" si="42"/>
        <v>#N/A</v>
      </c>
      <c r="S408" s="4">
        <f ca="1">IF(ISNA(M408),0,COUNTIF($R$6:R408,R408))</f>
        <v>0</v>
      </c>
      <c r="T408" s="4" t="e">
        <f t="shared" ca="1" si="41"/>
        <v>#N/A</v>
      </c>
    </row>
    <row r="409" spans="2:20" x14ac:dyDescent="0.3">
      <c r="B409" s="48"/>
      <c r="C409" s="48"/>
      <c r="D409" s="10" t="str">
        <f t="shared" ca="1" si="38"/>
        <v/>
      </c>
      <c r="E409" s="48"/>
      <c r="F409" s="48"/>
      <c r="G409" s="10" t="str">
        <f t="shared" ca="1" si="44"/>
        <v/>
      </c>
      <c r="I409" s="10" t="str">
        <f t="shared" ca="1" si="39"/>
        <v/>
      </c>
      <c r="K409" s="4" t="e">
        <f t="shared" ca="1" si="40"/>
        <v>#N/A</v>
      </c>
      <c r="L409" s="4" t="e">
        <f>VLOOKUP(C409,_resources!B:D,3,0)</f>
        <v>#N/A</v>
      </c>
      <c r="M409" s="4" t="e" cm="1">
        <f t="array" aca="1" ref="M409" ca="1">IF(abbrAtEnd,"",L409&amp;"-")&amp;E409&amp;"-"&amp;INDIRECT(OFFSET(element3,MATCH($C409,resources,0)-1,0))&amp;"-"&amp;INDIRECT(OFFSET(element4,MATCH($C409,resources,0)-1,0))&amp;"-"&amp;INDIRECT(OFFSET(element5,MATCH($C409,resources,0)-1,0))&amp;IF(OFFSET(element6,MATCH($C409,resources,0)-1,0)="","","-"&amp;INDIRECT(OFFSET(element6,MATCH($C409,resources,0)-1,0)))&amp;IF(abbrAtEnd,"-"&amp;L409,"")</f>
        <v>#N/A</v>
      </c>
      <c r="N409" s="4" t="str">
        <f t="shared" si="43"/>
        <v>-000</v>
      </c>
      <c r="O409" s="4">
        <f ca="1">IF(totalElements+COUNTIF(Entities!$C$10,"*")+COUNTIF(B409:C409,"*")+COUNTIF(E409:F409,"*")=9,1,0)</f>
        <v>0</v>
      </c>
      <c r="P409" s="4">
        <f>COUNTIF($C$6:C409,C409)</f>
        <v>0</v>
      </c>
      <c r="Q409" s="4">
        <f ca="1">IF(ISNA(M409),0,COUNTIF($M$6:M409,M409))</f>
        <v>0</v>
      </c>
      <c r="R409" s="4" t="e">
        <f t="shared" ca="1" si="42"/>
        <v>#N/A</v>
      </c>
      <c r="S409" s="4">
        <f ca="1">IF(ISNA(M409),0,COUNTIF($R$6:R409,R409))</f>
        <v>0</v>
      </c>
      <c r="T409" s="4" t="e">
        <f t="shared" ca="1" si="41"/>
        <v>#N/A</v>
      </c>
    </row>
    <row r="410" spans="2:20" x14ac:dyDescent="0.3">
      <c r="B410" s="48"/>
      <c r="C410" s="48"/>
      <c r="D410" s="10" t="str">
        <f t="shared" ca="1" si="38"/>
        <v/>
      </c>
      <c r="E410" s="48"/>
      <c r="F410" s="48"/>
      <c r="G410" s="10" t="str">
        <f t="shared" ca="1" si="44"/>
        <v/>
      </c>
      <c r="I410" s="10" t="str">
        <f t="shared" ca="1" si="39"/>
        <v/>
      </c>
      <c r="K410" s="4" t="e">
        <f t="shared" ca="1" si="40"/>
        <v>#N/A</v>
      </c>
      <c r="L410" s="4" t="e">
        <f>VLOOKUP(C410,_resources!B:D,3,0)</f>
        <v>#N/A</v>
      </c>
      <c r="M410" s="4" t="e" cm="1">
        <f t="array" aca="1" ref="M410" ca="1">IF(abbrAtEnd,"",L410&amp;"-")&amp;E410&amp;"-"&amp;INDIRECT(OFFSET(element3,MATCH($C410,resources,0)-1,0))&amp;"-"&amp;INDIRECT(OFFSET(element4,MATCH($C410,resources,0)-1,0))&amp;"-"&amp;INDIRECT(OFFSET(element5,MATCH($C410,resources,0)-1,0))&amp;IF(OFFSET(element6,MATCH($C410,resources,0)-1,0)="","","-"&amp;INDIRECT(OFFSET(element6,MATCH($C410,resources,0)-1,0)))&amp;IF(abbrAtEnd,"-"&amp;L410,"")</f>
        <v>#N/A</v>
      </c>
      <c r="N410" s="4" t="str">
        <f t="shared" si="43"/>
        <v>-000</v>
      </c>
      <c r="O410" s="4">
        <f ca="1">IF(totalElements+COUNTIF(Entities!$C$10,"*")+COUNTIF(B410:C410,"*")+COUNTIF(E410:F410,"*")=9,1,0)</f>
        <v>0</v>
      </c>
      <c r="P410" s="4">
        <f>COUNTIF($C$6:C410,C410)</f>
        <v>0</v>
      </c>
      <c r="Q410" s="4">
        <f ca="1">IF(ISNA(M410),0,COUNTIF($M$6:M410,M410))</f>
        <v>0</v>
      </c>
      <c r="R410" s="4" t="e">
        <f t="shared" ca="1" si="42"/>
        <v>#N/A</v>
      </c>
      <c r="S410" s="4">
        <f ca="1">IF(ISNA(M410),0,COUNTIF($R$6:R410,R410))</f>
        <v>0</v>
      </c>
      <c r="T410" s="4" t="e">
        <f t="shared" ca="1" si="41"/>
        <v>#N/A</v>
      </c>
    </row>
    <row r="411" spans="2:20" x14ac:dyDescent="0.3">
      <c r="B411" s="48"/>
      <c r="C411" s="48"/>
      <c r="D411" s="10" t="str">
        <f t="shared" ca="1" si="38"/>
        <v/>
      </c>
      <c r="E411" s="48"/>
      <c r="F411" s="48"/>
      <c r="G411" s="10" t="str">
        <f t="shared" ca="1" si="44"/>
        <v/>
      </c>
      <c r="I411" s="10" t="str">
        <f t="shared" ca="1" si="39"/>
        <v/>
      </c>
      <c r="K411" s="4" t="e">
        <f t="shared" ca="1" si="40"/>
        <v>#N/A</v>
      </c>
      <c r="L411" s="4" t="e">
        <f>VLOOKUP(C411,_resources!B:D,3,0)</f>
        <v>#N/A</v>
      </c>
      <c r="M411" s="4" t="e" cm="1">
        <f t="array" aca="1" ref="M411" ca="1">IF(abbrAtEnd,"",L411&amp;"-")&amp;E411&amp;"-"&amp;INDIRECT(OFFSET(element3,MATCH($C411,resources,0)-1,0))&amp;"-"&amp;INDIRECT(OFFSET(element4,MATCH($C411,resources,0)-1,0))&amp;"-"&amp;INDIRECT(OFFSET(element5,MATCH($C411,resources,0)-1,0))&amp;IF(OFFSET(element6,MATCH($C411,resources,0)-1,0)="","","-"&amp;INDIRECT(OFFSET(element6,MATCH($C411,resources,0)-1,0)))&amp;IF(abbrAtEnd,"-"&amp;L411,"")</f>
        <v>#N/A</v>
      </c>
      <c r="N411" s="4" t="str">
        <f t="shared" si="43"/>
        <v>-000</v>
      </c>
      <c r="O411" s="4">
        <f ca="1">IF(totalElements+COUNTIF(Entities!$C$10,"*")+COUNTIF(B411:C411,"*")+COUNTIF(E411:F411,"*")=9,1,0)</f>
        <v>0</v>
      </c>
      <c r="P411" s="4">
        <f>COUNTIF($C$6:C411,C411)</f>
        <v>0</v>
      </c>
      <c r="Q411" s="4">
        <f ca="1">IF(ISNA(M411),0,COUNTIF($M$6:M411,M411))</f>
        <v>0</v>
      </c>
      <c r="R411" s="4" t="e">
        <f t="shared" ca="1" si="42"/>
        <v>#N/A</v>
      </c>
      <c r="S411" s="4">
        <f ca="1">IF(ISNA(M411),0,COUNTIF($R$6:R411,R411))</f>
        <v>0</v>
      </c>
      <c r="T411" s="4" t="e">
        <f t="shared" ca="1" si="41"/>
        <v>#N/A</v>
      </c>
    </row>
    <row r="412" spans="2:20" x14ac:dyDescent="0.3">
      <c r="B412" s="48"/>
      <c r="C412" s="48"/>
      <c r="D412" s="10" t="str">
        <f t="shared" ca="1" si="38"/>
        <v/>
      </c>
      <c r="E412" s="48"/>
      <c r="F412" s="48"/>
      <c r="G412" s="10" t="str">
        <f t="shared" ca="1" si="44"/>
        <v/>
      </c>
      <c r="I412" s="10" t="str">
        <f t="shared" ca="1" si="39"/>
        <v/>
      </c>
      <c r="K412" s="4" t="e">
        <f t="shared" ca="1" si="40"/>
        <v>#N/A</v>
      </c>
      <c r="L412" s="4" t="e">
        <f>VLOOKUP(C412,_resources!B:D,3,0)</f>
        <v>#N/A</v>
      </c>
      <c r="M412" s="4" t="e" cm="1">
        <f t="array" aca="1" ref="M412" ca="1">IF(abbrAtEnd,"",L412&amp;"-")&amp;E412&amp;"-"&amp;INDIRECT(OFFSET(element3,MATCH($C412,resources,0)-1,0))&amp;"-"&amp;INDIRECT(OFFSET(element4,MATCH($C412,resources,0)-1,0))&amp;"-"&amp;INDIRECT(OFFSET(element5,MATCH($C412,resources,0)-1,0))&amp;IF(OFFSET(element6,MATCH($C412,resources,0)-1,0)="","","-"&amp;INDIRECT(OFFSET(element6,MATCH($C412,resources,0)-1,0)))&amp;IF(abbrAtEnd,"-"&amp;L412,"")</f>
        <v>#N/A</v>
      </c>
      <c r="N412" s="4" t="str">
        <f t="shared" si="43"/>
        <v>-000</v>
      </c>
      <c r="O412" s="4">
        <f ca="1">IF(totalElements+COUNTIF(Entities!$C$10,"*")+COUNTIF(B412:C412,"*")+COUNTIF(E412:F412,"*")=9,1,0)</f>
        <v>0</v>
      </c>
      <c r="P412" s="4">
        <f>COUNTIF($C$6:C412,C412)</f>
        <v>0</v>
      </c>
      <c r="Q412" s="4">
        <f ca="1">IF(ISNA(M412),0,COUNTIF($M$6:M412,M412))</f>
        <v>0</v>
      </c>
      <c r="R412" s="4" t="e">
        <f t="shared" ca="1" si="42"/>
        <v>#N/A</v>
      </c>
      <c r="S412" s="4">
        <f ca="1">IF(ISNA(M412),0,COUNTIF($R$6:R412,R412))</f>
        <v>0</v>
      </c>
      <c r="T412" s="4" t="e">
        <f t="shared" ca="1" si="41"/>
        <v>#N/A</v>
      </c>
    </row>
    <row r="413" spans="2:20" x14ac:dyDescent="0.3">
      <c r="B413" s="48"/>
      <c r="C413" s="48"/>
      <c r="D413" s="10" t="str">
        <f t="shared" ca="1" si="38"/>
        <v/>
      </c>
      <c r="E413" s="48"/>
      <c r="F413" s="48"/>
      <c r="G413" s="10" t="str">
        <f t="shared" ca="1" si="44"/>
        <v/>
      </c>
      <c r="I413" s="10" t="str">
        <f t="shared" ca="1" si="39"/>
        <v/>
      </c>
      <c r="K413" s="4" t="e">
        <f t="shared" ca="1" si="40"/>
        <v>#N/A</v>
      </c>
      <c r="L413" s="4" t="e">
        <f>VLOOKUP(C413,_resources!B:D,3,0)</f>
        <v>#N/A</v>
      </c>
      <c r="M413" s="4" t="e" cm="1">
        <f t="array" aca="1" ref="M413" ca="1">IF(abbrAtEnd,"",L413&amp;"-")&amp;E413&amp;"-"&amp;INDIRECT(OFFSET(element3,MATCH($C413,resources,0)-1,0))&amp;"-"&amp;INDIRECT(OFFSET(element4,MATCH($C413,resources,0)-1,0))&amp;"-"&amp;INDIRECT(OFFSET(element5,MATCH($C413,resources,0)-1,0))&amp;IF(OFFSET(element6,MATCH($C413,resources,0)-1,0)="","","-"&amp;INDIRECT(OFFSET(element6,MATCH($C413,resources,0)-1,0)))&amp;IF(abbrAtEnd,"-"&amp;L413,"")</f>
        <v>#N/A</v>
      </c>
      <c r="N413" s="4" t="str">
        <f t="shared" si="43"/>
        <v>-000</v>
      </c>
      <c r="O413" s="4">
        <f ca="1">IF(totalElements+COUNTIF(Entities!$C$10,"*")+COUNTIF(B413:C413,"*")+COUNTIF(E413:F413,"*")=9,1,0)</f>
        <v>0</v>
      </c>
      <c r="P413" s="4">
        <f>COUNTIF($C$6:C413,C413)</f>
        <v>0</v>
      </c>
      <c r="Q413" s="4">
        <f ca="1">IF(ISNA(M413),0,COUNTIF($M$6:M413,M413))</f>
        <v>0</v>
      </c>
      <c r="R413" s="4" t="e">
        <f t="shared" ca="1" si="42"/>
        <v>#N/A</v>
      </c>
      <c r="S413" s="4">
        <f ca="1">IF(ISNA(M413),0,COUNTIF($R$6:R413,R413))</f>
        <v>0</v>
      </c>
      <c r="T413" s="4" t="e">
        <f t="shared" ca="1" si="41"/>
        <v>#N/A</v>
      </c>
    </row>
    <row r="414" spans="2:20" x14ac:dyDescent="0.3">
      <c r="B414" s="48"/>
      <c r="C414" s="48"/>
      <c r="D414" s="10" t="str">
        <f t="shared" ca="1" si="38"/>
        <v/>
      </c>
      <c r="E414" s="48"/>
      <c r="F414" s="48"/>
      <c r="G414" s="10" t="str">
        <f t="shared" ca="1" si="44"/>
        <v/>
      </c>
      <c r="I414" s="10" t="str">
        <f t="shared" ca="1" si="39"/>
        <v/>
      </c>
      <c r="K414" s="4" t="e">
        <f t="shared" ca="1" si="40"/>
        <v>#N/A</v>
      </c>
      <c r="L414" s="4" t="e">
        <f>VLOOKUP(C414,_resources!B:D,3,0)</f>
        <v>#N/A</v>
      </c>
      <c r="M414" s="4" t="e" cm="1">
        <f t="array" aca="1" ref="M414" ca="1">IF(abbrAtEnd,"",L414&amp;"-")&amp;E414&amp;"-"&amp;INDIRECT(OFFSET(element3,MATCH($C414,resources,0)-1,0))&amp;"-"&amp;INDIRECT(OFFSET(element4,MATCH($C414,resources,0)-1,0))&amp;"-"&amp;INDIRECT(OFFSET(element5,MATCH($C414,resources,0)-1,0))&amp;IF(OFFSET(element6,MATCH($C414,resources,0)-1,0)="","","-"&amp;INDIRECT(OFFSET(element6,MATCH($C414,resources,0)-1,0)))&amp;IF(abbrAtEnd,"-"&amp;L414,"")</f>
        <v>#N/A</v>
      </c>
      <c r="N414" s="4" t="str">
        <f t="shared" si="43"/>
        <v>-000</v>
      </c>
      <c r="O414" s="4">
        <f ca="1">IF(totalElements+COUNTIF(Entities!$C$10,"*")+COUNTIF(B414:C414,"*")+COUNTIF(E414:F414,"*")=9,1,0)</f>
        <v>0</v>
      </c>
      <c r="P414" s="4">
        <f>COUNTIF($C$6:C414,C414)</f>
        <v>0</v>
      </c>
      <c r="Q414" s="4">
        <f ca="1">IF(ISNA(M414),0,COUNTIF($M$6:M414,M414))</f>
        <v>0</v>
      </c>
      <c r="R414" s="4" t="e">
        <f t="shared" ca="1" si="42"/>
        <v>#N/A</v>
      </c>
      <c r="S414" s="4">
        <f ca="1">IF(ISNA(M414),0,COUNTIF($R$6:R414,R414))</f>
        <v>0</v>
      </c>
      <c r="T414" s="4" t="e">
        <f t="shared" ca="1" si="41"/>
        <v>#N/A</v>
      </c>
    </row>
    <row r="415" spans="2:20" x14ac:dyDescent="0.3">
      <c r="B415" s="48"/>
      <c r="C415" s="48"/>
      <c r="D415" s="10" t="str">
        <f t="shared" ca="1" si="38"/>
        <v/>
      </c>
      <c r="E415" s="48"/>
      <c r="F415" s="48"/>
      <c r="G415" s="10" t="str">
        <f t="shared" ca="1" si="44"/>
        <v/>
      </c>
      <c r="I415" s="10" t="str">
        <f t="shared" ca="1" si="39"/>
        <v/>
      </c>
      <c r="K415" s="4" t="e">
        <f t="shared" ca="1" si="40"/>
        <v>#N/A</v>
      </c>
      <c r="L415" s="4" t="e">
        <f>VLOOKUP(C415,_resources!B:D,3,0)</f>
        <v>#N/A</v>
      </c>
      <c r="M415" s="4" t="e" cm="1">
        <f t="array" aca="1" ref="M415" ca="1">IF(abbrAtEnd,"",L415&amp;"-")&amp;E415&amp;"-"&amp;INDIRECT(OFFSET(element3,MATCH($C415,resources,0)-1,0))&amp;"-"&amp;INDIRECT(OFFSET(element4,MATCH($C415,resources,0)-1,0))&amp;"-"&amp;INDIRECT(OFFSET(element5,MATCH($C415,resources,0)-1,0))&amp;IF(OFFSET(element6,MATCH($C415,resources,0)-1,0)="","","-"&amp;INDIRECT(OFFSET(element6,MATCH($C415,resources,0)-1,0)))&amp;IF(abbrAtEnd,"-"&amp;L415,"")</f>
        <v>#N/A</v>
      </c>
      <c r="N415" s="4" t="str">
        <f t="shared" si="43"/>
        <v>-000</v>
      </c>
      <c r="O415" s="4">
        <f ca="1">IF(totalElements+COUNTIF(Entities!$C$10,"*")+COUNTIF(B415:C415,"*")+COUNTIF(E415:F415,"*")=9,1,0)</f>
        <v>0</v>
      </c>
      <c r="P415" s="4">
        <f>COUNTIF($C$6:C415,C415)</f>
        <v>0</v>
      </c>
      <c r="Q415" s="4">
        <f ca="1">IF(ISNA(M415),0,COUNTIF($M$6:M415,M415))</f>
        <v>0</v>
      </c>
      <c r="R415" s="4" t="e">
        <f t="shared" ca="1" si="42"/>
        <v>#N/A</v>
      </c>
      <c r="S415" s="4">
        <f ca="1">IF(ISNA(M415),0,COUNTIF($R$6:R415,R415))</f>
        <v>0</v>
      </c>
      <c r="T415" s="4" t="e">
        <f t="shared" ca="1" si="41"/>
        <v>#N/A</v>
      </c>
    </row>
    <row r="416" spans="2:20" x14ac:dyDescent="0.3">
      <c r="B416" s="48"/>
      <c r="C416" s="48"/>
      <c r="D416" s="10" t="str">
        <f t="shared" ca="1" si="38"/>
        <v/>
      </c>
      <c r="E416" s="48"/>
      <c r="F416" s="48"/>
      <c r="G416" s="10" t="str">
        <f t="shared" ca="1" si="44"/>
        <v/>
      </c>
      <c r="I416" s="10" t="str">
        <f t="shared" ca="1" si="39"/>
        <v/>
      </c>
      <c r="K416" s="4" t="e">
        <f t="shared" ca="1" si="40"/>
        <v>#N/A</v>
      </c>
      <c r="L416" s="4" t="e">
        <f>VLOOKUP(C416,_resources!B:D,3,0)</f>
        <v>#N/A</v>
      </c>
      <c r="M416" s="4" t="e" cm="1">
        <f t="array" aca="1" ref="M416" ca="1">IF(abbrAtEnd,"",L416&amp;"-")&amp;E416&amp;"-"&amp;INDIRECT(OFFSET(element3,MATCH($C416,resources,0)-1,0))&amp;"-"&amp;INDIRECT(OFFSET(element4,MATCH($C416,resources,0)-1,0))&amp;"-"&amp;INDIRECT(OFFSET(element5,MATCH($C416,resources,0)-1,0))&amp;IF(OFFSET(element6,MATCH($C416,resources,0)-1,0)="","","-"&amp;INDIRECT(OFFSET(element6,MATCH($C416,resources,0)-1,0)))&amp;IF(abbrAtEnd,"-"&amp;L416,"")</f>
        <v>#N/A</v>
      </c>
      <c r="N416" s="4" t="str">
        <f t="shared" si="43"/>
        <v>-000</v>
      </c>
      <c r="O416" s="4">
        <f ca="1">IF(totalElements+COUNTIF(Entities!$C$10,"*")+COUNTIF(B416:C416,"*")+COUNTIF(E416:F416,"*")=9,1,0)</f>
        <v>0</v>
      </c>
      <c r="P416" s="4">
        <f>COUNTIF($C$6:C416,C416)</f>
        <v>0</v>
      </c>
      <c r="Q416" s="4">
        <f ca="1">IF(ISNA(M416),0,COUNTIF($M$6:M416,M416))</f>
        <v>0</v>
      </c>
      <c r="R416" s="4" t="e">
        <f t="shared" ca="1" si="42"/>
        <v>#N/A</v>
      </c>
      <c r="S416" s="4">
        <f ca="1">IF(ISNA(M416),0,COUNTIF($R$6:R416,R416))</f>
        <v>0</v>
      </c>
      <c r="T416" s="4" t="e">
        <f t="shared" ca="1" si="41"/>
        <v>#N/A</v>
      </c>
    </row>
    <row r="417" spans="2:20" x14ac:dyDescent="0.3">
      <c r="B417" s="48"/>
      <c r="C417" s="48"/>
      <c r="D417" s="10" t="str">
        <f t="shared" ca="1" si="38"/>
        <v/>
      </c>
      <c r="E417" s="48"/>
      <c r="F417" s="48"/>
      <c r="G417" s="10" t="str">
        <f t="shared" ca="1" si="44"/>
        <v/>
      </c>
      <c r="I417" s="10" t="str">
        <f t="shared" ca="1" si="39"/>
        <v/>
      </c>
      <c r="K417" s="4" t="e">
        <f t="shared" ca="1" si="40"/>
        <v>#N/A</v>
      </c>
      <c r="L417" s="4" t="e">
        <f>VLOOKUP(C417,_resources!B:D,3,0)</f>
        <v>#N/A</v>
      </c>
      <c r="M417" s="4" t="e" cm="1">
        <f t="array" aca="1" ref="M417" ca="1">IF(abbrAtEnd,"",L417&amp;"-")&amp;E417&amp;"-"&amp;INDIRECT(OFFSET(element3,MATCH($C417,resources,0)-1,0))&amp;"-"&amp;INDIRECT(OFFSET(element4,MATCH($C417,resources,0)-1,0))&amp;"-"&amp;INDIRECT(OFFSET(element5,MATCH($C417,resources,0)-1,0))&amp;IF(OFFSET(element6,MATCH($C417,resources,0)-1,0)="","","-"&amp;INDIRECT(OFFSET(element6,MATCH($C417,resources,0)-1,0)))&amp;IF(abbrAtEnd,"-"&amp;L417,"")</f>
        <v>#N/A</v>
      </c>
      <c r="N417" s="4" t="str">
        <f t="shared" si="43"/>
        <v>-000</v>
      </c>
      <c r="O417" s="4">
        <f ca="1">IF(totalElements+COUNTIF(Entities!$C$10,"*")+COUNTIF(B417:C417,"*")+COUNTIF(E417:F417,"*")=9,1,0)</f>
        <v>0</v>
      </c>
      <c r="P417" s="4">
        <f>COUNTIF($C$6:C417,C417)</f>
        <v>0</v>
      </c>
      <c r="Q417" s="4">
        <f ca="1">IF(ISNA(M417),0,COUNTIF($M$6:M417,M417))</f>
        <v>0</v>
      </c>
      <c r="R417" s="4" t="e">
        <f t="shared" ca="1" si="42"/>
        <v>#N/A</v>
      </c>
      <c r="S417" s="4">
        <f ca="1">IF(ISNA(M417),0,COUNTIF($R$6:R417,R417))</f>
        <v>0</v>
      </c>
      <c r="T417" s="4" t="e">
        <f t="shared" ca="1" si="41"/>
        <v>#N/A</v>
      </c>
    </row>
    <row r="418" spans="2:20" x14ac:dyDescent="0.3">
      <c r="B418" s="48"/>
      <c r="C418" s="48"/>
      <c r="D418" s="10" t="str">
        <f t="shared" ca="1" si="38"/>
        <v/>
      </c>
      <c r="E418" s="48"/>
      <c r="F418" s="48"/>
      <c r="G418" s="10" t="str">
        <f t="shared" ca="1" si="44"/>
        <v/>
      </c>
      <c r="I418" s="10" t="str">
        <f t="shared" ca="1" si="39"/>
        <v/>
      </c>
      <c r="K418" s="4" t="e">
        <f t="shared" ca="1" si="40"/>
        <v>#N/A</v>
      </c>
      <c r="L418" s="4" t="e">
        <f>VLOOKUP(C418,_resources!B:D,3,0)</f>
        <v>#N/A</v>
      </c>
      <c r="M418" s="4" t="e" cm="1">
        <f t="array" aca="1" ref="M418" ca="1">IF(abbrAtEnd,"",L418&amp;"-")&amp;E418&amp;"-"&amp;INDIRECT(OFFSET(element3,MATCH($C418,resources,0)-1,0))&amp;"-"&amp;INDIRECT(OFFSET(element4,MATCH($C418,resources,0)-1,0))&amp;"-"&amp;INDIRECT(OFFSET(element5,MATCH($C418,resources,0)-1,0))&amp;IF(OFFSET(element6,MATCH($C418,resources,0)-1,0)="","","-"&amp;INDIRECT(OFFSET(element6,MATCH($C418,resources,0)-1,0)))&amp;IF(abbrAtEnd,"-"&amp;L418,"")</f>
        <v>#N/A</v>
      </c>
      <c r="N418" s="4" t="str">
        <f t="shared" si="43"/>
        <v>-000</v>
      </c>
      <c r="O418" s="4">
        <f ca="1">IF(totalElements+COUNTIF(Entities!$C$10,"*")+COUNTIF(B418:C418,"*")+COUNTIF(E418:F418,"*")=9,1,0)</f>
        <v>0</v>
      </c>
      <c r="P418" s="4">
        <f>COUNTIF($C$6:C418,C418)</f>
        <v>0</v>
      </c>
      <c r="Q418" s="4">
        <f ca="1">IF(ISNA(M418),0,COUNTIF($M$6:M418,M418))</f>
        <v>0</v>
      </c>
      <c r="R418" s="4" t="e">
        <f t="shared" ca="1" si="42"/>
        <v>#N/A</v>
      </c>
      <c r="S418" s="4">
        <f ca="1">IF(ISNA(M418),0,COUNTIF($R$6:R418,R418))</f>
        <v>0</v>
      </c>
      <c r="T418" s="4" t="e">
        <f t="shared" ca="1" si="41"/>
        <v>#N/A</v>
      </c>
    </row>
    <row r="419" spans="2:20" x14ac:dyDescent="0.3">
      <c r="B419" s="48"/>
      <c r="C419" s="48"/>
      <c r="D419" s="10" t="str">
        <f t="shared" ca="1" si="38"/>
        <v/>
      </c>
      <c r="E419" s="48"/>
      <c r="F419" s="48"/>
      <c r="G419" s="10" t="str">
        <f t="shared" ca="1" si="44"/>
        <v/>
      </c>
      <c r="I419" s="10" t="str">
        <f t="shared" ca="1" si="39"/>
        <v/>
      </c>
      <c r="K419" s="4" t="e">
        <f t="shared" ca="1" si="40"/>
        <v>#N/A</v>
      </c>
      <c r="L419" s="4" t="e">
        <f>VLOOKUP(C419,_resources!B:D,3,0)</f>
        <v>#N/A</v>
      </c>
      <c r="M419" s="4" t="e" cm="1">
        <f t="array" aca="1" ref="M419" ca="1">IF(abbrAtEnd,"",L419&amp;"-")&amp;E419&amp;"-"&amp;INDIRECT(OFFSET(element3,MATCH($C419,resources,0)-1,0))&amp;"-"&amp;INDIRECT(OFFSET(element4,MATCH($C419,resources,0)-1,0))&amp;"-"&amp;INDIRECT(OFFSET(element5,MATCH($C419,resources,0)-1,0))&amp;IF(OFFSET(element6,MATCH($C419,resources,0)-1,0)="","","-"&amp;INDIRECT(OFFSET(element6,MATCH($C419,resources,0)-1,0)))&amp;IF(abbrAtEnd,"-"&amp;L419,"")</f>
        <v>#N/A</v>
      </c>
      <c r="N419" s="4" t="str">
        <f t="shared" si="43"/>
        <v>-000</v>
      </c>
      <c r="O419" s="4">
        <f ca="1">IF(totalElements+COUNTIF(Entities!$C$10,"*")+COUNTIF(B419:C419,"*")+COUNTIF(E419:F419,"*")=9,1,0)</f>
        <v>0</v>
      </c>
      <c r="P419" s="4">
        <f>COUNTIF($C$6:C419,C419)</f>
        <v>0</v>
      </c>
      <c r="Q419" s="4">
        <f ca="1">IF(ISNA(M419),0,COUNTIF($M$6:M419,M419))</f>
        <v>0</v>
      </c>
      <c r="R419" s="4" t="e">
        <f t="shared" ca="1" si="42"/>
        <v>#N/A</v>
      </c>
      <c r="S419" s="4">
        <f ca="1">IF(ISNA(M419),0,COUNTIF($R$6:R419,R419))</f>
        <v>0</v>
      </c>
      <c r="T419" s="4" t="e">
        <f t="shared" ca="1" si="41"/>
        <v>#N/A</v>
      </c>
    </row>
    <row r="420" spans="2:20" x14ac:dyDescent="0.3">
      <c r="B420" s="48"/>
      <c r="C420" s="48"/>
      <c r="D420" s="10" t="str">
        <f t="shared" ca="1" si="38"/>
        <v/>
      </c>
      <c r="E420" s="48"/>
      <c r="F420" s="48"/>
      <c r="G420" s="10" t="str">
        <f t="shared" ca="1" si="44"/>
        <v/>
      </c>
      <c r="I420" s="10" t="str">
        <f t="shared" ca="1" si="39"/>
        <v/>
      </c>
      <c r="K420" s="4" t="e">
        <f t="shared" ca="1" si="40"/>
        <v>#N/A</v>
      </c>
      <c r="L420" s="4" t="e">
        <f>VLOOKUP(C420,_resources!B:D,3,0)</f>
        <v>#N/A</v>
      </c>
      <c r="M420" s="4" t="e" cm="1">
        <f t="array" aca="1" ref="M420" ca="1">IF(abbrAtEnd,"",L420&amp;"-")&amp;E420&amp;"-"&amp;INDIRECT(OFFSET(element3,MATCH($C420,resources,0)-1,0))&amp;"-"&amp;INDIRECT(OFFSET(element4,MATCH($C420,resources,0)-1,0))&amp;"-"&amp;INDIRECT(OFFSET(element5,MATCH($C420,resources,0)-1,0))&amp;IF(OFFSET(element6,MATCH($C420,resources,0)-1,0)="","","-"&amp;INDIRECT(OFFSET(element6,MATCH($C420,resources,0)-1,0)))&amp;IF(abbrAtEnd,"-"&amp;L420,"")</f>
        <v>#N/A</v>
      </c>
      <c r="N420" s="4" t="str">
        <f t="shared" si="43"/>
        <v>-000</v>
      </c>
      <c r="O420" s="4">
        <f ca="1">IF(totalElements+COUNTIF(Entities!$C$10,"*")+COUNTIF(B420:C420,"*")+COUNTIF(E420:F420,"*")=9,1,0)</f>
        <v>0</v>
      </c>
      <c r="P420" s="4">
        <f>COUNTIF($C$6:C420,C420)</f>
        <v>0</v>
      </c>
      <c r="Q420" s="4">
        <f ca="1">IF(ISNA(M420),0,COUNTIF($M$6:M420,M420))</f>
        <v>0</v>
      </c>
      <c r="R420" s="4" t="e">
        <f t="shared" ca="1" si="42"/>
        <v>#N/A</v>
      </c>
      <c r="S420" s="4">
        <f ca="1">IF(ISNA(M420),0,COUNTIF($R$6:R420,R420))</f>
        <v>0</v>
      </c>
      <c r="T420" s="4" t="e">
        <f t="shared" ca="1" si="41"/>
        <v>#N/A</v>
      </c>
    </row>
    <row r="421" spans="2:20" x14ac:dyDescent="0.3">
      <c r="B421" s="48"/>
      <c r="C421" s="48"/>
      <c r="D421" s="10" t="str">
        <f t="shared" ca="1" si="38"/>
        <v/>
      </c>
      <c r="E421" s="48"/>
      <c r="F421" s="48"/>
      <c r="G421" s="10" t="str">
        <f t="shared" ca="1" si="44"/>
        <v/>
      </c>
      <c r="I421" s="10" t="str">
        <f t="shared" ca="1" si="39"/>
        <v/>
      </c>
      <c r="K421" s="4" t="e">
        <f t="shared" ca="1" si="40"/>
        <v>#N/A</v>
      </c>
      <c r="L421" s="4" t="e">
        <f>VLOOKUP(C421,_resources!B:D,3,0)</f>
        <v>#N/A</v>
      </c>
      <c r="M421" s="4" t="e" cm="1">
        <f t="array" aca="1" ref="M421" ca="1">IF(abbrAtEnd,"",L421&amp;"-")&amp;E421&amp;"-"&amp;INDIRECT(OFFSET(element3,MATCH($C421,resources,0)-1,0))&amp;"-"&amp;INDIRECT(OFFSET(element4,MATCH($C421,resources,0)-1,0))&amp;"-"&amp;INDIRECT(OFFSET(element5,MATCH($C421,resources,0)-1,0))&amp;IF(OFFSET(element6,MATCH($C421,resources,0)-1,0)="","","-"&amp;INDIRECT(OFFSET(element6,MATCH($C421,resources,0)-1,0)))&amp;IF(abbrAtEnd,"-"&amp;L421,"")</f>
        <v>#N/A</v>
      </c>
      <c r="N421" s="4" t="str">
        <f t="shared" si="43"/>
        <v>-000</v>
      </c>
      <c r="O421" s="4">
        <f ca="1">IF(totalElements+COUNTIF(Entities!$C$10,"*")+COUNTIF(B421:C421,"*")+COUNTIF(E421:F421,"*")=9,1,0)</f>
        <v>0</v>
      </c>
      <c r="P421" s="4">
        <f>COUNTIF($C$6:C421,C421)</f>
        <v>0</v>
      </c>
      <c r="Q421" s="4">
        <f ca="1">IF(ISNA(M421),0,COUNTIF($M$6:M421,M421))</f>
        <v>0</v>
      </c>
      <c r="R421" s="4" t="e">
        <f t="shared" ca="1" si="42"/>
        <v>#N/A</v>
      </c>
      <c r="S421" s="4">
        <f ca="1">IF(ISNA(M421),0,COUNTIF($R$6:R421,R421))</f>
        <v>0</v>
      </c>
      <c r="T421" s="4" t="e">
        <f t="shared" ca="1" si="41"/>
        <v>#N/A</v>
      </c>
    </row>
    <row r="422" spans="2:20" x14ac:dyDescent="0.3">
      <c r="B422" s="48"/>
      <c r="C422" s="48"/>
      <c r="D422" s="10" t="str">
        <f t="shared" ca="1" si="38"/>
        <v/>
      </c>
      <c r="E422" s="48"/>
      <c r="F422" s="48"/>
      <c r="G422" s="10" t="str">
        <f t="shared" ca="1" si="44"/>
        <v/>
      </c>
      <c r="I422" s="10" t="str">
        <f t="shared" ca="1" si="39"/>
        <v/>
      </c>
      <c r="K422" s="4" t="e">
        <f t="shared" ca="1" si="40"/>
        <v>#N/A</v>
      </c>
      <c r="L422" s="4" t="e">
        <f>VLOOKUP(C422,_resources!B:D,3,0)</f>
        <v>#N/A</v>
      </c>
      <c r="M422" s="4" t="e" cm="1">
        <f t="array" aca="1" ref="M422" ca="1">IF(abbrAtEnd,"",L422&amp;"-")&amp;E422&amp;"-"&amp;INDIRECT(OFFSET(element3,MATCH($C422,resources,0)-1,0))&amp;"-"&amp;INDIRECT(OFFSET(element4,MATCH($C422,resources,0)-1,0))&amp;"-"&amp;INDIRECT(OFFSET(element5,MATCH($C422,resources,0)-1,0))&amp;IF(OFFSET(element6,MATCH($C422,resources,0)-1,0)="","","-"&amp;INDIRECT(OFFSET(element6,MATCH($C422,resources,0)-1,0)))&amp;IF(abbrAtEnd,"-"&amp;L422,"")</f>
        <v>#N/A</v>
      </c>
      <c r="N422" s="4" t="str">
        <f t="shared" si="43"/>
        <v>-000</v>
      </c>
      <c r="O422" s="4">
        <f ca="1">IF(totalElements+COUNTIF(Entities!$C$10,"*")+COUNTIF(B422:C422,"*")+COUNTIF(E422:F422,"*")=9,1,0)</f>
        <v>0</v>
      </c>
      <c r="P422" s="4">
        <f>COUNTIF($C$6:C422,C422)</f>
        <v>0</v>
      </c>
      <c r="Q422" s="4">
        <f ca="1">IF(ISNA(M422),0,COUNTIF($M$6:M422,M422))</f>
        <v>0</v>
      </c>
      <c r="R422" s="4" t="e">
        <f t="shared" ca="1" si="42"/>
        <v>#N/A</v>
      </c>
      <c r="S422" s="4">
        <f ca="1">IF(ISNA(M422),0,COUNTIF($R$6:R422,R422))</f>
        <v>0</v>
      </c>
      <c r="T422" s="4" t="e">
        <f t="shared" ca="1" si="41"/>
        <v>#N/A</v>
      </c>
    </row>
    <row r="423" spans="2:20" x14ac:dyDescent="0.3">
      <c r="B423" s="48"/>
      <c r="C423" s="48"/>
      <c r="D423" s="10" t="str">
        <f t="shared" ca="1" si="38"/>
        <v/>
      </c>
      <c r="E423" s="48"/>
      <c r="F423" s="48"/>
      <c r="G423" s="10" t="str">
        <f t="shared" ca="1" si="44"/>
        <v/>
      </c>
      <c r="I423" s="10" t="str">
        <f t="shared" ca="1" si="39"/>
        <v/>
      </c>
      <c r="K423" s="4" t="e">
        <f t="shared" ca="1" si="40"/>
        <v>#N/A</v>
      </c>
      <c r="L423" s="4" t="e">
        <f>VLOOKUP(C423,_resources!B:D,3,0)</f>
        <v>#N/A</v>
      </c>
      <c r="M423" s="4" t="e" cm="1">
        <f t="array" aca="1" ref="M423" ca="1">IF(abbrAtEnd,"",L423&amp;"-")&amp;E423&amp;"-"&amp;INDIRECT(OFFSET(element3,MATCH($C423,resources,0)-1,0))&amp;"-"&amp;INDIRECT(OFFSET(element4,MATCH($C423,resources,0)-1,0))&amp;"-"&amp;INDIRECT(OFFSET(element5,MATCH($C423,resources,0)-1,0))&amp;IF(OFFSET(element6,MATCH($C423,resources,0)-1,0)="","","-"&amp;INDIRECT(OFFSET(element6,MATCH($C423,resources,0)-1,0)))&amp;IF(abbrAtEnd,"-"&amp;L423,"")</f>
        <v>#N/A</v>
      </c>
      <c r="N423" s="4" t="str">
        <f t="shared" si="43"/>
        <v>-000</v>
      </c>
      <c r="O423" s="4">
        <f ca="1">IF(totalElements+COUNTIF(Entities!$C$10,"*")+COUNTIF(B423:C423,"*")+COUNTIF(E423:F423,"*")=9,1,0)</f>
        <v>0</v>
      </c>
      <c r="P423" s="4">
        <f>COUNTIF($C$6:C423,C423)</f>
        <v>0</v>
      </c>
      <c r="Q423" s="4">
        <f ca="1">IF(ISNA(M423),0,COUNTIF($M$6:M423,M423))</f>
        <v>0</v>
      </c>
      <c r="R423" s="4" t="e">
        <f t="shared" ca="1" si="42"/>
        <v>#N/A</v>
      </c>
      <c r="S423" s="4">
        <f ca="1">IF(ISNA(M423),0,COUNTIF($R$6:R423,R423))</f>
        <v>0</v>
      </c>
      <c r="T423" s="4" t="e">
        <f t="shared" ca="1" si="41"/>
        <v>#N/A</v>
      </c>
    </row>
    <row r="424" spans="2:20" x14ac:dyDescent="0.3">
      <c r="B424" s="48"/>
      <c r="C424" s="48"/>
      <c r="D424" s="10" t="str">
        <f t="shared" ca="1" si="38"/>
        <v/>
      </c>
      <c r="E424" s="48"/>
      <c r="F424" s="48"/>
      <c r="G424" s="10" t="str">
        <f t="shared" ca="1" si="44"/>
        <v/>
      </c>
      <c r="I424" s="10" t="str">
        <f t="shared" ca="1" si="39"/>
        <v/>
      </c>
      <c r="K424" s="4" t="e">
        <f t="shared" ca="1" si="40"/>
        <v>#N/A</v>
      </c>
      <c r="L424" s="4" t="e">
        <f>VLOOKUP(C424,_resources!B:D,3,0)</f>
        <v>#N/A</v>
      </c>
      <c r="M424" s="4" t="e" cm="1">
        <f t="array" aca="1" ref="M424" ca="1">IF(abbrAtEnd,"",L424&amp;"-")&amp;E424&amp;"-"&amp;INDIRECT(OFFSET(element3,MATCH($C424,resources,0)-1,0))&amp;"-"&amp;INDIRECT(OFFSET(element4,MATCH($C424,resources,0)-1,0))&amp;"-"&amp;INDIRECT(OFFSET(element5,MATCH($C424,resources,0)-1,0))&amp;IF(OFFSET(element6,MATCH($C424,resources,0)-1,0)="","","-"&amp;INDIRECT(OFFSET(element6,MATCH($C424,resources,0)-1,0)))&amp;IF(abbrAtEnd,"-"&amp;L424,"")</f>
        <v>#N/A</v>
      </c>
      <c r="N424" s="4" t="str">
        <f t="shared" si="43"/>
        <v>-000</v>
      </c>
      <c r="O424" s="4">
        <f ca="1">IF(totalElements+COUNTIF(Entities!$C$10,"*")+COUNTIF(B424:C424,"*")+COUNTIF(E424:F424,"*")=9,1,0)</f>
        <v>0</v>
      </c>
      <c r="P424" s="4">
        <f>COUNTIF($C$6:C424,C424)</f>
        <v>0</v>
      </c>
      <c r="Q424" s="4">
        <f ca="1">IF(ISNA(M424),0,COUNTIF($M$6:M424,M424))</f>
        <v>0</v>
      </c>
      <c r="R424" s="4" t="e">
        <f t="shared" ca="1" si="42"/>
        <v>#N/A</v>
      </c>
      <c r="S424" s="4">
        <f ca="1">IF(ISNA(M424),0,COUNTIF($R$6:R424,R424))</f>
        <v>0</v>
      </c>
      <c r="T424" s="4" t="e">
        <f t="shared" ca="1" si="41"/>
        <v>#N/A</v>
      </c>
    </row>
    <row r="425" spans="2:20" x14ac:dyDescent="0.3">
      <c r="B425" s="48"/>
      <c r="C425" s="48"/>
      <c r="D425" s="10" t="str">
        <f t="shared" ca="1" si="38"/>
        <v/>
      </c>
      <c r="E425" s="48"/>
      <c r="F425" s="48"/>
      <c r="G425" s="10" t="str">
        <f t="shared" ca="1" si="44"/>
        <v/>
      </c>
      <c r="I425" s="10" t="str">
        <f t="shared" ca="1" si="39"/>
        <v/>
      </c>
      <c r="K425" s="4" t="e">
        <f t="shared" ca="1" si="40"/>
        <v>#N/A</v>
      </c>
      <c r="L425" s="4" t="e">
        <f>VLOOKUP(C425,_resources!B:D,3,0)</f>
        <v>#N/A</v>
      </c>
      <c r="M425" s="4" t="e" cm="1">
        <f t="array" aca="1" ref="M425" ca="1">IF(abbrAtEnd,"",L425&amp;"-")&amp;E425&amp;"-"&amp;INDIRECT(OFFSET(element3,MATCH($C425,resources,0)-1,0))&amp;"-"&amp;INDIRECT(OFFSET(element4,MATCH($C425,resources,0)-1,0))&amp;"-"&amp;INDIRECT(OFFSET(element5,MATCH($C425,resources,0)-1,0))&amp;IF(OFFSET(element6,MATCH($C425,resources,0)-1,0)="","","-"&amp;INDIRECT(OFFSET(element6,MATCH($C425,resources,0)-1,0)))&amp;IF(abbrAtEnd,"-"&amp;L425,"")</f>
        <v>#N/A</v>
      </c>
      <c r="N425" s="4" t="str">
        <f t="shared" si="43"/>
        <v>-000</v>
      </c>
      <c r="O425" s="4">
        <f ca="1">IF(totalElements+COUNTIF(Entities!$C$10,"*")+COUNTIF(B425:C425,"*")+COUNTIF(E425:F425,"*")=9,1,0)</f>
        <v>0</v>
      </c>
      <c r="P425" s="4">
        <f>COUNTIF($C$6:C425,C425)</f>
        <v>0</v>
      </c>
      <c r="Q425" s="4">
        <f ca="1">IF(ISNA(M425),0,COUNTIF($M$6:M425,M425))</f>
        <v>0</v>
      </c>
      <c r="R425" s="4" t="e">
        <f t="shared" ca="1" si="42"/>
        <v>#N/A</v>
      </c>
      <c r="S425" s="4">
        <f ca="1">IF(ISNA(M425),0,COUNTIF($R$6:R425,R425))</f>
        <v>0</v>
      </c>
      <c r="T425" s="4" t="e">
        <f t="shared" ca="1" si="41"/>
        <v>#N/A</v>
      </c>
    </row>
    <row r="426" spans="2:20" x14ac:dyDescent="0.3">
      <c r="B426" s="48"/>
      <c r="C426" s="48"/>
      <c r="D426" s="10" t="str">
        <f t="shared" ca="1" si="38"/>
        <v/>
      </c>
      <c r="E426" s="48"/>
      <c r="F426" s="48"/>
      <c r="G426" s="10" t="str">
        <f t="shared" ca="1" si="44"/>
        <v/>
      </c>
      <c r="I426" s="10" t="str">
        <f t="shared" ca="1" si="39"/>
        <v/>
      </c>
      <c r="K426" s="4" t="e">
        <f t="shared" ca="1" si="40"/>
        <v>#N/A</v>
      </c>
      <c r="L426" s="4" t="e">
        <f>VLOOKUP(C426,_resources!B:D,3,0)</f>
        <v>#N/A</v>
      </c>
      <c r="M426" s="4" t="e" cm="1">
        <f t="array" aca="1" ref="M426" ca="1">IF(abbrAtEnd,"",L426&amp;"-")&amp;E426&amp;"-"&amp;INDIRECT(OFFSET(element3,MATCH($C426,resources,0)-1,0))&amp;"-"&amp;INDIRECT(OFFSET(element4,MATCH($C426,resources,0)-1,0))&amp;"-"&amp;INDIRECT(OFFSET(element5,MATCH($C426,resources,0)-1,0))&amp;IF(OFFSET(element6,MATCH($C426,resources,0)-1,0)="","","-"&amp;INDIRECT(OFFSET(element6,MATCH($C426,resources,0)-1,0)))&amp;IF(abbrAtEnd,"-"&amp;L426,"")</f>
        <v>#N/A</v>
      </c>
      <c r="N426" s="4" t="str">
        <f t="shared" si="43"/>
        <v>-000</v>
      </c>
      <c r="O426" s="4">
        <f ca="1">IF(totalElements+COUNTIF(Entities!$C$10,"*")+COUNTIF(B426:C426,"*")+COUNTIF(E426:F426,"*")=9,1,0)</f>
        <v>0</v>
      </c>
      <c r="P426" s="4">
        <f>COUNTIF($C$6:C426,C426)</f>
        <v>0</v>
      </c>
      <c r="Q426" s="4">
        <f ca="1">IF(ISNA(M426),0,COUNTIF($M$6:M426,M426))</f>
        <v>0</v>
      </c>
      <c r="R426" s="4" t="e">
        <f t="shared" ca="1" si="42"/>
        <v>#N/A</v>
      </c>
      <c r="S426" s="4">
        <f ca="1">IF(ISNA(M426),0,COUNTIF($R$6:R426,R426))</f>
        <v>0</v>
      </c>
      <c r="T426" s="4" t="e">
        <f t="shared" ca="1" si="41"/>
        <v>#N/A</v>
      </c>
    </row>
    <row r="427" spans="2:20" x14ac:dyDescent="0.3">
      <c r="B427" s="48"/>
      <c r="C427" s="48"/>
      <c r="D427" s="10" t="str">
        <f t="shared" ca="1" si="38"/>
        <v/>
      </c>
      <c r="E427" s="48"/>
      <c r="F427" s="48"/>
      <c r="G427" s="10" t="str">
        <f t="shared" ca="1" si="44"/>
        <v/>
      </c>
      <c r="I427" s="10" t="str">
        <f t="shared" ca="1" si="39"/>
        <v/>
      </c>
      <c r="K427" s="4" t="e">
        <f t="shared" ca="1" si="40"/>
        <v>#N/A</v>
      </c>
      <c r="L427" s="4" t="e">
        <f>VLOOKUP(C427,_resources!B:D,3,0)</f>
        <v>#N/A</v>
      </c>
      <c r="M427" s="4" t="e" cm="1">
        <f t="array" aca="1" ref="M427" ca="1">IF(abbrAtEnd,"",L427&amp;"-")&amp;E427&amp;"-"&amp;INDIRECT(OFFSET(element3,MATCH($C427,resources,0)-1,0))&amp;"-"&amp;INDIRECT(OFFSET(element4,MATCH($C427,resources,0)-1,0))&amp;"-"&amp;INDIRECT(OFFSET(element5,MATCH($C427,resources,0)-1,0))&amp;IF(OFFSET(element6,MATCH($C427,resources,0)-1,0)="","","-"&amp;INDIRECT(OFFSET(element6,MATCH($C427,resources,0)-1,0)))&amp;IF(abbrAtEnd,"-"&amp;L427,"")</f>
        <v>#N/A</v>
      </c>
      <c r="N427" s="4" t="str">
        <f t="shared" si="43"/>
        <v>-000</v>
      </c>
      <c r="O427" s="4">
        <f ca="1">IF(totalElements+COUNTIF(Entities!$C$10,"*")+COUNTIF(B427:C427,"*")+COUNTIF(E427:F427,"*")=9,1,0)</f>
        <v>0</v>
      </c>
      <c r="P427" s="4">
        <f>COUNTIF($C$6:C427,C427)</f>
        <v>0</v>
      </c>
      <c r="Q427" s="4">
        <f ca="1">IF(ISNA(M427),0,COUNTIF($M$6:M427,M427))</f>
        <v>0</v>
      </c>
      <c r="R427" s="4" t="e">
        <f t="shared" ca="1" si="42"/>
        <v>#N/A</v>
      </c>
      <c r="S427" s="4">
        <f ca="1">IF(ISNA(M427),0,COUNTIF($R$6:R427,R427))</f>
        <v>0</v>
      </c>
      <c r="T427" s="4" t="e">
        <f t="shared" ca="1" si="41"/>
        <v>#N/A</v>
      </c>
    </row>
    <row r="428" spans="2:20" x14ac:dyDescent="0.3">
      <c r="B428" s="48"/>
      <c r="C428" s="48"/>
      <c r="D428" s="10" t="str">
        <f t="shared" ca="1" si="38"/>
        <v/>
      </c>
      <c r="E428" s="48"/>
      <c r="F428" s="48"/>
      <c r="G428" s="10" t="str">
        <f t="shared" ca="1" si="44"/>
        <v/>
      </c>
      <c r="I428" s="10" t="str">
        <f t="shared" ca="1" si="39"/>
        <v/>
      </c>
      <c r="K428" s="4" t="e">
        <f t="shared" ca="1" si="40"/>
        <v>#N/A</v>
      </c>
      <c r="L428" s="4" t="e">
        <f>VLOOKUP(C428,_resources!B:D,3,0)</f>
        <v>#N/A</v>
      </c>
      <c r="M428" s="4" t="e" cm="1">
        <f t="array" aca="1" ref="M428" ca="1">IF(abbrAtEnd,"",L428&amp;"-")&amp;E428&amp;"-"&amp;INDIRECT(OFFSET(element3,MATCH($C428,resources,0)-1,0))&amp;"-"&amp;INDIRECT(OFFSET(element4,MATCH($C428,resources,0)-1,0))&amp;"-"&amp;INDIRECT(OFFSET(element5,MATCH($C428,resources,0)-1,0))&amp;IF(OFFSET(element6,MATCH($C428,resources,0)-1,0)="","","-"&amp;INDIRECT(OFFSET(element6,MATCH($C428,resources,0)-1,0)))&amp;IF(abbrAtEnd,"-"&amp;L428,"")</f>
        <v>#N/A</v>
      </c>
      <c r="N428" s="4" t="str">
        <f t="shared" si="43"/>
        <v>-000</v>
      </c>
      <c r="O428" s="4">
        <f ca="1">IF(totalElements+COUNTIF(Entities!$C$10,"*")+COUNTIF(B428:C428,"*")+COUNTIF(E428:F428,"*")=9,1,0)</f>
        <v>0</v>
      </c>
      <c r="P428" s="4">
        <f>COUNTIF($C$6:C428,C428)</f>
        <v>0</v>
      </c>
      <c r="Q428" s="4">
        <f ca="1">IF(ISNA(M428),0,COUNTIF($M$6:M428,M428))</f>
        <v>0</v>
      </c>
      <c r="R428" s="4" t="e">
        <f t="shared" ca="1" si="42"/>
        <v>#N/A</v>
      </c>
      <c r="S428" s="4">
        <f ca="1">IF(ISNA(M428),0,COUNTIF($R$6:R428,R428))</f>
        <v>0</v>
      </c>
      <c r="T428" s="4" t="e">
        <f t="shared" ca="1" si="41"/>
        <v>#N/A</v>
      </c>
    </row>
    <row r="429" spans="2:20" x14ac:dyDescent="0.3">
      <c r="B429" s="48"/>
      <c r="C429" s="48"/>
      <c r="D429" s="10" t="str">
        <f t="shared" ca="1" si="38"/>
        <v/>
      </c>
      <c r="E429" s="48"/>
      <c r="F429" s="48"/>
      <c r="G429" s="10" t="str">
        <f t="shared" ca="1" si="44"/>
        <v/>
      </c>
      <c r="I429" s="10" t="str">
        <f t="shared" ca="1" si="39"/>
        <v/>
      </c>
      <c r="K429" s="4" t="e">
        <f t="shared" ca="1" si="40"/>
        <v>#N/A</v>
      </c>
      <c r="L429" s="4" t="e">
        <f>VLOOKUP(C429,_resources!B:D,3,0)</f>
        <v>#N/A</v>
      </c>
      <c r="M429" s="4" t="e" cm="1">
        <f t="array" aca="1" ref="M429" ca="1">IF(abbrAtEnd,"",L429&amp;"-")&amp;E429&amp;"-"&amp;INDIRECT(OFFSET(element3,MATCH($C429,resources,0)-1,0))&amp;"-"&amp;INDIRECT(OFFSET(element4,MATCH($C429,resources,0)-1,0))&amp;"-"&amp;INDIRECT(OFFSET(element5,MATCH($C429,resources,0)-1,0))&amp;IF(OFFSET(element6,MATCH($C429,resources,0)-1,0)="","","-"&amp;INDIRECT(OFFSET(element6,MATCH($C429,resources,0)-1,0)))&amp;IF(abbrAtEnd,"-"&amp;L429,"")</f>
        <v>#N/A</v>
      </c>
      <c r="N429" s="4" t="str">
        <f t="shared" si="43"/>
        <v>-000</v>
      </c>
      <c r="O429" s="4">
        <f ca="1">IF(totalElements+COUNTIF(Entities!$C$10,"*")+COUNTIF(B429:C429,"*")+COUNTIF(E429:F429,"*")=9,1,0)</f>
        <v>0</v>
      </c>
      <c r="P429" s="4">
        <f>COUNTIF($C$6:C429,C429)</f>
        <v>0</v>
      </c>
      <c r="Q429" s="4">
        <f ca="1">IF(ISNA(M429),0,COUNTIF($M$6:M429,M429))</f>
        <v>0</v>
      </c>
      <c r="R429" s="4" t="e">
        <f t="shared" ca="1" si="42"/>
        <v>#N/A</v>
      </c>
      <c r="S429" s="4">
        <f ca="1">IF(ISNA(M429),0,COUNTIF($R$6:R429,R429))</f>
        <v>0</v>
      </c>
      <c r="T429" s="4" t="e">
        <f t="shared" ca="1" si="41"/>
        <v>#N/A</v>
      </c>
    </row>
    <row r="430" spans="2:20" x14ac:dyDescent="0.3">
      <c r="B430" s="48"/>
      <c r="C430" s="48"/>
      <c r="D430" s="10" t="str">
        <f t="shared" ca="1" si="38"/>
        <v/>
      </c>
      <c r="E430" s="48"/>
      <c r="F430" s="48"/>
      <c r="G430" s="10" t="str">
        <f t="shared" ca="1" si="44"/>
        <v/>
      </c>
      <c r="I430" s="10" t="str">
        <f t="shared" ca="1" si="39"/>
        <v/>
      </c>
      <c r="K430" s="4" t="e">
        <f t="shared" ca="1" si="40"/>
        <v>#N/A</v>
      </c>
      <c r="L430" s="4" t="e">
        <f>VLOOKUP(C430,_resources!B:D,3,0)</f>
        <v>#N/A</v>
      </c>
      <c r="M430" s="4" t="e" cm="1">
        <f t="array" aca="1" ref="M430" ca="1">IF(abbrAtEnd,"",L430&amp;"-")&amp;E430&amp;"-"&amp;INDIRECT(OFFSET(element3,MATCH($C430,resources,0)-1,0))&amp;"-"&amp;INDIRECT(OFFSET(element4,MATCH($C430,resources,0)-1,0))&amp;"-"&amp;INDIRECT(OFFSET(element5,MATCH($C430,resources,0)-1,0))&amp;IF(OFFSET(element6,MATCH($C430,resources,0)-1,0)="","","-"&amp;INDIRECT(OFFSET(element6,MATCH($C430,resources,0)-1,0)))&amp;IF(abbrAtEnd,"-"&amp;L430,"")</f>
        <v>#N/A</v>
      </c>
      <c r="N430" s="4" t="str">
        <f t="shared" si="43"/>
        <v>-000</v>
      </c>
      <c r="O430" s="4">
        <f ca="1">IF(totalElements+COUNTIF(Entities!$C$10,"*")+COUNTIF(B430:C430,"*")+COUNTIF(E430:F430,"*")=9,1,0)</f>
        <v>0</v>
      </c>
      <c r="P430" s="4">
        <f>COUNTIF($C$6:C430,C430)</f>
        <v>0</v>
      </c>
      <c r="Q430" s="4">
        <f ca="1">IF(ISNA(M430),0,COUNTIF($M$6:M430,M430))</f>
        <v>0</v>
      </c>
      <c r="R430" s="4" t="e">
        <f t="shared" ca="1" si="42"/>
        <v>#N/A</v>
      </c>
      <c r="S430" s="4">
        <f ca="1">IF(ISNA(M430),0,COUNTIF($R$6:R430,R430))</f>
        <v>0</v>
      </c>
      <c r="T430" s="4" t="e">
        <f t="shared" ca="1" si="41"/>
        <v>#N/A</v>
      </c>
    </row>
    <row r="431" spans="2:20" x14ac:dyDescent="0.3">
      <c r="B431" s="48"/>
      <c r="C431" s="48"/>
      <c r="D431" s="10" t="str">
        <f t="shared" ca="1" si="38"/>
        <v/>
      </c>
      <c r="E431" s="48"/>
      <c r="F431" s="48"/>
      <c r="G431" s="10" t="str">
        <f t="shared" ca="1" si="44"/>
        <v/>
      </c>
      <c r="I431" s="10" t="str">
        <f t="shared" ca="1" si="39"/>
        <v/>
      </c>
      <c r="K431" s="4" t="e">
        <f t="shared" ca="1" si="40"/>
        <v>#N/A</v>
      </c>
      <c r="L431" s="4" t="e">
        <f>VLOOKUP(C431,_resources!B:D,3,0)</f>
        <v>#N/A</v>
      </c>
      <c r="M431" s="4" t="e" cm="1">
        <f t="array" aca="1" ref="M431" ca="1">IF(abbrAtEnd,"",L431&amp;"-")&amp;E431&amp;"-"&amp;INDIRECT(OFFSET(element3,MATCH($C431,resources,0)-1,0))&amp;"-"&amp;INDIRECT(OFFSET(element4,MATCH($C431,resources,0)-1,0))&amp;"-"&amp;INDIRECT(OFFSET(element5,MATCH($C431,resources,0)-1,0))&amp;IF(OFFSET(element6,MATCH($C431,resources,0)-1,0)="","","-"&amp;INDIRECT(OFFSET(element6,MATCH($C431,resources,0)-1,0)))&amp;IF(abbrAtEnd,"-"&amp;L431,"")</f>
        <v>#N/A</v>
      </c>
      <c r="N431" s="4" t="str">
        <f t="shared" si="43"/>
        <v>-000</v>
      </c>
      <c r="O431" s="4">
        <f ca="1">IF(totalElements+COUNTIF(Entities!$C$10,"*")+COUNTIF(B431:C431,"*")+COUNTIF(E431:F431,"*")=9,1,0)</f>
        <v>0</v>
      </c>
      <c r="P431" s="4">
        <f>COUNTIF($C$6:C431,C431)</f>
        <v>0</v>
      </c>
      <c r="Q431" s="4">
        <f ca="1">IF(ISNA(M431),0,COUNTIF($M$6:M431,M431))</f>
        <v>0</v>
      </c>
      <c r="R431" s="4" t="e">
        <f t="shared" ca="1" si="42"/>
        <v>#N/A</v>
      </c>
      <c r="S431" s="4">
        <f ca="1">IF(ISNA(M431),0,COUNTIF($R$6:R431,R431))</f>
        <v>0</v>
      </c>
      <c r="T431" s="4" t="e">
        <f t="shared" ca="1" si="41"/>
        <v>#N/A</v>
      </c>
    </row>
    <row r="432" spans="2:20" x14ac:dyDescent="0.3">
      <c r="B432" s="48"/>
      <c r="C432" s="48"/>
      <c r="D432" s="10" t="str">
        <f t="shared" ca="1" si="38"/>
        <v/>
      </c>
      <c r="E432" s="48"/>
      <c r="F432" s="48"/>
      <c r="G432" s="10" t="str">
        <f t="shared" ca="1" si="44"/>
        <v/>
      </c>
      <c r="I432" s="10" t="str">
        <f t="shared" ca="1" si="39"/>
        <v/>
      </c>
      <c r="K432" s="4" t="e">
        <f t="shared" ca="1" si="40"/>
        <v>#N/A</v>
      </c>
      <c r="L432" s="4" t="e">
        <f>VLOOKUP(C432,_resources!B:D,3,0)</f>
        <v>#N/A</v>
      </c>
      <c r="M432" s="4" t="e" cm="1">
        <f t="array" aca="1" ref="M432" ca="1">IF(abbrAtEnd,"",L432&amp;"-")&amp;E432&amp;"-"&amp;INDIRECT(OFFSET(element3,MATCH($C432,resources,0)-1,0))&amp;"-"&amp;INDIRECT(OFFSET(element4,MATCH($C432,resources,0)-1,0))&amp;"-"&amp;INDIRECT(OFFSET(element5,MATCH($C432,resources,0)-1,0))&amp;IF(OFFSET(element6,MATCH($C432,resources,0)-1,0)="","","-"&amp;INDIRECT(OFFSET(element6,MATCH($C432,resources,0)-1,0)))&amp;IF(abbrAtEnd,"-"&amp;L432,"")</f>
        <v>#N/A</v>
      </c>
      <c r="N432" s="4" t="str">
        <f t="shared" si="43"/>
        <v>-000</v>
      </c>
      <c r="O432" s="4">
        <f ca="1">IF(totalElements+COUNTIF(Entities!$C$10,"*")+COUNTIF(B432:C432,"*")+COUNTIF(E432:F432,"*")=9,1,0)</f>
        <v>0</v>
      </c>
      <c r="P432" s="4">
        <f>COUNTIF($C$6:C432,C432)</f>
        <v>0</v>
      </c>
      <c r="Q432" s="4">
        <f ca="1">IF(ISNA(M432),0,COUNTIF($M$6:M432,M432))</f>
        <v>0</v>
      </c>
      <c r="R432" s="4" t="e">
        <f t="shared" ca="1" si="42"/>
        <v>#N/A</v>
      </c>
      <c r="S432" s="4">
        <f ca="1">IF(ISNA(M432),0,COUNTIF($R$6:R432,R432))</f>
        <v>0</v>
      </c>
      <c r="T432" s="4" t="e">
        <f t="shared" ca="1" si="41"/>
        <v>#N/A</v>
      </c>
    </row>
    <row r="433" spans="2:20" x14ac:dyDescent="0.3">
      <c r="B433" s="48"/>
      <c r="C433" s="48"/>
      <c r="D433" s="10" t="str">
        <f t="shared" ref="D433:D496" ca="1" si="45">IF(ISBLANK(C433),"",OFFSET(element2,MATCH($C433,resources,0)-1,0))</f>
        <v/>
      </c>
      <c r="E433" s="48"/>
      <c r="F433" s="48"/>
      <c r="G433" s="10" t="str">
        <f t="shared" ca="1" si="44"/>
        <v/>
      </c>
      <c r="I433" s="10" t="str">
        <f t="shared" ref="I433:I496" ca="1" si="46">IF(O433,IF(LEN(G433)&gt;T433,"Name too Long (length: "&amp;LEN(G433)&amp;", max. "&amp;T433&amp;")","None"),"")</f>
        <v/>
      </c>
      <c r="K433" s="4" t="e">
        <f t="shared" ca="1" si="40"/>
        <v>#N/A</v>
      </c>
      <c r="L433" s="4" t="e">
        <f>VLOOKUP(C433,_resources!B:D,3,0)</f>
        <v>#N/A</v>
      </c>
      <c r="M433" s="4" t="e" cm="1">
        <f t="array" aca="1" ref="M433" ca="1">IF(abbrAtEnd,"",L433&amp;"-")&amp;E433&amp;"-"&amp;INDIRECT(OFFSET(element3,MATCH($C433,resources,0)-1,0))&amp;"-"&amp;INDIRECT(OFFSET(element4,MATCH($C433,resources,0)-1,0))&amp;"-"&amp;INDIRECT(OFFSET(element5,MATCH($C433,resources,0)-1,0))&amp;IF(OFFSET(element6,MATCH($C433,resources,0)-1,0)="","","-"&amp;INDIRECT(OFFSET(element6,MATCH($C433,resources,0)-1,0)))&amp;IF(abbrAtEnd,"-"&amp;L433,"")</f>
        <v>#N/A</v>
      </c>
      <c r="N433" s="4" t="str">
        <f t="shared" si="43"/>
        <v>-000</v>
      </c>
      <c r="O433" s="4">
        <f ca="1">IF(totalElements+COUNTIF(Entities!$C$10,"*")+COUNTIF(B433:C433,"*")+COUNTIF(E433:F433,"*")=9,1,0)</f>
        <v>0</v>
      </c>
      <c r="P433" s="4">
        <f>COUNTIF($C$6:C433,C433)</f>
        <v>0</v>
      </c>
      <c r="Q433" s="4">
        <f ca="1">IF(ISNA(M433),0,COUNTIF($M$6:M433,M433))</f>
        <v>0</v>
      </c>
      <c r="R433" s="4" t="e">
        <f t="shared" ca="1" si="42"/>
        <v>#N/A</v>
      </c>
      <c r="S433" s="4">
        <f ca="1">IF(ISNA(M433),0,COUNTIF($R$6:R433,R433))</f>
        <v>0</v>
      </c>
      <c r="T433" s="4" t="e">
        <f t="shared" ca="1" si="41"/>
        <v>#N/A</v>
      </c>
    </row>
    <row r="434" spans="2:20" x14ac:dyDescent="0.3">
      <c r="B434" s="48"/>
      <c r="C434" s="48"/>
      <c r="D434" s="10" t="str">
        <f t="shared" ca="1" si="45"/>
        <v/>
      </c>
      <c r="E434" s="48"/>
      <c r="F434" s="48"/>
      <c r="G434" s="10" t="str">
        <f t="shared" ca="1" si="44"/>
        <v/>
      </c>
      <c r="I434" s="10" t="str">
        <f t="shared" ca="1" si="46"/>
        <v/>
      </c>
      <c r="K434" s="4" t="e">
        <f t="shared" ca="1" si="40"/>
        <v>#N/A</v>
      </c>
      <c r="L434" s="4" t="e">
        <f>VLOOKUP(C434,_resources!B:D,3,0)</f>
        <v>#N/A</v>
      </c>
      <c r="M434" s="4" t="e" cm="1">
        <f t="array" aca="1" ref="M434" ca="1">IF(abbrAtEnd,"",L434&amp;"-")&amp;E434&amp;"-"&amp;INDIRECT(OFFSET(element3,MATCH($C434,resources,0)-1,0))&amp;"-"&amp;INDIRECT(OFFSET(element4,MATCH($C434,resources,0)-1,0))&amp;"-"&amp;INDIRECT(OFFSET(element5,MATCH($C434,resources,0)-1,0))&amp;IF(OFFSET(element6,MATCH($C434,resources,0)-1,0)="","","-"&amp;INDIRECT(OFFSET(element6,MATCH($C434,resources,0)-1,0)))&amp;IF(abbrAtEnd,"-"&amp;L434,"")</f>
        <v>#N/A</v>
      </c>
      <c r="N434" s="4" t="str">
        <f t="shared" si="43"/>
        <v>-000</v>
      </c>
      <c r="O434" s="4">
        <f ca="1">IF(totalElements+COUNTIF(Entities!$C$10,"*")+COUNTIF(B434:C434,"*")+COUNTIF(E434:F434,"*")=9,1,0)</f>
        <v>0</v>
      </c>
      <c r="P434" s="4">
        <f>COUNTIF($C$6:C434,C434)</f>
        <v>0</v>
      </c>
      <c r="Q434" s="4">
        <f ca="1">IF(ISNA(M434),0,COUNTIF($M$6:M434,M434))</f>
        <v>0</v>
      </c>
      <c r="R434" s="4" t="e">
        <f t="shared" ca="1" si="42"/>
        <v>#N/A</v>
      </c>
      <c r="S434" s="4">
        <f ca="1">IF(ISNA(M434),0,COUNTIF($R$6:R434,R434))</f>
        <v>0</v>
      </c>
      <c r="T434" s="4" t="e">
        <f t="shared" ca="1" si="41"/>
        <v>#N/A</v>
      </c>
    </row>
    <row r="435" spans="2:20" x14ac:dyDescent="0.3">
      <c r="B435" s="48"/>
      <c r="C435" s="48"/>
      <c r="D435" s="10" t="str">
        <f t="shared" ca="1" si="45"/>
        <v/>
      </c>
      <c r="E435" s="48"/>
      <c r="F435" s="48"/>
      <c r="G435" s="10" t="str">
        <f t="shared" ca="1" si="44"/>
        <v/>
      </c>
      <c r="I435" s="10" t="str">
        <f t="shared" ca="1" si="46"/>
        <v/>
      </c>
      <c r="K435" s="4" t="e">
        <f t="shared" ca="1" si="40"/>
        <v>#N/A</v>
      </c>
      <c r="L435" s="4" t="e">
        <f>VLOOKUP(C435,_resources!B:D,3,0)</f>
        <v>#N/A</v>
      </c>
      <c r="M435" s="4" t="e" cm="1">
        <f t="array" aca="1" ref="M435" ca="1">IF(abbrAtEnd,"",L435&amp;"-")&amp;E435&amp;"-"&amp;INDIRECT(OFFSET(element3,MATCH($C435,resources,0)-1,0))&amp;"-"&amp;INDIRECT(OFFSET(element4,MATCH($C435,resources,0)-1,0))&amp;"-"&amp;INDIRECT(OFFSET(element5,MATCH($C435,resources,0)-1,0))&amp;IF(OFFSET(element6,MATCH($C435,resources,0)-1,0)="","","-"&amp;INDIRECT(OFFSET(element6,MATCH($C435,resources,0)-1,0)))&amp;IF(abbrAtEnd,"-"&amp;L435,"")</f>
        <v>#N/A</v>
      </c>
      <c r="N435" s="4" t="str">
        <f t="shared" si="43"/>
        <v>-000</v>
      </c>
      <c r="O435" s="4">
        <f ca="1">IF(totalElements+COUNTIF(Entities!$C$10,"*")+COUNTIF(B435:C435,"*")+COUNTIF(E435:F435,"*")=9,1,0)</f>
        <v>0</v>
      </c>
      <c r="P435" s="4">
        <f>COUNTIF($C$6:C435,C435)</f>
        <v>0</v>
      </c>
      <c r="Q435" s="4">
        <f ca="1">IF(ISNA(M435),0,COUNTIF($M$6:M435,M435))</f>
        <v>0</v>
      </c>
      <c r="R435" s="4" t="e">
        <f t="shared" ca="1" si="42"/>
        <v>#N/A</v>
      </c>
      <c r="S435" s="4">
        <f ca="1">IF(ISNA(M435),0,COUNTIF($R$6:R435,R435))</f>
        <v>0</v>
      </c>
      <c r="T435" s="4" t="e">
        <f t="shared" ca="1" si="41"/>
        <v>#N/A</v>
      </c>
    </row>
    <row r="436" spans="2:20" x14ac:dyDescent="0.3">
      <c r="B436" s="48"/>
      <c r="C436" s="48"/>
      <c r="D436" s="10" t="str">
        <f t="shared" ca="1" si="45"/>
        <v/>
      </c>
      <c r="E436" s="48"/>
      <c r="F436" s="48"/>
      <c r="G436" s="10" t="str">
        <f t="shared" ca="1" si="44"/>
        <v/>
      </c>
      <c r="I436" s="10" t="str">
        <f t="shared" ca="1" si="46"/>
        <v/>
      </c>
      <c r="K436" s="4" t="e">
        <f t="shared" ca="1" si="40"/>
        <v>#N/A</v>
      </c>
      <c r="L436" s="4" t="e">
        <f>VLOOKUP(C436,_resources!B:D,3,0)</f>
        <v>#N/A</v>
      </c>
      <c r="M436" s="4" t="e" cm="1">
        <f t="array" aca="1" ref="M436" ca="1">IF(abbrAtEnd,"",L436&amp;"-")&amp;E436&amp;"-"&amp;INDIRECT(OFFSET(element3,MATCH($C436,resources,0)-1,0))&amp;"-"&amp;INDIRECT(OFFSET(element4,MATCH($C436,resources,0)-1,0))&amp;"-"&amp;INDIRECT(OFFSET(element5,MATCH($C436,resources,0)-1,0))&amp;IF(OFFSET(element6,MATCH($C436,resources,0)-1,0)="","","-"&amp;INDIRECT(OFFSET(element6,MATCH($C436,resources,0)-1,0)))&amp;IF(abbrAtEnd,"-"&amp;L436,"")</f>
        <v>#N/A</v>
      </c>
      <c r="N436" s="4" t="str">
        <f t="shared" si="43"/>
        <v>-000</v>
      </c>
      <c r="O436" s="4">
        <f ca="1">IF(totalElements+COUNTIF(Entities!$C$10,"*")+COUNTIF(B436:C436,"*")+COUNTIF(E436:F436,"*")=9,1,0)</f>
        <v>0</v>
      </c>
      <c r="P436" s="4">
        <f>COUNTIF($C$6:C436,C436)</f>
        <v>0</v>
      </c>
      <c r="Q436" s="4">
        <f ca="1">IF(ISNA(M436),0,COUNTIF($M$6:M436,M436))</f>
        <v>0</v>
      </c>
      <c r="R436" s="4" t="e">
        <f t="shared" ca="1" si="42"/>
        <v>#N/A</v>
      </c>
      <c r="S436" s="4">
        <f ca="1">IF(ISNA(M436),0,COUNTIF($R$6:R436,R436))</f>
        <v>0</v>
      </c>
      <c r="T436" s="4" t="e">
        <f t="shared" ca="1" si="41"/>
        <v>#N/A</v>
      </c>
    </row>
    <row r="437" spans="2:20" x14ac:dyDescent="0.3">
      <c r="B437" s="48"/>
      <c r="C437" s="48"/>
      <c r="D437" s="10" t="str">
        <f t="shared" ca="1" si="45"/>
        <v/>
      </c>
      <c r="E437" s="48"/>
      <c r="F437" s="48"/>
      <c r="G437" s="10" t="str">
        <f t="shared" ca="1" si="44"/>
        <v/>
      </c>
      <c r="I437" s="10" t="str">
        <f t="shared" ca="1" si="46"/>
        <v/>
      </c>
      <c r="K437" s="4" t="e">
        <f t="shared" ca="1" si="40"/>
        <v>#N/A</v>
      </c>
      <c r="L437" s="4" t="e">
        <f>VLOOKUP(C437,_resources!B:D,3,0)</f>
        <v>#N/A</v>
      </c>
      <c r="M437" s="4" t="e" cm="1">
        <f t="array" aca="1" ref="M437" ca="1">IF(abbrAtEnd,"",L437&amp;"-")&amp;E437&amp;"-"&amp;INDIRECT(OFFSET(element3,MATCH($C437,resources,0)-1,0))&amp;"-"&amp;INDIRECT(OFFSET(element4,MATCH($C437,resources,0)-1,0))&amp;"-"&amp;INDIRECT(OFFSET(element5,MATCH($C437,resources,0)-1,0))&amp;IF(OFFSET(element6,MATCH($C437,resources,0)-1,0)="","","-"&amp;INDIRECT(OFFSET(element6,MATCH($C437,resources,0)-1,0)))&amp;IF(abbrAtEnd,"-"&amp;L437,"")</f>
        <v>#N/A</v>
      </c>
      <c r="N437" s="4" t="str">
        <f t="shared" si="43"/>
        <v>-000</v>
      </c>
      <c r="O437" s="4">
        <f ca="1">IF(totalElements+COUNTIF(Entities!$C$10,"*")+COUNTIF(B437:C437,"*")+COUNTIF(E437:F437,"*")=9,1,0)</f>
        <v>0</v>
      </c>
      <c r="P437" s="4">
        <f>COUNTIF($C$6:C437,C437)</f>
        <v>0</v>
      </c>
      <c r="Q437" s="4">
        <f ca="1">IF(ISNA(M437),0,COUNTIF($M$6:M437,M437))</f>
        <v>0</v>
      </c>
      <c r="R437" s="4" t="e">
        <f t="shared" ca="1" si="42"/>
        <v>#N/A</v>
      </c>
      <c r="S437" s="4">
        <f ca="1">IF(ISNA(M437),0,COUNTIF($R$6:R437,R437))</f>
        <v>0</v>
      </c>
      <c r="T437" s="4" t="e">
        <f t="shared" ca="1" si="41"/>
        <v>#N/A</v>
      </c>
    </row>
    <row r="438" spans="2:20" x14ac:dyDescent="0.3">
      <c r="B438" s="48"/>
      <c r="C438" s="48"/>
      <c r="D438" s="10" t="str">
        <f t="shared" ca="1" si="45"/>
        <v/>
      </c>
      <c r="E438" s="48"/>
      <c r="F438" s="48"/>
      <c r="G438" s="10" t="str">
        <f t="shared" ca="1" si="44"/>
        <v/>
      </c>
      <c r="I438" s="10" t="str">
        <f t="shared" ca="1" si="46"/>
        <v/>
      </c>
      <c r="K438" s="4" t="e">
        <f t="shared" ca="1" si="40"/>
        <v>#N/A</v>
      </c>
      <c r="L438" s="4" t="e">
        <f>VLOOKUP(C438,_resources!B:D,3,0)</f>
        <v>#N/A</v>
      </c>
      <c r="M438" s="4" t="e" cm="1">
        <f t="array" aca="1" ref="M438" ca="1">IF(abbrAtEnd,"",L438&amp;"-")&amp;E438&amp;"-"&amp;INDIRECT(OFFSET(element3,MATCH($C438,resources,0)-1,0))&amp;"-"&amp;INDIRECT(OFFSET(element4,MATCH($C438,resources,0)-1,0))&amp;"-"&amp;INDIRECT(OFFSET(element5,MATCH($C438,resources,0)-1,0))&amp;IF(OFFSET(element6,MATCH($C438,resources,0)-1,0)="","","-"&amp;INDIRECT(OFFSET(element6,MATCH($C438,resources,0)-1,0)))&amp;IF(abbrAtEnd,"-"&amp;L438,"")</f>
        <v>#N/A</v>
      </c>
      <c r="N438" s="4" t="str">
        <f t="shared" si="43"/>
        <v>-000</v>
      </c>
      <c r="O438" s="4">
        <f ca="1">IF(totalElements+COUNTIF(Entities!$C$10,"*")+COUNTIF(B438:C438,"*")+COUNTIF(E438:F438,"*")=9,1,0)</f>
        <v>0</v>
      </c>
      <c r="P438" s="4">
        <f>COUNTIF($C$6:C438,C438)</f>
        <v>0</v>
      </c>
      <c r="Q438" s="4">
        <f ca="1">IF(ISNA(M438),0,COUNTIF($M$6:M438,M438))</f>
        <v>0</v>
      </c>
      <c r="R438" s="4" t="e">
        <f t="shared" ca="1" si="42"/>
        <v>#N/A</v>
      </c>
      <c r="S438" s="4">
        <f ca="1">IF(ISNA(M438),0,COUNTIF($R$6:R438,R438))</f>
        <v>0</v>
      </c>
      <c r="T438" s="4" t="e">
        <f t="shared" ca="1" si="41"/>
        <v>#N/A</v>
      </c>
    </row>
    <row r="439" spans="2:20" x14ac:dyDescent="0.3">
      <c r="B439" s="48"/>
      <c r="C439" s="48"/>
      <c r="D439" s="10" t="str">
        <f t="shared" ca="1" si="45"/>
        <v/>
      </c>
      <c r="E439" s="48"/>
      <c r="F439" s="48"/>
      <c r="G439" s="10" t="str">
        <f t="shared" ca="1" si="44"/>
        <v/>
      </c>
      <c r="I439" s="10" t="str">
        <f t="shared" ca="1" si="46"/>
        <v/>
      </c>
      <c r="K439" s="4" t="e">
        <f t="shared" ca="1" si="40"/>
        <v>#N/A</v>
      </c>
      <c r="L439" s="4" t="e">
        <f>VLOOKUP(C439,_resources!B:D,3,0)</f>
        <v>#N/A</v>
      </c>
      <c r="M439" s="4" t="e" cm="1">
        <f t="array" aca="1" ref="M439" ca="1">IF(abbrAtEnd,"",L439&amp;"-")&amp;E439&amp;"-"&amp;INDIRECT(OFFSET(element3,MATCH($C439,resources,0)-1,0))&amp;"-"&amp;INDIRECT(OFFSET(element4,MATCH($C439,resources,0)-1,0))&amp;"-"&amp;INDIRECT(OFFSET(element5,MATCH($C439,resources,0)-1,0))&amp;IF(OFFSET(element6,MATCH($C439,resources,0)-1,0)="","","-"&amp;INDIRECT(OFFSET(element6,MATCH($C439,resources,0)-1,0)))&amp;IF(abbrAtEnd,"-"&amp;L439,"")</f>
        <v>#N/A</v>
      </c>
      <c r="N439" s="4" t="str">
        <f t="shared" si="43"/>
        <v>-000</v>
      </c>
      <c r="O439" s="4">
        <f ca="1">IF(totalElements+COUNTIF(Entities!$C$10,"*")+COUNTIF(B439:C439,"*")+COUNTIF(E439:F439,"*")=9,1,0)</f>
        <v>0</v>
      </c>
      <c r="P439" s="4">
        <f>COUNTIF($C$6:C439,C439)</f>
        <v>0</v>
      </c>
      <c r="Q439" s="4">
        <f ca="1">IF(ISNA(M439),0,COUNTIF($M$6:M439,M439))</f>
        <v>0</v>
      </c>
      <c r="R439" s="4" t="e">
        <f t="shared" ca="1" si="42"/>
        <v>#N/A</v>
      </c>
      <c r="S439" s="4">
        <f ca="1">IF(ISNA(M439),0,COUNTIF($R$6:R439,R439))</f>
        <v>0</v>
      </c>
      <c r="T439" s="4" t="e">
        <f t="shared" ca="1" si="41"/>
        <v>#N/A</v>
      </c>
    </row>
    <row r="440" spans="2:20" x14ac:dyDescent="0.3">
      <c r="B440" s="48"/>
      <c r="C440" s="48"/>
      <c r="D440" s="10" t="str">
        <f t="shared" ca="1" si="45"/>
        <v/>
      </c>
      <c r="E440" s="48"/>
      <c r="F440" s="48"/>
      <c r="G440" s="10" t="str">
        <f t="shared" ca="1" si="44"/>
        <v/>
      </c>
      <c r="I440" s="10" t="str">
        <f t="shared" ca="1" si="46"/>
        <v/>
      </c>
      <c r="K440" s="4" t="e">
        <f t="shared" ca="1" si="40"/>
        <v>#N/A</v>
      </c>
      <c r="L440" s="4" t="e">
        <f>VLOOKUP(C440,_resources!B:D,3,0)</f>
        <v>#N/A</v>
      </c>
      <c r="M440" s="4" t="e" cm="1">
        <f t="array" aca="1" ref="M440" ca="1">IF(abbrAtEnd,"",L440&amp;"-")&amp;E440&amp;"-"&amp;INDIRECT(OFFSET(element3,MATCH($C440,resources,0)-1,0))&amp;"-"&amp;INDIRECT(OFFSET(element4,MATCH($C440,resources,0)-1,0))&amp;"-"&amp;INDIRECT(OFFSET(element5,MATCH($C440,resources,0)-1,0))&amp;IF(OFFSET(element6,MATCH($C440,resources,0)-1,0)="","","-"&amp;INDIRECT(OFFSET(element6,MATCH($C440,resources,0)-1,0)))&amp;IF(abbrAtEnd,"-"&amp;L440,"")</f>
        <v>#N/A</v>
      </c>
      <c r="N440" s="4" t="str">
        <f t="shared" si="43"/>
        <v>-000</v>
      </c>
      <c r="O440" s="4">
        <f ca="1">IF(totalElements+COUNTIF(Entities!$C$10,"*")+COUNTIF(B440:C440,"*")+COUNTIF(E440:F440,"*")=9,1,0)</f>
        <v>0</v>
      </c>
      <c r="P440" s="4">
        <f>COUNTIF($C$6:C440,C440)</f>
        <v>0</v>
      </c>
      <c r="Q440" s="4">
        <f ca="1">IF(ISNA(M440),0,COUNTIF($M$6:M440,M440))</f>
        <v>0</v>
      </c>
      <c r="R440" s="4" t="e">
        <f t="shared" ca="1" si="42"/>
        <v>#N/A</v>
      </c>
      <c r="S440" s="4">
        <f ca="1">IF(ISNA(M440),0,COUNTIF($R$6:R440,R440))</f>
        <v>0</v>
      </c>
      <c r="T440" s="4" t="e">
        <f t="shared" ca="1" si="41"/>
        <v>#N/A</v>
      </c>
    </row>
    <row r="441" spans="2:20" x14ac:dyDescent="0.3">
      <c r="B441" s="48"/>
      <c r="C441" s="48"/>
      <c r="D441" s="10" t="str">
        <f t="shared" ca="1" si="45"/>
        <v/>
      </c>
      <c r="E441" s="48"/>
      <c r="F441" s="48"/>
      <c r="G441" s="10" t="str">
        <f t="shared" ca="1" si="44"/>
        <v/>
      </c>
      <c r="I441" s="10" t="str">
        <f t="shared" ca="1" si="46"/>
        <v/>
      </c>
      <c r="K441" s="4" t="e">
        <f t="shared" ca="1" si="40"/>
        <v>#N/A</v>
      </c>
      <c r="L441" s="4" t="e">
        <f>VLOOKUP(C441,_resources!B:D,3,0)</f>
        <v>#N/A</v>
      </c>
      <c r="M441" s="4" t="e" cm="1">
        <f t="array" aca="1" ref="M441" ca="1">IF(abbrAtEnd,"",L441&amp;"-")&amp;E441&amp;"-"&amp;INDIRECT(OFFSET(element3,MATCH($C441,resources,0)-1,0))&amp;"-"&amp;INDIRECT(OFFSET(element4,MATCH($C441,resources,0)-1,0))&amp;"-"&amp;INDIRECT(OFFSET(element5,MATCH($C441,resources,0)-1,0))&amp;IF(OFFSET(element6,MATCH($C441,resources,0)-1,0)="","","-"&amp;INDIRECT(OFFSET(element6,MATCH($C441,resources,0)-1,0)))&amp;IF(abbrAtEnd,"-"&amp;L441,"")</f>
        <v>#N/A</v>
      </c>
      <c r="N441" s="4" t="str">
        <f t="shared" si="43"/>
        <v>-000</v>
      </c>
      <c r="O441" s="4">
        <f ca="1">IF(totalElements+COUNTIF(Entities!$C$10,"*")+COUNTIF(B441:C441,"*")+COUNTIF(E441:F441,"*")=9,1,0)</f>
        <v>0</v>
      </c>
      <c r="P441" s="4">
        <f>COUNTIF($C$6:C441,C441)</f>
        <v>0</v>
      </c>
      <c r="Q441" s="4">
        <f ca="1">IF(ISNA(M441),0,COUNTIF($M$6:M441,M441))</f>
        <v>0</v>
      </c>
      <c r="R441" s="4" t="e">
        <f t="shared" ca="1" si="42"/>
        <v>#N/A</v>
      </c>
      <c r="S441" s="4">
        <f ca="1">IF(ISNA(M441),0,COUNTIF($R$6:R441,R441))</f>
        <v>0</v>
      </c>
      <c r="T441" s="4" t="e">
        <f t="shared" ca="1" si="41"/>
        <v>#N/A</v>
      </c>
    </row>
    <row r="442" spans="2:20" x14ac:dyDescent="0.3">
      <c r="B442" s="48"/>
      <c r="C442" s="48"/>
      <c r="D442" s="10" t="str">
        <f t="shared" ca="1" si="45"/>
        <v/>
      </c>
      <c r="E442" s="48"/>
      <c r="F442" s="48"/>
      <c r="G442" s="10" t="str">
        <f t="shared" ca="1" si="44"/>
        <v/>
      </c>
      <c r="I442" s="10" t="str">
        <f t="shared" ca="1" si="46"/>
        <v/>
      </c>
      <c r="K442" s="4" t="e">
        <f t="shared" ca="1" si="40"/>
        <v>#N/A</v>
      </c>
      <c r="L442" s="4" t="e">
        <f>VLOOKUP(C442,_resources!B:D,3,0)</f>
        <v>#N/A</v>
      </c>
      <c r="M442" s="4" t="e" cm="1">
        <f t="array" aca="1" ref="M442" ca="1">IF(abbrAtEnd,"",L442&amp;"-")&amp;E442&amp;"-"&amp;INDIRECT(OFFSET(element3,MATCH($C442,resources,0)-1,0))&amp;"-"&amp;INDIRECT(OFFSET(element4,MATCH($C442,resources,0)-1,0))&amp;"-"&amp;INDIRECT(OFFSET(element5,MATCH($C442,resources,0)-1,0))&amp;IF(OFFSET(element6,MATCH($C442,resources,0)-1,0)="","","-"&amp;INDIRECT(OFFSET(element6,MATCH($C442,resources,0)-1,0)))&amp;IF(abbrAtEnd,"-"&amp;L442,"")</f>
        <v>#N/A</v>
      </c>
      <c r="N442" s="4" t="str">
        <f t="shared" si="43"/>
        <v>-000</v>
      </c>
      <c r="O442" s="4">
        <f ca="1">IF(totalElements+COUNTIF(Entities!$C$10,"*")+COUNTIF(B442:C442,"*")+COUNTIF(E442:F442,"*")=9,1,0)</f>
        <v>0</v>
      </c>
      <c r="P442" s="4">
        <f>COUNTIF($C$6:C442,C442)</f>
        <v>0</v>
      </c>
      <c r="Q442" s="4">
        <f ca="1">IF(ISNA(M442),0,COUNTIF($M$6:M442,M442))</f>
        <v>0</v>
      </c>
      <c r="R442" s="4" t="e">
        <f t="shared" ca="1" si="42"/>
        <v>#N/A</v>
      </c>
      <c r="S442" s="4">
        <f ca="1">IF(ISNA(M442),0,COUNTIF($R$6:R442,R442))</f>
        <v>0</v>
      </c>
      <c r="T442" s="4" t="e">
        <f t="shared" ca="1" si="41"/>
        <v>#N/A</v>
      </c>
    </row>
    <row r="443" spans="2:20" x14ac:dyDescent="0.3">
      <c r="B443" s="48"/>
      <c r="C443" s="48"/>
      <c r="D443" s="10" t="str">
        <f t="shared" ca="1" si="45"/>
        <v/>
      </c>
      <c r="E443" s="48"/>
      <c r="F443" s="48"/>
      <c r="G443" s="10" t="str">
        <f t="shared" ca="1" si="44"/>
        <v/>
      </c>
      <c r="I443" s="10" t="str">
        <f t="shared" ca="1" si="46"/>
        <v/>
      </c>
      <c r="K443" s="4" t="e">
        <f t="shared" ca="1" si="40"/>
        <v>#N/A</v>
      </c>
      <c r="L443" s="4" t="e">
        <f>VLOOKUP(C443,_resources!B:D,3,0)</f>
        <v>#N/A</v>
      </c>
      <c r="M443" s="4" t="e" cm="1">
        <f t="array" aca="1" ref="M443" ca="1">IF(abbrAtEnd,"",L443&amp;"-")&amp;E443&amp;"-"&amp;INDIRECT(OFFSET(element3,MATCH($C443,resources,0)-1,0))&amp;"-"&amp;INDIRECT(OFFSET(element4,MATCH($C443,resources,0)-1,0))&amp;"-"&amp;INDIRECT(OFFSET(element5,MATCH($C443,resources,0)-1,0))&amp;IF(OFFSET(element6,MATCH($C443,resources,0)-1,0)="","","-"&amp;INDIRECT(OFFSET(element6,MATCH($C443,resources,0)-1,0)))&amp;IF(abbrAtEnd,"-"&amp;L443,"")</f>
        <v>#N/A</v>
      </c>
      <c r="N443" s="4" t="str">
        <f t="shared" si="43"/>
        <v>-000</v>
      </c>
      <c r="O443" s="4">
        <f ca="1">IF(totalElements+COUNTIF(Entities!$C$10,"*")+COUNTIF(B443:C443,"*")+COUNTIF(E443:F443,"*")=9,1,0)</f>
        <v>0</v>
      </c>
      <c r="P443" s="4">
        <f>COUNTIF($C$6:C443,C443)</f>
        <v>0</v>
      </c>
      <c r="Q443" s="4">
        <f ca="1">IF(ISNA(M443),0,COUNTIF($M$6:M443,M443))</f>
        <v>0</v>
      </c>
      <c r="R443" s="4" t="e">
        <f t="shared" ca="1" si="42"/>
        <v>#N/A</v>
      </c>
      <c r="S443" s="4">
        <f ca="1">IF(ISNA(M443),0,COUNTIF($R$6:R443,R443))</f>
        <v>0</v>
      </c>
      <c r="T443" s="4" t="e">
        <f t="shared" ca="1" si="41"/>
        <v>#N/A</v>
      </c>
    </row>
    <row r="444" spans="2:20" x14ac:dyDescent="0.3">
      <c r="B444" s="48"/>
      <c r="C444" s="48"/>
      <c r="D444" s="10" t="str">
        <f t="shared" ca="1" si="45"/>
        <v/>
      </c>
      <c r="E444" s="48"/>
      <c r="F444" s="48"/>
      <c r="G444" s="10" t="str">
        <f t="shared" ca="1" si="44"/>
        <v/>
      </c>
      <c r="I444" s="10" t="str">
        <f t="shared" ca="1" si="46"/>
        <v/>
      </c>
      <c r="K444" s="4" t="e">
        <f t="shared" ca="1" si="40"/>
        <v>#N/A</v>
      </c>
      <c r="L444" s="4" t="e">
        <f>VLOOKUP(C444,_resources!B:D,3,0)</f>
        <v>#N/A</v>
      </c>
      <c r="M444" s="4" t="e" cm="1">
        <f t="array" aca="1" ref="M444" ca="1">IF(abbrAtEnd,"",L444&amp;"-")&amp;E444&amp;"-"&amp;INDIRECT(OFFSET(element3,MATCH($C444,resources,0)-1,0))&amp;"-"&amp;INDIRECT(OFFSET(element4,MATCH($C444,resources,0)-1,0))&amp;"-"&amp;INDIRECT(OFFSET(element5,MATCH($C444,resources,0)-1,0))&amp;IF(OFFSET(element6,MATCH($C444,resources,0)-1,0)="","","-"&amp;INDIRECT(OFFSET(element6,MATCH($C444,resources,0)-1,0)))&amp;IF(abbrAtEnd,"-"&amp;L444,"")</f>
        <v>#N/A</v>
      </c>
      <c r="N444" s="4" t="str">
        <f t="shared" si="43"/>
        <v>-000</v>
      </c>
      <c r="O444" s="4">
        <f ca="1">IF(totalElements+COUNTIF(Entities!$C$10,"*")+COUNTIF(B444:C444,"*")+COUNTIF(E444:F444,"*")=9,1,0)</f>
        <v>0</v>
      </c>
      <c r="P444" s="4">
        <f>COUNTIF($C$6:C444,C444)</f>
        <v>0</v>
      </c>
      <c r="Q444" s="4">
        <f ca="1">IF(ISNA(M444),0,COUNTIF($M$6:M444,M444))</f>
        <v>0</v>
      </c>
      <c r="R444" s="4" t="e">
        <f t="shared" ca="1" si="42"/>
        <v>#N/A</v>
      </c>
      <c r="S444" s="4">
        <f ca="1">IF(ISNA(M444),0,COUNTIF($R$6:R444,R444))</f>
        <v>0</v>
      </c>
      <c r="T444" s="4" t="e">
        <f t="shared" ca="1" si="41"/>
        <v>#N/A</v>
      </c>
    </row>
    <row r="445" spans="2:20" x14ac:dyDescent="0.3">
      <c r="B445" s="48"/>
      <c r="C445" s="48"/>
      <c r="D445" s="10" t="str">
        <f t="shared" ca="1" si="45"/>
        <v/>
      </c>
      <c r="E445" s="48"/>
      <c r="F445" s="48"/>
      <c r="G445" s="10" t="str">
        <f t="shared" ca="1" si="44"/>
        <v/>
      </c>
      <c r="I445" s="10" t="str">
        <f t="shared" ca="1" si="46"/>
        <v/>
      </c>
      <c r="K445" s="4" t="e">
        <f t="shared" ca="1" si="40"/>
        <v>#N/A</v>
      </c>
      <c r="L445" s="4" t="e">
        <f>VLOOKUP(C445,_resources!B:D,3,0)</f>
        <v>#N/A</v>
      </c>
      <c r="M445" s="4" t="e" cm="1">
        <f t="array" aca="1" ref="M445" ca="1">IF(abbrAtEnd,"",L445&amp;"-")&amp;E445&amp;"-"&amp;INDIRECT(OFFSET(element3,MATCH($C445,resources,0)-1,0))&amp;"-"&amp;INDIRECT(OFFSET(element4,MATCH($C445,resources,0)-1,0))&amp;"-"&amp;INDIRECT(OFFSET(element5,MATCH($C445,resources,0)-1,0))&amp;IF(OFFSET(element6,MATCH($C445,resources,0)-1,0)="","","-"&amp;INDIRECT(OFFSET(element6,MATCH($C445,resources,0)-1,0)))&amp;IF(abbrAtEnd,"-"&amp;L445,"")</f>
        <v>#N/A</v>
      </c>
      <c r="N445" s="4" t="str">
        <f t="shared" si="43"/>
        <v>-000</v>
      </c>
      <c r="O445" s="4">
        <f ca="1">IF(totalElements+COUNTIF(Entities!$C$10,"*")+COUNTIF(B445:C445,"*")+COUNTIF(E445:F445,"*")=9,1,0)</f>
        <v>0</v>
      </c>
      <c r="P445" s="4">
        <f>COUNTIF($C$6:C445,C445)</f>
        <v>0</v>
      </c>
      <c r="Q445" s="4">
        <f ca="1">IF(ISNA(M445),0,COUNTIF($M$6:M445,M445))</f>
        <v>0</v>
      </c>
      <c r="R445" s="4" t="e">
        <f t="shared" ca="1" si="42"/>
        <v>#N/A</v>
      </c>
      <c r="S445" s="4">
        <f ca="1">IF(ISNA(M445),0,COUNTIF($R$6:R445,R445))</f>
        <v>0</v>
      </c>
      <c r="T445" s="4" t="e">
        <f t="shared" ca="1" si="41"/>
        <v>#N/A</v>
      </c>
    </row>
    <row r="446" spans="2:20" x14ac:dyDescent="0.3">
      <c r="B446" s="48"/>
      <c r="C446" s="48"/>
      <c r="D446" s="10" t="str">
        <f t="shared" ca="1" si="45"/>
        <v/>
      </c>
      <c r="E446" s="48"/>
      <c r="F446" s="48"/>
      <c r="G446" s="10" t="str">
        <f t="shared" ca="1" si="44"/>
        <v/>
      </c>
      <c r="I446" s="10" t="str">
        <f t="shared" ca="1" si="46"/>
        <v/>
      </c>
      <c r="K446" s="4" t="e">
        <f t="shared" ca="1" si="40"/>
        <v>#N/A</v>
      </c>
      <c r="L446" s="4" t="e">
        <f>VLOOKUP(C446,_resources!B:D,3,0)</f>
        <v>#N/A</v>
      </c>
      <c r="M446" s="4" t="e" cm="1">
        <f t="array" aca="1" ref="M446" ca="1">IF(abbrAtEnd,"",L446&amp;"-")&amp;E446&amp;"-"&amp;INDIRECT(OFFSET(element3,MATCH($C446,resources,0)-1,0))&amp;"-"&amp;INDIRECT(OFFSET(element4,MATCH($C446,resources,0)-1,0))&amp;"-"&amp;INDIRECT(OFFSET(element5,MATCH($C446,resources,0)-1,0))&amp;IF(OFFSET(element6,MATCH($C446,resources,0)-1,0)="","","-"&amp;INDIRECT(OFFSET(element6,MATCH($C446,resources,0)-1,0)))&amp;IF(abbrAtEnd,"-"&amp;L446,"")</f>
        <v>#N/A</v>
      </c>
      <c r="N446" s="4" t="str">
        <f t="shared" si="43"/>
        <v>-000</v>
      </c>
      <c r="O446" s="4">
        <f ca="1">IF(totalElements+COUNTIF(Entities!$C$10,"*")+COUNTIF(B446:C446,"*")+COUNTIF(E446:F446,"*")=9,1,0)</f>
        <v>0</v>
      </c>
      <c r="P446" s="4">
        <f>COUNTIF($C$6:C446,C446)</f>
        <v>0</v>
      </c>
      <c r="Q446" s="4">
        <f ca="1">IF(ISNA(M446),0,COUNTIF($M$6:M446,M446))</f>
        <v>0</v>
      </c>
      <c r="R446" s="4" t="e">
        <f t="shared" ca="1" si="42"/>
        <v>#N/A</v>
      </c>
      <c r="S446" s="4">
        <f ca="1">IF(ISNA(M446),0,COUNTIF($R$6:R446,R446))</f>
        <v>0</v>
      </c>
      <c r="T446" s="4" t="e">
        <f t="shared" ca="1" si="41"/>
        <v>#N/A</v>
      </c>
    </row>
    <row r="447" spans="2:20" x14ac:dyDescent="0.3">
      <c r="B447" s="48"/>
      <c r="C447" s="48"/>
      <c r="D447" s="10" t="str">
        <f t="shared" ca="1" si="45"/>
        <v/>
      </c>
      <c r="E447" s="48"/>
      <c r="F447" s="48"/>
      <c r="G447" s="10" t="str">
        <f t="shared" ca="1" si="44"/>
        <v/>
      </c>
      <c r="I447" s="10" t="str">
        <f t="shared" ca="1" si="46"/>
        <v/>
      </c>
      <c r="K447" s="4" t="e">
        <f t="shared" ca="1" si="40"/>
        <v>#N/A</v>
      </c>
      <c r="L447" s="4" t="e">
        <f>VLOOKUP(C447,_resources!B:D,3,0)</f>
        <v>#N/A</v>
      </c>
      <c r="M447" s="4" t="e" cm="1">
        <f t="array" aca="1" ref="M447" ca="1">IF(abbrAtEnd,"",L447&amp;"-")&amp;E447&amp;"-"&amp;INDIRECT(OFFSET(element3,MATCH($C447,resources,0)-1,0))&amp;"-"&amp;INDIRECT(OFFSET(element4,MATCH($C447,resources,0)-1,0))&amp;"-"&amp;INDIRECT(OFFSET(element5,MATCH($C447,resources,0)-1,0))&amp;IF(OFFSET(element6,MATCH($C447,resources,0)-1,0)="","","-"&amp;INDIRECT(OFFSET(element6,MATCH($C447,resources,0)-1,0)))&amp;IF(abbrAtEnd,"-"&amp;L447,"")</f>
        <v>#N/A</v>
      </c>
      <c r="N447" s="4" t="str">
        <f t="shared" si="43"/>
        <v>-000</v>
      </c>
      <c r="O447" s="4">
        <f ca="1">IF(totalElements+COUNTIF(Entities!$C$10,"*")+COUNTIF(B447:C447,"*")+COUNTIF(E447:F447,"*")=9,1,0)</f>
        <v>0</v>
      </c>
      <c r="P447" s="4">
        <f>COUNTIF($C$6:C447,C447)</f>
        <v>0</v>
      </c>
      <c r="Q447" s="4">
        <f ca="1">IF(ISNA(M447),0,COUNTIF($M$6:M447,M447))</f>
        <v>0</v>
      </c>
      <c r="R447" s="4" t="e">
        <f t="shared" ca="1" si="42"/>
        <v>#N/A</v>
      </c>
      <c r="S447" s="4">
        <f ca="1">IF(ISNA(M447),0,COUNTIF($R$6:R447,R447))</f>
        <v>0</v>
      </c>
      <c r="T447" s="4" t="e">
        <f t="shared" ca="1" si="41"/>
        <v>#N/A</v>
      </c>
    </row>
    <row r="448" spans="2:20" x14ac:dyDescent="0.3">
      <c r="B448" s="48"/>
      <c r="C448" s="48"/>
      <c r="D448" s="10" t="str">
        <f t="shared" ca="1" si="45"/>
        <v/>
      </c>
      <c r="E448" s="48"/>
      <c r="F448" s="48"/>
      <c r="G448" s="10" t="str">
        <f t="shared" ca="1" si="44"/>
        <v/>
      </c>
      <c r="I448" s="10" t="str">
        <f t="shared" ca="1" si="46"/>
        <v/>
      </c>
      <c r="K448" s="4" t="e">
        <f t="shared" ca="1" si="40"/>
        <v>#N/A</v>
      </c>
      <c r="L448" s="4" t="e">
        <f>VLOOKUP(C448,_resources!B:D,3,0)</f>
        <v>#N/A</v>
      </c>
      <c r="M448" s="4" t="e" cm="1">
        <f t="array" aca="1" ref="M448" ca="1">IF(abbrAtEnd,"",L448&amp;"-")&amp;E448&amp;"-"&amp;INDIRECT(OFFSET(element3,MATCH($C448,resources,0)-1,0))&amp;"-"&amp;INDIRECT(OFFSET(element4,MATCH($C448,resources,0)-1,0))&amp;"-"&amp;INDIRECT(OFFSET(element5,MATCH($C448,resources,0)-1,0))&amp;IF(OFFSET(element6,MATCH($C448,resources,0)-1,0)="","","-"&amp;INDIRECT(OFFSET(element6,MATCH($C448,resources,0)-1,0)))&amp;IF(abbrAtEnd,"-"&amp;L448,"")</f>
        <v>#N/A</v>
      </c>
      <c r="N448" s="4" t="str">
        <f t="shared" si="43"/>
        <v>-000</v>
      </c>
      <c r="O448" s="4">
        <f ca="1">IF(totalElements+COUNTIF(Entities!$C$10,"*")+COUNTIF(B448:C448,"*")+COUNTIF(E448:F448,"*")=9,1,0)</f>
        <v>0</v>
      </c>
      <c r="P448" s="4">
        <f>COUNTIF($C$6:C448,C448)</f>
        <v>0</v>
      </c>
      <c r="Q448" s="4">
        <f ca="1">IF(ISNA(M448),0,COUNTIF($M$6:M448,M448))</f>
        <v>0</v>
      </c>
      <c r="R448" s="4" t="e">
        <f t="shared" ca="1" si="42"/>
        <v>#N/A</v>
      </c>
      <c r="S448" s="4">
        <f ca="1">IF(ISNA(M448),0,COUNTIF($R$6:R448,R448))</f>
        <v>0</v>
      </c>
      <c r="T448" s="4" t="e">
        <f t="shared" ca="1" si="41"/>
        <v>#N/A</v>
      </c>
    </row>
    <row r="449" spans="2:20" x14ac:dyDescent="0.3">
      <c r="B449" s="48"/>
      <c r="C449" s="48"/>
      <c r="D449" s="10" t="str">
        <f t="shared" ca="1" si="45"/>
        <v/>
      </c>
      <c r="E449" s="48"/>
      <c r="F449" s="48"/>
      <c r="G449" s="10" t="str">
        <f t="shared" ca="1" si="44"/>
        <v/>
      </c>
      <c r="I449" s="10" t="str">
        <f t="shared" ca="1" si="46"/>
        <v/>
      </c>
      <c r="K449" s="4" t="e">
        <f t="shared" ca="1" si="40"/>
        <v>#N/A</v>
      </c>
      <c r="L449" s="4" t="e">
        <f>VLOOKUP(C449,_resources!B:D,3,0)</f>
        <v>#N/A</v>
      </c>
      <c r="M449" s="4" t="e" cm="1">
        <f t="array" aca="1" ref="M449" ca="1">IF(abbrAtEnd,"",L449&amp;"-")&amp;E449&amp;"-"&amp;INDIRECT(OFFSET(element3,MATCH($C449,resources,0)-1,0))&amp;"-"&amp;INDIRECT(OFFSET(element4,MATCH($C449,resources,0)-1,0))&amp;"-"&amp;INDIRECT(OFFSET(element5,MATCH($C449,resources,0)-1,0))&amp;IF(OFFSET(element6,MATCH($C449,resources,0)-1,0)="","","-"&amp;INDIRECT(OFFSET(element6,MATCH($C449,resources,0)-1,0)))&amp;IF(abbrAtEnd,"-"&amp;L449,"")</f>
        <v>#N/A</v>
      </c>
      <c r="N449" s="4" t="str">
        <f t="shared" si="43"/>
        <v>-000</v>
      </c>
      <c r="O449" s="4">
        <f ca="1">IF(totalElements+COUNTIF(Entities!$C$10,"*")+COUNTIF(B449:C449,"*")+COUNTIF(E449:F449,"*")=9,1,0)</f>
        <v>0</v>
      </c>
      <c r="P449" s="4">
        <f>COUNTIF($C$6:C449,C449)</f>
        <v>0</v>
      </c>
      <c r="Q449" s="4">
        <f ca="1">IF(ISNA(M449),0,COUNTIF($M$6:M449,M449))</f>
        <v>0</v>
      </c>
      <c r="R449" s="4" t="e">
        <f t="shared" ca="1" si="42"/>
        <v>#N/A</v>
      </c>
      <c r="S449" s="4">
        <f ca="1">IF(ISNA(M449),0,COUNTIF($R$6:R449,R449))</f>
        <v>0</v>
      </c>
      <c r="T449" s="4" t="e">
        <f t="shared" ca="1" si="41"/>
        <v>#N/A</v>
      </c>
    </row>
    <row r="450" spans="2:20" x14ac:dyDescent="0.3">
      <c r="B450" s="48"/>
      <c r="C450" s="48"/>
      <c r="D450" s="10" t="str">
        <f t="shared" ca="1" si="45"/>
        <v/>
      </c>
      <c r="E450" s="48"/>
      <c r="F450" s="48"/>
      <c r="G450" s="10" t="str">
        <f t="shared" ca="1" si="44"/>
        <v/>
      </c>
      <c r="I450" s="10" t="str">
        <f t="shared" ca="1" si="46"/>
        <v/>
      </c>
      <c r="K450" s="4" t="e">
        <f t="shared" ca="1" si="40"/>
        <v>#N/A</v>
      </c>
      <c r="L450" s="4" t="e">
        <f>VLOOKUP(C450,_resources!B:D,3,0)</f>
        <v>#N/A</v>
      </c>
      <c r="M450" s="4" t="e" cm="1">
        <f t="array" aca="1" ref="M450" ca="1">IF(abbrAtEnd,"",L450&amp;"-")&amp;E450&amp;"-"&amp;INDIRECT(OFFSET(element3,MATCH($C450,resources,0)-1,0))&amp;"-"&amp;INDIRECT(OFFSET(element4,MATCH($C450,resources,0)-1,0))&amp;"-"&amp;INDIRECT(OFFSET(element5,MATCH($C450,resources,0)-1,0))&amp;IF(OFFSET(element6,MATCH($C450,resources,0)-1,0)="","","-"&amp;INDIRECT(OFFSET(element6,MATCH($C450,resources,0)-1,0)))&amp;IF(abbrAtEnd,"-"&amp;L450,"")</f>
        <v>#N/A</v>
      </c>
      <c r="N450" s="4" t="str">
        <f t="shared" si="43"/>
        <v>-000</v>
      </c>
      <c r="O450" s="4">
        <f ca="1">IF(totalElements+COUNTIF(Entities!$C$10,"*")+COUNTIF(B450:C450,"*")+COUNTIF(E450:F450,"*")=9,1,0)</f>
        <v>0</v>
      </c>
      <c r="P450" s="4">
        <f>COUNTIF($C$6:C450,C450)</f>
        <v>0</v>
      </c>
      <c r="Q450" s="4">
        <f ca="1">IF(ISNA(M450),0,COUNTIF($M$6:M450,M450))</f>
        <v>0</v>
      </c>
      <c r="R450" s="4" t="e">
        <f t="shared" ca="1" si="42"/>
        <v>#N/A</v>
      </c>
      <c r="S450" s="4">
        <f ca="1">IF(ISNA(M450),0,COUNTIF($R$6:R450,R450))</f>
        <v>0</v>
      </c>
      <c r="T450" s="4" t="e">
        <f t="shared" ca="1" si="41"/>
        <v>#N/A</v>
      </c>
    </row>
    <row r="451" spans="2:20" x14ac:dyDescent="0.3">
      <c r="B451" s="48"/>
      <c r="C451" s="48"/>
      <c r="D451" s="10" t="str">
        <f t="shared" ca="1" si="45"/>
        <v/>
      </c>
      <c r="E451" s="48"/>
      <c r="F451" s="48"/>
      <c r="G451" s="10" t="str">
        <f t="shared" ca="1" si="44"/>
        <v/>
      </c>
      <c r="I451" s="10" t="str">
        <f t="shared" ca="1" si="46"/>
        <v/>
      </c>
      <c r="K451" s="4" t="e">
        <f t="shared" ca="1" si="40"/>
        <v>#N/A</v>
      </c>
      <c r="L451" s="4" t="e">
        <f>VLOOKUP(C451,_resources!B:D,3,0)</f>
        <v>#N/A</v>
      </c>
      <c r="M451" s="4" t="e" cm="1">
        <f t="array" aca="1" ref="M451" ca="1">IF(abbrAtEnd,"",L451&amp;"-")&amp;E451&amp;"-"&amp;INDIRECT(OFFSET(element3,MATCH($C451,resources,0)-1,0))&amp;"-"&amp;INDIRECT(OFFSET(element4,MATCH($C451,resources,0)-1,0))&amp;"-"&amp;INDIRECT(OFFSET(element5,MATCH($C451,resources,0)-1,0))&amp;IF(OFFSET(element6,MATCH($C451,resources,0)-1,0)="","","-"&amp;INDIRECT(OFFSET(element6,MATCH($C451,resources,0)-1,0)))&amp;IF(abbrAtEnd,"-"&amp;L451,"")</f>
        <v>#N/A</v>
      </c>
      <c r="N451" s="4" t="str">
        <f t="shared" si="43"/>
        <v>-000</v>
      </c>
      <c r="O451" s="4">
        <f ca="1">IF(totalElements+COUNTIF(Entities!$C$10,"*")+COUNTIF(B451:C451,"*")+COUNTIF(E451:F451,"*")=9,1,0)</f>
        <v>0</v>
      </c>
      <c r="P451" s="4">
        <f>COUNTIF($C$6:C451,C451)</f>
        <v>0</v>
      </c>
      <c r="Q451" s="4">
        <f ca="1">IF(ISNA(M451),0,COUNTIF($M$6:M451,M451))</f>
        <v>0</v>
      </c>
      <c r="R451" s="4" t="e">
        <f t="shared" ca="1" si="42"/>
        <v>#N/A</v>
      </c>
      <c r="S451" s="4">
        <f ca="1">IF(ISNA(M451),0,COUNTIF($R$6:R451,R451))</f>
        <v>0</v>
      </c>
      <c r="T451" s="4" t="e">
        <f t="shared" ca="1" si="41"/>
        <v>#N/A</v>
      </c>
    </row>
    <row r="452" spans="2:20" x14ac:dyDescent="0.3">
      <c r="B452" s="48"/>
      <c r="C452" s="48"/>
      <c r="D452" s="10" t="str">
        <f t="shared" ca="1" si="45"/>
        <v/>
      </c>
      <c r="E452" s="48"/>
      <c r="F452" s="48"/>
      <c r="G452" s="10" t="str">
        <f t="shared" ca="1" si="44"/>
        <v/>
      </c>
      <c r="I452" s="10" t="str">
        <f t="shared" ca="1" si="46"/>
        <v/>
      </c>
      <c r="K452" s="4" t="e">
        <f t="shared" ca="1" si="40"/>
        <v>#N/A</v>
      </c>
      <c r="L452" s="4" t="e">
        <f>VLOOKUP(C452,_resources!B:D,3,0)</f>
        <v>#N/A</v>
      </c>
      <c r="M452" s="4" t="e" cm="1">
        <f t="array" aca="1" ref="M452" ca="1">IF(abbrAtEnd,"",L452&amp;"-")&amp;E452&amp;"-"&amp;INDIRECT(OFFSET(element3,MATCH($C452,resources,0)-1,0))&amp;"-"&amp;INDIRECT(OFFSET(element4,MATCH($C452,resources,0)-1,0))&amp;"-"&amp;INDIRECT(OFFSET(element5,MATCH($C452,resources,0)-1,0))&amp;IF(OFFSET(element6,MATCH($C452,resources,0)-1,0)="","","-"&amp;INDIRECT(OFFSET(element6,MATCH($C452,resources,0)-1,0)))&amp;IF(abbrAtEnd,"-"&amp;L452,"")</f>
        <v>#N/A</v>
      </c>
      <c r="N452" s="4" t="str">
        <f t="shared" si="43"/>
        <v>-000</v>
      </c>
      <c r="O452" s="4">
        <f ca="1">IF(totalElements+COUNTIF(Entities!$C$10,"*")+COUNTIF(B452:C452,"*")+COUNTIF(E452:F452,"*")=9,1,0)</f>
        <v>0</v>
      </c>
      <c r="P452" s="4">
        <f>COUNTIF($C$6:C452,C452)</f>
        <v>0</v>
      </c>
      <c r="Q452" s="4">
        <f ca="1">IF(ISNA(M452),0,COUNTIF($M$6:M452,M452))</f>
        <v>0</v>
      </c>
      <c r="R452" s="4" t="e">
        <f t="shared" ca="1" si="42"/>
        <v>#N/A</v>
      </c>
      <c r="S452" s="4">
        <f ca="1">IF(ISNA(M452),0,COUNTIF($R$6:R452,R452))</f>
        <v>0</v>
      </c>
      <c r="T452" s="4" t="e">
        <f t="shared" ca="1" si="41"/>
        <v>#N/A</v>
      </c>
    </row>
    <row r="453" spans="2:20" x14ac:dyDescent="0.3">
      <c r="B453" s="48"/>
      <c r="C453" s="48"/>
      <c r="D453" s="10" t="str">
        <f t="shared" ca="1" si="45"/>
        <v/>
      </c>
      <c r="E453" s="48"/>
      <c r="F453" s="48"/>
      <c r="G453" s="10" t="str">
        <f t="shared" ca="1" si="44"/>
        <v/>
      </c>
      <c r="I453" s="10" t="str">
        <f t="shared" ca="1" si="46"/>
        <v/>
      </c>
      <c r="K453" s="4" t="e">
        <f t="shared" ca="1" si="40"/>
        <v>#N/A</v>
      </c>
      <c r="L453" s="4" t="e">
        <f>VLOOKUP(C453,_resources!B:D,3,0)</f>
        <v>#N/A</v>
      </c>
      <c r="M453" s="4" t="e" cm="1">
        <f t="array" aca="1" ref="M453" ca="1">IF(abbrAtEnd,"",L453&amp;"-")&amp;E453&amp;"-"&amp;INDIRECT(OFFSET(element3,MATCH($C453,resources,0)-1,0))&amp;"-"&amp;INDIRECT(OFFSET(element4,MATCH($C453,resources,0)-1,0))&amp;"-"&amp;INDIRECT(OFFSET(element5,MATCH($C453,resources,0)-1,0))&amp;IF(OFFSET(element6,MATCH($C453,resources,0)-1,0)="","","-"&amp;INDIRECT(OFFSET(element6,MATCH($C453,resources,0)-1,0)))&amp;IF(abbrAtEnd,"-"&amp;L453,"")</f>
        <v>#N/A</v>
      </c>
      <c r="N453" s="4" t="str">
        <f t="shared" si="43"/>
        <v>-000</v>
      </c>
      <c r="O453" s="4">
        <f ca="1">IF(totalElements+COUNTIF(Entities!$C$10,"*")+COUNTIF(B453:C453,"*")+COUNTIF(E453:F453,"*")=9,1,0)</f>
        <v>0</v>
      </c>
      <c r="P453" s="4">
        <f>COUNTIF($C$6:C453,C453)</f>
        <v>0</v>
      </c>
      <c r="Q453" s="4">
        <f ca="1">IF(ISNA(M453),0,COUNTIF($M$6:M453,M453))</f>
        <v>0</v>
      </c>
      <c r="R453" s="4" t="e">
        <f t="shared" ca="1" si="42"/>
        <v>#N/A</v>
      </c>
      <c r="S453" s="4">
        <f ca="1">IF(ISNA(M453),0,COUNTIF($R$6:R453,R453))</f>
        <v>0</v>
      </c>
      <c r="T453" s="4" t="e">
        <f t="shared" ca="1" si="41"/>
        <v>#N/A</v>
      </c>
    </row>
    <row r="454" spans="2:20" x14ac:dyDescent="0.3">
      <c r="B454" s="48"/>
      <c r="C454" s="48"/>
      <c r="D454" s="10" t="str">
        <f t="shared" ca="1" si="45"/>
        <v/>
      </c>
      <c r="E454" s="48"/>
      <c r="F454" s="48"/>
      <c r="G454" s="10" t="str">
        <f t="shared" ca="1" si="44"/>
        <v/>
      </c>
      <c r="I454" s="10" t="str">
        <f t="shared" ca="1" si="46"/>
        <v/>
      </c>
      <c r="K454" s="4" t="e">
        <f t="shared" ref="K454:K517" ca="1" si="47">OFFSET(structure,MATCH($C454,resources,0)-1,0)</f>
        <v>#N/A</v>
      </c>
      <c r="L454" s="4" t="e">
        <f>VLOOKUP(C454,_resources!B:D,3,0)</f>
        <v>#N/A</v>
      </c>
      <c r="M454" s="4" t="e" cm="1">
        <f t="array" aca="1" ref="M454" ca="1">IF(abbrAtEnd,"",L454&amp;"-")&amp;E454&amp;"-"&amp;INDIRECT(OFFSET(element3,MATCH($C454,resources,0)-1,0))&amp;"-"&amp;INDIRECT(OFFSET(element4,MATCH($C454,resources,0)-1,0))&amp;"-"&amp;INDIRECT(OFFSET(element5,MATCH($C454,resources,0)-1,0))&amp;IF(OFFSET(element6,MATCH($C454,resources,0)-1,0)="","","-"&amp;INDIRECT(OFFSET(element6,MATCH($C454,resources,0)-1,0)))&amp;IF(abbrAtEnd,"-"&amp;L454,"")</f>
        <v>#N/A</v>
      </c>
      <c r="N454" s="4" t="str">
        <f t="shared" si="43"/>
        <v>-000</v>
      </c>
      <c r="O454" s="4">
        <f ca="1">IF(totalElements+COUNTIF(Entities!$C$10,"*")+COUNTIF(B454:C454,"*")+COUNTIF(E454:F454,"*")=9,1,0)</f>
        <v>0</v>
      </c>
      <c r="P454" s="4">
        <f>COUNTIF($C$6:C454,C454)</f>
        <v>0</v>
      </c>
      <c r="Q454" s="4">
        <f ca="1">IF(ISNA(M454),0,COUNTIF($M$6:M454,M454))</f>
        <v>0</v>
      </c>
      <c r="R454" s="4" t="e">
        <f t="shared" ca="1" si="42"/>
        <v>#N/A</v>
      </c>
      <c r="S454" s="4">
        <f ca="1">IF(ISNA(M454),0,COUNTIF($R$6:R454,R454))</f>
        <v>0</v>
      </c>
      <c r="T454" s="4" t="e">
        <f t="shared" ref="T454:T517" ca="1" si="48">OFFSET(maxLength,MATCH($C454,resources,0)-1,0)</f>
        <v>#N/A</v>
      </c>
    </row>
    <row r="455" spans="2:20" x14ac:dyDescent="0.3">
      <c r="B455" s="48"/>
      <c r="C455" s="48"/>
      <c r="D455" s="10" t="str">
        <f t="shared" ca="1" si="45"/>
        <v/>
      </c>
      <c r="E455" s="48"/>
      <c r="F455" s="48"/>
      <c r="G455" s="10" t="str">
        <f t="shared" ca="1" si="44"/>
        <v/>
      </c>
      <c r="I455" s="10" t="str">
        <f t="shared" ca="1" si="46"/>
        <v/>
      </c>
      <c r="K455" s="4" t="e">
        <f t="shared" ca="1" si="47"/>
        <v>#N/A</v>
      </c>
      <c r="L455" s="4" t="e">
        <f>VLOOKUP(C455,_resources!B:D,3,0)</f>
        <v>#N/A</v>
      </c>
      <c r="M455" s="4" t="e" cm="1">
        <f t="array" aca="1" ref="M455" ca="1">IF(abbrAtEnd,"",L455&amp;"-")&amp;E455&amp;"-"&amp;INDIRECT(OFFSET(element3,MATCH($C455,resources,0)-1,0))&amp;"-"&amp;INDIRECT(OFFSET(element4,MATCH($C455,resources,0)-1,0))&amp;"-"&amp;INDIRECT(OFFSET(element5,MATCH($C455,resources,0)-1,0))&amp;IF(OFFSET(element6,MATCH($C455,resources,0)-1,0)="","","-"&amp;INDIRECT(OFFSET(element6,MATCH($C455,resources,0)-1,0)))&amp;IF(abbrAtEnd,"-"&amp;L455,"")</f>
        <v>#N/A</v>
      </c>
      <c r="N455" s="4" t="str">
        <f t="shared" si="43"/>
        <v>-000</v>
      </c>
      <c r="O455" s="4">
        <f ca="1">IF(totalElements+COUNTIF(Entities!$C$10,"*")+COUNTIF(B455:C455,"*")+COUNTIF(E455:F455,"*")=9,1,0)</f>
        <v>0</v>
      </c>
      <c r="P455" s="4">
        <f>COUNTIF($C$6:C455,C455)</f>
        <v>0</v>
      </c>
      <c r="Q455" s="4">
        <f ca="1">IF(ISNA(M455),0,COUNTIF($M$6:M455,M455))</f>
        <v>0</v>
      </c>
      <c r="R455" s="4" t="e">
        <f t="shared" ref="R455:R518" ca="1" si="49">F455&amp;"__"&amp;M455</f>
        <v>#N/A</v>
      </c>
      <c r="S455" s="4">
        <f ca="1">IF(ISNA(M455),0,COUNTIF($R$6:R455,R455))</f>
        <v>0</v>
      </c>
      <c r="T455" s="4" t="e">
        <f t="shared" ca="1" si="48"/>
        <v>#N/A</v>
      </c>
    </row>
    <row r="456" spans="2:20" x14ac:dyDescent="0.3">
      <c r="B456" s="48"/>
      <c r="C456" s="48"/>
      <c r="D456" s="10" t="str">
        <f t="shared" ca="1" si="45"/>
        <v/>
      </c>
      <c r="E456" s="48"/>
      <c r="F456" s="48"/>
      <c r="G456" s="10" t="str">
        <f t="shared" ca="1" si="44"/>
        <v/>
      </c>
      <c r="I456" s="10" t="str">
        <f t="shared" ca="1" si="46"/>
        <v/>
      </c>
      <c r="K456" s="4" t="e">
        <f t="shared" ca="1" si="47"/>
        <v>#N/A</v>
      </c>
      <c r="L456" s="4" t="e">
        <f>VLOOKUP(C456,_resources!B:D,3,0)</f>
        <v>#N/A</v>
      </c>
      <c r="M456" s="4" t="e" cm="1">
        <f t="array" aca="1" ref="M456" ca="1">IF(abbrAtEnd,"",L456&amp;"-")&amp;E456&amp;"-"&amp;INDIRECT(OFFSET(element3,MATCH($C456,resources,0)-1,0))&amp;"-"&amp;INDIRECT(OFFSET(element4,MATCH($C456,resources,0)-1,0))&amp;"-"&amp;INDIRECT(OFFSET(element5,MATCH($C456,resources,0)-1,0))&amp;IF(OFFSET(element6,MATCH($C456,resources,0)-1,0)="","","-"&amp;INDIRECT(OFFSET(element6,MATCH($C456,resources,0)-1,0)))&amp;IF(abbrAtEnd,"-"&amp;L456,"")</f>
        <v>#N/A</v>
      </c>
      <c r="N456" s="4" t="str">
        <f t="shared" si="43"/>
        <v>-000</v>
      </c>
      <c r="O456" s="4">
        <f ca="1">IF(totalElements+COUNTIF(Entities!$C$10,"*")+COUNTIF(B456:C456,"*")+COUNTIF(E456:F456,"*")=9,1,0)</f>
        <v>0</v>
      </c>
      <c r="P456" s="4">
        <f>COUNTIF($C$6:C456,C456)</f>
        <v>0</v>
      </c>
      <c r="Q456" s="4">
        <f ca="1">IF(ISNA(M456),0,COUNTIF($M$6:M456,M456))</f>
        <v>0</v>
      </c>
      <c r="R456" s="4" t="e">
        <f t="shared" ca="1" si="49"/>
        <v>#N/A</v>
      </c>
      <c r="S456" s="4">
        <f ca="1">IF(ISNA(M456),0,COUNTIF($R$6:R456,R456))</f>
        <v>0</v>
      </c>
      <c r="T456" s="4" t="e">
        <f t="shared" ca="1" si="48"/>
        <v>#N/A</v>
      </c>
    </row>
    <row r="457" spans="2:20" x14ac:dyDescent="0.3">
      <c r="B457" s="48"/>
      <c r="C457" s="48"/>
      <c r="D457" s="10" t="str">
        <f t="shared" ca="1" si="45"/>
        <v/>
      </c>
      <c r="E457" s="48"/>
      <c r="F457" s="48"/>
      <c r="G457" s="10" t="str">
        <f t="shared" ca="1" si="44"/>
        <v/>
      </c>
      <c r="I457" s="10" t="str">
        <f t="shared" ca="1" si="46"/>
        <v/>
      </c>
      <c r="K457" s="4" t="e">
        <f t="shared" ca="1" si="47"/>
        <v>#N/A</v>
      </c>
      <c r="L457" s="4" t="e">
        <f>VLOOKUP(C457,_resources!B:D,3,0)</f>
        <v>#N/A</v>
      </c>
      <c r="M457" s="4" t="e" cm="1">
        <f t="array" aca="1" ref="M457" ca="1">IF(abbrAtEnd,"",L457&amp;"-")&amp;E457&amp;"-"&amp;INDIRECT(OFFSET(element3,MATCH($C457,resources,0)-1,0))&amp;"-"&amp;INDIRECT(OFFSET(element4,MATCH($C457,resources,0)-1,0))&amp;"-"&amp;INDIRECT(OFFSET(element5,MATCH($C457,resources,0)-1,0))&amp;IF(OFFSET(element6,MATCH($C457,resources,0)-1,0)="","","-"&amp;INDIRECT(OFFSET(element6,MATCH($C457,resources,0)-1,0)))&amp;IF(abbrAtEnd,"-"&amp;L457,"")</f>
        <v>#N/A</v>
      </c>
      <c r="N457" s="4" t="str">
        <f t="shared" si="43"/>
        <v>-000</v>
      </c>
      <c r="O457" s="4">
        <f ca="1">IF(totalElements+COUNTIF(Entities!$C$10,"*")+COUNTIF(B457:C457,"*")+COUNTIF(E457:F457,"*")=9,1,0)</f>
        <v>0</v>
      </c>
      <c r="P457" s="4">
        <f>COUNTIF($C$6:C457,C457)</f>
        <v>0</v>
      </c>
      <c r="Q457" s="4">
        <f ca="1">IF(ISNA(M457),0,COUNTIF($M$6:M457,M457))</f>
        <v>0</v>
      </c>
      <c r="R457" s="4" t="e">
        <f t="shared" ca="1" si="49"/>
        <v>#N/A</v>
      </c>
      <c r="S457" s="4">
        <f ca="1">IF(ISNA(M457),0,COUNTIF($R$6:R457,R457))</f>
        <v>0</v>
      </c>
      <c r="T457" s="4" t="e">
        <f t="shared" ca="1" si="48"/>
        <v>#N/A</v>
      </c>
    </row>
    <row r="458" spans="2:20" x14ac:dyDescent="0.3">
      <c r="B458" s="48"/>
      <c r="C458" s="48"/>
      <c r="D458" s="10" t="str">
        <f t="shared" ca="1" si="45"/>
        <v/>
      </c>
      <c r="E458" s="48"/>
      <c r="F458" s="48"/>
      <c r="G458" s="10" t="str">
        <f t="shared" ca="1" si="44"/>
        <v/>
      </c>
      <c r="I458" s="10" t="str">
        <f t="shared" ca="1" si="46"/>
        <v/>
      </c>
      <c r="K458" s="4" t="e">
        <f t="shared" ca="1" si="47"/>
        <v>#N/A</v>
      </c>
      <c r="L458" s="4" t="e">
        <f>VLOOKUP(C458,_resources!B:D,3,0)</f>
        <v>#N/A</v>
      </c>
      <c r="M458" s="4" t="e" cm="1">
        <f t="array" aca="1" ref="M458" ca="1">IF(abbrAtEnd,"",L458&amp;"-")&amp;E458&amp;"-"&amp;INDIRECT(OFFSET(element3,MATCH($C458,resources,0)-1,0))&amp;"-"&amp;INDIRECT(OFFSET(element4,MATCH($C458,resources,0)-1,0))&amp;"-"&amp;INDIRECT(OFFSET(element5,MATCH($C458,resources,0)-1,0))&amp;IF(OFFSET(element6,MATCH($C458,resources,0)-1,0)="","","-"&amp;INDIRECT(OFFSET(element6,MATCH($C458,resources,0)-1,0)))&amp;IF(abbrAtEnd,"-"&amp;L458,"")</f>
        <v>#N/A</v>
      </c>
      <c r="N458" s="4" t="str">
        <f t="shared" si="43"/>
        <v>-000</v>
      </c>
      <c r="O458" s="4">
        <f ca="1">IF(totalElements+COUNTIF(Entities!$C$10,"*")+COUNTIF(B458:C458,"*")+COUNTIF(E458:F458,"*")=9,1,0)</f>
        <v>0</v>
      </c>
      <c r="P458" s="4">
        <f>COUNTIF($C$6:C458,C458)</f>
        <v>0</v>
      </c>
      <c r="Q458" s="4">
        <f ca="1">IF(ISNA(M458),0,COUNTIF($M$6:M458,M458))</f>
        <v>0</v>
      </c>
      <c r="R458" s="4" t="e">
        <f t="shared" ca="1" si="49"/>
        <v>#N/A</v>
      </c>
      <c r="S458" s="4">
        <f ca="1">IF(ISNA(M458),0,COUNTIF($R$6:R458,R458))</f>
        <v>0</v>
      </c>
      <c r="T458" s="4" t="e">
        <f t="shared" ca="1" si="48"/>
        <v>#N/A</v>
      </c>
    </row>
    <row r="459" spans="2:20" x14ac:dyDescent="0.3">
      <c r="B459" s="48"/>
      <c r="C459" s="48"/>
      <c r="D459" s="10" t="str">
        <f t="shared" ca="1" si="45"/>
        <v/>
      </c>
      <c r="E459" s="48"/>
      <c r="F459" s="48"/>
      <c r="G459" s="10" t="str">
        <f t="shared" ca="1" si="44"/>
        <v/>
      </c>
      <c r="I459" s="10" t="str">
        <f t="shared" ca="1" si="46"/>
        <v/>
      </c>
      <c r="K459" s="4" t="e">
        <f t="shared" ca="1" si="47"/>
        <v>#N/A</v>
      </c>
      <c r="L459" s="4" t="e">
        <f>VLOOKUP(C459,_resources!B:D,3,0)</f>
        <v>#N/A</v>
      </c>
      <c r="M459" s="4" t="e" cm="1">
        <f t="array" aca="1" ref="M459" ca="1">IF(abbrAtEnd,"",L459&amp;"-")&amp;E459&amp;"-"&amp;INDIRECT(OFFSET(element3,MATCH($C459,resources,0)-1,0))&amp;"-"&amp;INDIRECT(OFFSET(element4,MATCH($C459,resources,0)-1,0))&amp;"-"&amp;INDIRECT(OFFSET(element5,MATCH($C459,resources,0)-1,0))&amp;IF(OFFSET(element6,MATCH($C459,resources,0)-1,0)="","","-"&amp;INDIRECT(OFFSET(element6,MATCH($C459,resources,0)-1,0)))&amp;IF(abbrAtEnd,"-"&amp;L459,"")</f>
        <v>#N/A</v>
      </c>
      <c r="N459" s="4" t="str">
        <f t="shared" si="43"/>
        <v>-000</v>
      </c>
      <c r="O459" s="4">
        <f ca="1">IF(totalElements+COUNTIF(Entities!$C$10,"*")+COUNTIF(B459:C459,"*")+COUNTIF(E459:F459,"*")=9,1,0)</f>
        <v>0</v>
      </c>
      <c r="P459" s="4">
        <f>COUNTIF($C$6:C459,C459)</f>
        <v>0</v>
      </c>
      <c r="Q459" s="4">
        <f ca="1">IF(ISNA(M459),0,COUNTIF($M$6:M459,M459))</f>
        <v>0</v>
      </c>
      <c r="R459" s="4" t="e">
        <f t="shared" ca="1" si="49"/>
        <v>#N/A</v>
      </c>
      <c r="S459" s="4">
        <f ca="1">IF(ISNA(M459),0,COUNTIF($R$6:R459,R459))</f>
        <v>0</v>
      </c>
      <c r="T459" s="4" t="e">
        <f t="shared" ca="1" si="48"/>
        <v>#N/A</v>
      </c>
    </row>
    <row r="460" spans="2:20" x14ac:dyDescent="0.3">
      <c r="B460" s="48"/>
      <c r="C460" s="48"/>
      <c r="D460" s="10" t="str">
        <f t="shared" ca="1" si="45"/>
        <v/>
      </c>
      <c r="E460" s="48"/>
      <c r="F460" s="48"/>
      <c r="G460" s="10" t="str">
        <f t="shared" ca="1" si="44"/>
        <v/>
      </c>
      <c r="I460" s="10" t="str">
        <f t="shared" ca="1" si="46"/>
        <v/>
      </c>
      <c r="K460" s="4" t="e">
        <f t="shared" ca="1" si="47"/>
        <v>#N/A</v>
      </c>
      <c r="L460" s="4" t="e">
        <f>VLOOKUP(C460,_resources!B:D,3,0)</f>
        <v>#N/A</v>
      </c>
      <c r="M460" s="4" t="e" cm="1">
        <f t="array" aca="1" ref="M460" ca="1">IF(abbrAtEnd,"",L460&amp;"-")&amp;E460&amp;"-"&amp;INDIRECT(OFFSET(element3,MATCH($C460,resources,0)-1,0))&amp;"-"&amp;INDIRECT(OFFSET(element4,MATCH($C460,resources,0)-1,0))&amp;"-"&amp;INDIRECT(OFFSET(element5,MATCH($C460,resources,0)-1,0))&amp;IF(OFFSET(element6,MATCH($C460,resources,0)-1,0)="","","-"&amp;INDIRECT(OFFSET(element6,MATCH($C460,resources,0)-1,0)))&amp;IF(abbrAtEnd,"-"&amp;L460,"")</f>
        <v>#N/A</v>
      </c>
      <c r="N460" s="4" t="str">
        <f t="shared" si="43"/>
        <v>-000</v>
      </c>
      <c r="O460" s="4">
        <f ca="1">IF(totalElements+COUNTIF(Entities!$C$10,"*")+COUNTIF(B460:C460,"*")+COUNTIF(E460:F460,"*")=9,1,0)</f>
        <v>0</v>
      </c>
      <c r="P460" s="4">
        <f>COUNTIF($C$6:C460,C460)</f>
        <v>0</v>
      </c>
      <c r="Q460" s="4">
        <f ca="1">IF(ISNA(M460),0,COUNTIF($M$6:M460,M460))</f>
        <v>0</v>
      </c>
      <c r="R460" s="4" t="e">
        <f t="shared" ca="1" si="49"/>
        <v>#N/A</v>
      </c>
      <c r="S460" s="4">
        <f ca="1">IF(ISNA(M460),0,COUNTIF($R$6:R460,R460))</f>
        <v>0</v>
      </c>
      <c r="T460" s="4" t="e">
        <f t="shared" ca="1" si="48"/>
        <v>#N/A</v>
      </c>
    </row>
    <row r="461" spans="2:20" x14ac:dyDescent="0.3">
      <c r="B461" s="48"/>
      <c r="C461" s="48"/>
      <c r="D461" s="10" t="str">
        <f t="shared" ca="1" si="45"/>
        <v/>
      </c>
      <c r="E461" s="48"/>
      <c r="F461" s="48"/>
      <c r="G461" s="10" t="str">
        <f t="shared" ca="1" si="44"/>
        <v/>
      </c>
      <c r="I461" s="10" t="str">
        <f t="shared" ca="1" si="46"/>
        <v/>
      </c>
      <c r="K461" s="4" t="e">
        <f t="shared" ca="1" si="47"/>
        <v>#N/A</v>
      </c>
      <c r="L461" s="4" t="e">
        <f>VLOOKUP(C461,_resources!B:D,3,0)</f>
        <v>#N/A</v>
      </c>
      <c r="M461" s="4" t="e" cm="1">
        <f t="array" aca="1" ref="M461" ca="1">IF(abbrAtEnd,"",L461&amp;"-")&amp;E461&amp;"-"&amp;INDIRECT(OFFSET(element3,MATCH($C461,resources,0)-1,0))&amp;"-"&amp;INDIRECT(OFFSET(element4,MATCH($C461,resources,0)-1,0))&amp;"-"&amp;INDIRECT(OFFSET(element5,MATCH($C461,resources,0)-1,0))&amp;IF(OFFSET(element6,MATCH($C461,resources,0)-1,0)="","","-"&amp;INDIRECT(OFFSET(element6,MATCH($C461,resources,0)-1,0)))&amp;IF(abbrAtEnd,"-"&amp;L461,"")</f>
        <v>#N/A</v>
      </c>
      <c r="N461" s="4" t="str">
        <f t="shared" si="43"/>
        <v>-000</v>
      </c>
      <c r="O461" s="4">
        <f ca="1">IF(totalElements+COUNTIF(Entities!$C$10,"*")+COUNTIF(B461:C461,"*")+COUNTIF(E461:F461,"*")=9,1,0)</f>
        <v>0</v>
      </c>
      <c r="P461" s="4">
        <f>COUNTIF($C$6:C461,C461)</f>
        <v>0</v>
      </c>
      <c r="Q461" s="4">
        <f ca="1">IF(ISNA(M461),0,COUNTIF($M$6:M461,M461))</f>
        <v>0</v>
      </c>
      <c r="R461" s="4" t="e">
        <f t="shared" ca="1" si="49"/>
        <v>#N/A</v>
      </c>
      <c r="S461" s="4">
        <f ca="1">IF(ISNA(M461),0,COUNTIF($R$6:R461,R461))</f>
        <v>0</v>
      </c>
      <c r="T461" s="4" t="e">
        <f t="shared" ca="1" si="48"/>
        <v>#N/A</v>
      </c>
    </row>
    <row r="462" spans="2:20" x14ac:dyDescent="0.3">
      <c r="B462" s="48"/>
      <c r="C462" s="48"/>
      <c r="D462" s="10" t="str">
        <f t="shared" ca="1" si="45"/>
        <v/>
      </c>
      <c r="E462" s="48"/>
      <c r="F462" s="48"/>
      <c r="G462" s="10" t="str">
        <f t="shared" ca="1" si="44"/>
        <v/>
      </c>
      <c r="I462" s="10" t="str">
        <f t="shared" ca="1" si="46"/>
        <v/>
      </c>
      <c r="K462" s="4" t="e">
        <f t="shared" ca="1" si="47"/>
        <v>#N/A</v>
      </c>
      <c r="L462" s="4" t="e">
        <f>VLOOKUP(C462,_resources!B:D,3,0)</f>
        <v>#N/A</v>
      </c>
      <c r="M462" s="4" t="e" cm="1">
        <f t="array" aca="1" ref="M462" ca="1">IF(abbrAtEnd,"",L462&amp;"-")&amp;E462&amp;"-"&amp;INDIRECT(OFFSET(element3,MATCH($C462,resources,0)-1,0))&amp;"-"&amp;INDIRECT(OFFSET(element4,MATCH($C462,resources,0)-1,0))&amp;"-"&amp;INDIRECT(OFFSET(element5,MATCH($C462,resources,0)-1,0))&amp;IF(OFFSET(element6,MATCH($C462,resources,0)-1,0)="","","-"&amp;INDIRECT(OFFSET(element6,MATCH($C462,resources,0)-1,0)))&amp;IF(abbrAtEnd,"-"&amp;L462,"")</f>
        <v>#N/A</v>
      </c>
      <c r="N462" s="4" t="str">
        <f t="shared" ref="N462:N525" si="50">IF($M$4,"-"&amp;TEXT(P462,"000"),"-"&amp;TEXT(Q462,"000"))</f>
        <v>-000</v>
      </c>
      <c r="O462" s="4">
        <f ca="1">IF(totalElements+COUNTIF(Entities!$C$10,"*")+COUNTIF(B462:C462,"*")+COUNTIF(E462:F462,"*")=9,1,0)</f>
        <v>0</v>
      </c>
      <c r="P462" s="4">
        <f>COUNTIF($C$6:C462,C462)</f>
        <v>0</v>
      </c>
      <c r="Q462" s="4">
        <f ca="1">IF(ISNA(M462),0,COUNTIF($M$6:M462,M462))</f>
        <v>0</v>
      </c>
      <c r="R462" s="4" t="e">
        <f t="shared" ca="1" si="49"/>
        <v>#N/A</v>
      </c>
      <c r="S462" s="4">
        <f ca="1">IF(ISNA(M462),0,COUNTIF($R$6:R462,R462))</f>
        <v>0</v>
      </c>
      <c r="T462" s="4" t="e">
        <f t="shared" ca="1" si="48"/>
        <v>#N/A</v>
      </c>
    </row>
    <row r="463" spans="2:20" x14ac:dyDescent="0.3">
      <c r="B463" s="48"/>
      <c r="C463" s="48"/>
      <c r="D463" s="10" t="str">
        <f t="shared" ca="1" si="45"/>
        <v/>
      </c>
      <c r="E463" s="48"/>
      <c r="F463" s="48"/>
      <c r="G463" s="10" t="str">
        <f t="shared" ca="1" si="44"/>
        <v/>
      </c>
      <c r="I463" s="10" t="str">
        <f t="shared" ca="1" si="46"/>
        <v/>
      </c>
      <c r="K463" s="4" t="e">
        <f t="shared" ca="1" si="47"/>
        <v>#N/A</v>
      </c>
      <c r="L463" s="4" t="e">
        <f>VLOOKUP(C463,_resources!B:D,3,0)</f>
        <v>#N/A</v>
      </c>
      <c r="M463" s="4" t="e" cm="1">
        <f t="array" aca="1" ref="M463" ca="1">IF(abbrAtEnd,"",L463&amp;"-")&amp;E463&amp;"-"&amp;INDIRECT(OFFSET(element3,MATCH($C463,resources,0)-1,0))&amp;"-"&amp;INDIRECT(OFFSET(element4,MATCH($C463,resources,0)-1,0))&amp;"-"&amp;INDIRECT(OFFSET(element5,MATCH($C463,resources,0)-1,0))&amp;IF(OFFSET(element6,MATCH($C463,resources,0)-1,0)="","","-"&amp;INDIRECT(OFFSET(element6,MATCH($C463,resources,0)-1,0)))&amp;IF(abbrAtEnd,"-"&amp;L463,"")</f>
        <v>#N/A</v>
      </c>
      <c r="N463" s="4" t="str">
        <f t="shared" si="50"/>
        <v>-000</v>
      </c>
      <c r="O463" s="4">
        <f ca="1">IF(totalElements+COUNTIF(Entities!$C$10,"*")+COUNTIF(B463:C463,"*")+COUNTIF(E463:F463,"*")=9,1,0)</f>
        <v>0</v>
      </c>
      <c r="P463" s="4">
        <f>COUNTIF($C$6:C463,C463)</f>
        <v>0</v>
      </c>
      <c r="Q463" s="4">
        <f ca="1">IF(ISNA(M463),0,COUNTIF($M$6:M463,M463))</f>
        <v>0</v>
      </c>
      <c r="R463" s="4" t="e">
        <f t="shared" ca="1" si="49"/>
        <v>#N/A</v>
      </c>
      <c r="S463" s="4">
        <f ca="1">IF(ISNA(M463),0,COUNTIF($R$6:R463,R463))</f>
        <v>0</v>
      </c>
      <c r="T463" s="4" t="e">
        <f t="shared" ca="1" si="48"/>
        <v>#N/A</v>
      </c>
    </row>
    <row r="464" spans="2:20" x14ac:dyDescent="0.3">
      <c r="B464" s="48"/>
      <c r="C464" s="48"/>
      <c r="D464" s="10" t="str">
        <f t="shared" ca="1" si="45"/>
        <v/>
      </c>
      <c r="E464" s="48"/>
      <c r="F464" s="48"/>
      <c r="G464" s="10" t="str">
        <f t="shared" ca="1" si="44"/>
        <v/>
      </c>
      <c r="I464" s="10" t="str">
        <f t="shared" ca="1" si="46"/>
        <v/>
      </c>
      <c r="K464" s="4" t="e">
        <f t="shared" ca="1" si="47"/>
        <v>#N/A</v>
      </c>
      <c r="L464" s="4" t="e">
        <f>VLOOKUP(C464,_resources!B:D,3,0)</f>
        <v>#N/A</v>
      </c>
      <c r="M464" s="4" t="e" cm="1">
        <f t="array" aca="1" ref="M464" ca="1">IF(abbrAtEnd,"",L464&amp;"-")&amp;E464&amp;"-"&amp;INDIRECT(OFFSET(element3,MATCH($C464,resources,0)-1,0))&amp;"-"&amp;INDIRECT(OFFSET(element4,MATCH($C464,resources,0)-1,0))&amp;"-"&amp;INDIRECT(OFFSET(element5,MATCH($C464,resources,0)-1,0))&amp;IF(OFFSET(element6,MATCH($C464,resources,0)-1,0)="","","-"&amp;INDIRECT(OFFSET(element6,MATCH($C464,resources,0)-1,0)))&amp;IF(abbrAtEnd,"-"&amp;L464,"")</f>
        <v>#N/A</v>
      </c>
      <c r="N464" s="4" t="str">
        <f t="shared" si="50"/>
        <v>-000</v>
      </c>
      <c r="O464" s="4">
        <f ca="1">IF(totalElements+COUNTIF(Entities!$C$10,"*")+COUNTIF(B464:C464,"*")+COUNTIF(E464:F464,"*")=9,1,0)</f>
        <v>0</v>
      </c>
      <c r="P464" s="4">
        <f>COUNTIF($C$6:C464,C464)</f>
        <v>0</v>
      </c>
      <c r="Q464" s="4">
        <f ca="1">IF(ISNA(M464),0,COUNTIF($M$6:M464,M464))</f>
        <v>0</v>
      </c>
      <c r="R464" s="4" t="e">
        <f t="shared" ca="1" si="49"/>
        <v>#N/A</v>
      </c>
      <c r="S464" s="4">
        <f ca="1">IF(ISNA(M464),0,COUNTIF($R$6:R464,R464))</f>
        <v>0</v>
      </c>
      <c r="T464" s="4" t="e">
        <f t="shared" ca="1" si="48"/>
        <v>#N/A</v>
      </c>
    </row>
    <row r="465" spans="2:20" x14ac:dyDescent="0.3">
      <c r="B465" s="48"/>
      <c r="C465" s="48"/>
      <c r="D465" s="10" t="str">
        <f t="shared" ca="1" si="45"/>
        <v/>
      </c>
      <c r="E465" s="48"/>
      <c r="F465" s="48"/>
      <c r="G465" s="10" t="str">
        <f t="shared" ca="1" si="44"/>
        <v/>
      </c>
      <c r="I465" s="10" t="str">
        <f t="shared" ca="1" si="46"/>
        <v/>
      </c>
      <c r="K465" s="4" t="e">
        <f t="shared" ca="1" si="47"/>
        <v>#N/A</v>
      </c>
      <c r="L465" s="4" t="e">
        <f>VLOOKUP(C465,_resources!B:D,3,0)</f>
        <v>#N/A</v>
      </c>
      <c r="M465" s="4" t="e" cm="1">
        <f t="array" aca="1" ref="M465" ca="1">IF(abbrAtEnd,"",L465&amp;"-")&amp;E465&amp;"-"&amp;INDIRECT(OFFSET(element3,MATCH($C465,resources,0)-1,0))&amp;"-"&amp;INDIRECT(OFFSET(element4,MATCH($C465,resources,0)-1,0))&amp;"-"&amp;INDIRECT(OFFSET(element5,MATCH($C465,resources,0)-1,0))&amp;IF(OFFSET(element6,MATCH($C465,resources,0)-1,0)="","","-"&amp;INDIRECT(OFFSET(element6,MATCH($C465,resources,0)-1,0)))&amp;IF(abbrAtEnd,"-"&amp;L465,"")</f>
        <v>#N/A</v>
      </c>
      <c r="N465" s="4" t="str">
        <f t="shared" si="50"/>
        <v>-000</v>
      </c>
      <c r="O465" s="4">
        <f ca="1">IF(totalElements+COUNTIF(Entities!$C$10,"*")+COUNTIF(B465:C465,"*")+COUNTIF(E465:F465,"*")=9,1,0)</f>
        <v>0</v>
      </c>
      <c r="P465" s="4">
        <f>COUNTIF($C$6:C465,C465)</f>
        <v>0</v>
      </c>
      <c r="Q465" s="4">
        <f ca="1">IF(ISNA(M465),0,COUNTIF($M$6:M465,M465))</f>
        <v>0</v>
      </c>
      <c r="R465" s="4" t="e">
        <f t="shared" ca="1" si="49"/>
        <v>#N/A</v>
      </c>
      <c r="S465" s="4">
        <f ca="1">IF(ISNA(M465),0,COUNTIF($R$6:R465,R465))</f>
        <v>0</v>
      </c>
      <c r="T465" s="4" t="e">
        <f t="shared" ca="1" si="48"/>
        <v>#N/A</v>
      </c>
    </row>
    <row r="466" spans="2:20" x14ac:dyDescent="0.3">
      <c r="B466" s="48"/>
      <c r="C466" s="48"/>
      <c r="D466" s="10" t="str">
        <f t="shared" ca="1" si="45"/>
        <v/>
      </c>
      <c r="E466" s="48"/>
      <c r="F466" s="48"/>
      <c r="G466" s="10" t="str">
        <f t="shared" ca="1" si="44"/>
        <v/>
      </c>
      <c r="I466" s="10" t="str">
        <f t="shared" ca="1" si="46"/>
        <v/>
      </c>
      <c r="K466" s="4" t="e">
        <f t="shared" ca="1" si="47"/>
        <v>#N/A</v>
      </c>
      <c r="L466" s="4" t="e">
        <f>VLOOKUP(C466,_resources!B:D,3,0)</f>
        <v>#N/A</v>
      </c>
      <c r="M466" s="4" t="e" cm="1">
        <f t="array" aca="1" ref="M466" ca="1">IF(abbrAtEnd,"",L466&amp;"-")&amp;E466&amp;"-"&amp;INDIRECT(OFFSET(element3,MATCH($C466,resources,0)-1,0))&amp;"-"&amp;INDIRECT(OFFSET(element4,MATCH($C466,resources,0)-1,0))&amp;"-"&amp;INDIRECT(OFFSET(element5,MATCH($C466,resources,0)-1,0))&amp;IF(OFFSET(element6,MATCH($C466,resources,0)-1,0)="","","-"&amp;INDIRECT(OFFSET(element6,MATCH($C466,resources,0)-1,0)))&amp;IF(abbrAtEnd,"-"&amp;L466,"")</f>
        <v>#N/A</v>
      </c>
      <c r="N466" s="4" t="str">
        <f t="shared" si="50"/>
        <v>-000</v>
      </c>
      <c r="O466" s="4">
        <f ca="1">IF(totalElements+COUNTIF(Entities!$C$10,"*")+COUNTIF(B466:C466,"*")+COUNTIF(E466:F466,"*")=9,1,0)</f>
        <v>0</v>
      </c>
      <c r="P466" s="4">
        <f>COUNTIF($C$6:C466,C466)</f>
        <v>0</v>
      </c>
      <c r="Q466" s="4">
        <f ca="1">IF(ISNA(M466),0,COUNTIF($M$6:M466,M466))</f>
        <v>0</v>
      </c>
      <c r="R466" s="4" t="e">
        <f t="shared" ca="1" si="49"/>
        <v>#N/A</v>
      </c>
      <c r="S466" s="4">
        <f ca="1">IF(ISNA(M466),0,COUNTIF($R$6:R466,R466))</f>
        <v>0</v>
      </c>
      <c r="T466" s="4" t="e">
        <f t="shared" ca="1" si="48"/>
        <v>#N/A</v>
      </c>
    </row>
    <row r="467" spans="2:20" x14ac:dyDescent="0.3">
      <c r="B467" s="48"/>
      <c r="C467" s="48"/>
      <c r="D467" s="10" t="str">
        <f t="shared" ca="1" si="45"/>
        <v/>
      </c>
      <c r="E467" s="48"/>
      <c r="F467" s="48"/>
      <c r="G467" s="10" t="str">
        <f t="shared" ref="G467:G530" ca="1" si="51">IF(O467,IF(K467="hyphenated",M467&amp;N467,IF(K467="dnsname",E467,IF(K467="alphanumeric",SUBSTITUTE(M467&amp;N467,"-",""),"unknown or missing resource structure"))),"")</f>
        <v/>
      </c>
      <c r="I467" s="10" t="str">
        <f t="shared" ca="1" si="46"/>
        <v/>
      </c>
      <c r="K467" s="4" t="e">
        <f t="shared" ca="1" si="47"/>
        <v>#N/A</v>
      </c>
      <c r="L467" s="4" t="e">
        <f>VLOOKUP(C467,_resources!B:D,3,0)</f>
        <v>#N/A</v>
      </c>
      <c r="M467" s="4" t="e" cm="1">
        <f t="array" aca="1" ref="M467" ca="1">IF(abbrAtEnd,"",L467&amp;"-")&amp;E467&amp;"-"&amp;INDIRECT(OFFSET(element3,MATCH($C467,resources,0)-1,0))&amp;"-"&amp;INDIRECT(OFFSET(element4,MATCH($C467,resources,0)-1,0))&amp;"-"&amp;INDIRECT(OFFSET(element5,MATCH($C467,resources,0)-1,0))&amp;IF(OFFSET(element6,MATCH($C467,resources,0)-1,0)="","","-"&amp;INDIRECT(OFFSET(element6,MATCH($C467,resources,0)-1,0)))&amp;IF(abbrAtEnd,"-"&amp;L467,"")</f>
        <v>#N/A</v>
      </c>
      <c r="N467" s="4" t="str">
        <f t="shared" si="50"/>
        <v>-000</v>
      </c>
      <c r="O467" s="4">
        <f ca="1">IF(totalElements+COUNTIF(Entities!$C$10,"*")+COUNTIF(B467:C467,"*")+COUNTIF(E467:F467,"*")=9,1,0)</f>
        <v>0</v>
      </c>
      <c r="P467" s="4">
        <f>COUNTIF($C$6:C467,C467)</f>
        <v>0</v>
      </c>
      <c r="Q467" s="4">
        <f ca="1">IF(ISNA(M467),0,COUNTIF($M$6:M467,M467))</f>
        <v>0</v>
      </c>
      <c r="R467" s="4" t="e">
        <f t="shared" ca="1" si="49"/>
        <v>#N/A</v>
      </c>
      <c r="S467" s="4">
        <f ca="1">IF(ISNA(M467),0,COUNTIF($R$6:R467,R467))</f>
        <v>0</v>
      </c>
      <c r="T467" s="4" t="e">
        <f t="shared" ca="1" si="48"/>
        <v>#N/A</v>
      </c>
    </row>
    <row r="468" spans="2:20" x14ac:dyDescent="0.3">
      <c r="B468" s="48"/>
      <c r="C468" s="48"/>
      <c r="D468" s="10" t="str">
        <f t="shared" ca="1" si="45"/>
        <v/>
      </c>
      <c r="E468" s="48"/>
      <c r="F468" s="48"/>
      <c r="G468" s="10" t="str">
        <f t="shared" ca="1" si="51"/>
        <v/>
      </c>
      <c r="I468" s="10" t="str">
        <f t="shared" ca="1" si="46"/>
        <v/>
      </c>
      <c r="K468" s="4" t="e">
        <f t="shared" ca="1" si="47"/>
        <v>#N/A</v>
      </c>
      <c r="L468" s="4" t="e">
        <f>VLOOKUP(C468,_resources!B:D,3,0)</f>
        <v>#N/A</v>
      </c>
      <c r="M468" s="4" t="e" cm="1">
        <f t="array" aca="1" ref="M468" ca="1">IF(abbrAtEnd,"",L468&amp;"-")&amp;E468&amp;"-"&amp;INDIRECT(OFFSET(element3,MATCH($C468,resources,0)-1,0))&amp;"-"&amp;INDIRECT(OFFSET(element4,MATCH($C468,resources,0)-1,0))&amp;"-"&amp;INDIRECT(OFFSET(element5,MATCH($C468,resources,0)-1,0))&amp;IF(OFFSET(element6,MATCH($C468,resources,0)-1,0)="","","-"&amp;INDIRECT(OFFSET(element6,MATCH($C468,resources,0)-1,0)))&amp;IF(abbrAtEnd,"-"&amp;L468,"")</f>
        <v>#N/A</v>
      </c>
      <c r="N468" s="4" t="str">
        <f t="shared" si="50"/>
        <v>-000</v>
      </c>
      <c r="O468" s="4">
        <f ca="1">IF(totalElements+COUNTIF(Entities!$C$10,"*")+COUNTIF(B468:C468,"*")+COUNTIF(E468:F468,"*")=9,1,0)</f>
        <v>0</v>
      </c>
      <c r="P468" s="4">
        <f>COUNTIF($C$6:C468,C468)</f>
        <v>0</v>
      </c>
      <c r="Q468" s="4">
        <f ca="1">IF(ISNA(M468),0,COUNTIF($M$6:M468,M468))</f>
        <v>0</v>
      </c>
      <c r="R468" s="4" t="e">
        <f t="shared" ca="1" si="49"/>
        <v>#N/A</v>
      </c>
      <c r="S468" s="4">
        <f ca="1">IF(ISNA(M468),0,COUNTIF($R$6:R468,R468))</f>
        <v>0</v>
      </c>
      <c r="T468" s="4" t="e">
        <f t="shared" ca="1" si="48"/>
        <v>#N/A</v>
      </c>
    </row>
    <row r="469" spans="2:20" x14ac:dyDescent="0.3">
      <c r="B469" s="48"/>
      <c r="C469" s="48"/>
      <c r="D469" s="10" t="str">
        <f t="shared" ca="1" si="45"/>
        <v/>
      </c>
      <c r="E469" s="48"/>
      <c r="F469" s="48"/>
      <c r="G469" s="10" t="str">
        <f t="shared" ca="1" si="51"/>
        <v/>
      </c>
      <c r="I469" s="10" t="str">
        <f t="shared" ca="1" si="46"/>
        <v/>
      </c>
      <c r="K469" s="4" t="e">
        <f t="shared" ca="1" si="47"/>
        <v>#N/A</v>
      </c>
      <c r="L469" s="4" t="e">
        <f>VLOOKUP(C469,_resources!B:D,3,0)</f>
        <v>#N/A</v>
      </c>
      <c r="M469" s="4" t="e" cm="1">
        <f t="array" aca="1" ref="M469" ca="1">IF(abbrAtEnd,"",L469&amp;"-")&amp;E469&amp;"-"&amp;INDIRECT(OFFSET(element3,MATCH($C469,resources,0)-1,0))&amp;"-"&amp;INDIRECT(OFFSET(element4,MATCH($C469,resources,0)-1,0))&amp;"-"&amp;INDIRECT(OFFSET(element5,MATCH($C469,resources,0)-1,0))&amp;IF(OFFSET(element6,MATCH($C469,resources,0)-1,0)="","","-"&amp;INDIRECT(OFFSET(element6,MATCH($C469,resources,0)-1,0)))&amp;IF(abbrAtEnd,"-"&amp;L469,"")</f>
        <v>#N/A</v>
      </c>
      <c r="N469" s="4" t="str">
        <f t="shared" si="50"/>
        <v>-000</v>
      </c>
      <c r="O469" s="4">
        <f ca="1">IF(totalElements+COUNTIF(Entities!$C$10,"*")+COUNTIF(B469:C469,"*")+COUNTIF(E469:F469,"*")=9,1,0)</f>
        <v>0</v>
      </c>
      <c r="P469" s="4">
        <f>COUNTIF($C$6:C469,C469)</f>
        <v>0</v>
      </c>
      <c r="Q469" s="4">
        <f ca="1">IF(ISNA(M469),0,COUNTIF($M$6:M469,M469))</f>
        <v>0</v>
      </c>
      <c r="R469" s="4" t="e">
        <f t="shared" ca="1" si="49"/>
        <v>#N/A</v>
      </c>
      <c r="S469" s="4">
        <f ca="1">IF(ISNA(M469),0,COUNTIF($R$6:R469,R469))</f>
        <v>0</v>
      </c>
      <c r="T469" s="4" t="e">
        <f t="shared" ca="1" si="48"/>
        <v>#N/A</v>
      </c>
    </row>
    <row r="470" spans="2:20" x14ac:dyDescent="0.3">
      <c r="B470" s="48"/>
      <c r="C470" s="48"/>
      <c r="D470" s="10" t="str">
        <f t="shared" ca="1" si="45"/>
        <v/>
      </c>
      <c r="E470" s="48"/>
      <c r="F470" s="48"/>
      <c r="G470" s="10" t="str">
        <f t="shared" ca="1" si="51"/>
        <v/>
      </c>
      <c r="I470" s="10" t="str">
        <f t="shared" ca="1" si="46"/>
        <v/>
      </c>
      <c r="K470" s="4" t="e">
        <f t="shared" ca="1" si="47"/>
        <v>#N/A</v>
      </c>
      <c r="L470" s="4" t="e">
        <f>VLOOKUP(C470,_resources!B:D,3,0)</f>
        <v>#N/A</v>
      </c>
      <c r="M470" s="4" t="e" cm="1">
        <f t="array" aca="1" ref="M470" ca="1">IF(abbrAtEnd,"",L470&amp;"-")&amp;E470&amp;"-"&amp;INDIRECT(OFFSET(element3,MATCH($C470,resources,0)-1,0))&amp;"-"&amp;INDIRECT(OFFSET(element4,MATCH($C470,resources,0)-1,0))&amp;"-"&amp;INDIRECT(OFFSET(element5,MATCH($C470,resources,0)-1,0))&amp;IF(OFFSET(element6,MATCH($C470,resources,0)-1,0)="","","-"&amp;INDIRECT(OFFSET(element6,MATCH($C470,resources,0)-1,0)))&amp;IF(abbrAtEnd,"-"&amp;L470,"")</f>
        <v>#N/A</v>
      </c>
      <c r="N470" s="4" t="str">
        <f t="shared" si="50"/>
        <v>-000</v>
      </c>
      <c r="O470" s="4">
        <f ca="1">IF(totalElements+COUNTIF(Entities!$C$10,"*")+COUNTIF(B470:C470,"*")+COUNTIF(E470:F470,"*")=9,1,0)</f>
        <v>0</v>
      </c>
      <c r="P470" s="4">
        <f>COUNTIF($C$6:C470,C470)</f>
        <v>0</v>
      </c>
      <c r="Q470" s="4">
        <f ca="1">IF(ISNA(M470),0,COUNTIF($M$6:M470,M470))</f>
        <v>0</v>
      </c>
      <c r="R470" s="4" t="e">
        <f t="shared" ca="1" si="49"/>
        <v>#N/A</v>
      </c>
      <c r="S470" s="4">
        <f ca="1">IF(ISNA(M470),0,COUNTIF($R$6:R470,R470))</f>
        <v>0</v>
      </c>
      <c r="T470" s="4" t="e">
        <f t="shared" ca="1" si="48"/>
        <v>#N/A</v>
      </c>
    </row>
    <row r="471" spans="2:20" x14ac:dyDescent="0.3">
      <c r="B471" s="48"/>
      <c r="C471" s="48"/>
      <c r="D471" s="10" t="str">
        <f t="shared" ca="1" si="45"/>
        <v/>
      </c>
      <c r="E471" s="48"/>
      <c r="F471" s="48"/>
      <c r="G471" s="10" t="str">
        <f t="shared" ca="1" si="51"/>
        <v/>
      </c>
      <c r="I471" s="10" t="str">
        <f t="shared" ca="1" si="46"/>
        <v/>
      </c>
      <c r="K471" s="4" t="e">
        <f t="shared" ca="1" si="47"/>
        <v>#N/A</v>
      </c>
      <c r="L471" s="4" t="e">
        <f>VLOOKUP(C471,_resources!B:D,3,0)</f>
        <v>#N/A</v>
      </c>
      <c r="M471" s="4" t="e" cm="1">
        <f t="array" aca="1" ref="M471" ca="1">IF(abbrAtEnd,"",L471&amp;"-")&amp;E471&amp;"-"&amp;INDIRECT(OFFSET(element3,MATCH($C471,resources,0)-1,0))&amp;"-"&amp;INDIRECT(OFFSET(element4,MATCH($C471,resources,0)-1,0))&amp;"-"&amp;INDIRECT(OFFSET(element5,MATCH($C471,resources,0)-1,0))&amp;IF(OFFSET(element6,MATCH($C471,resources,0)-1,0)="","","-"&amp;INDIRECT(OFFSET(element6,MATCH($C471,resources,0)-1,0)))&amp;IF(abbrAtEnd,"-"&amp;L471,"")</f>
        <v>#N/A</v>
      </c>
      <c r="N471" s="4" t="str">
        <f t="shared" si="50"/>
        <v>-000</v>
      </c>
      <c r="O471" s="4">
        <f ca="1">IF(totalElements+COUNTIF(Entities!$C$10,"*")+COUNTIF(B471:C471,"*")+COUNTIF(E471:F471,"*")=9,1,0)</f>
        <v>0</v>
      </c>
      <c r="P471" s="4">
        <f>COUNTIF($C$6:C471,C471)</f>
        <v>0</v>
      </c>
      <c r="Q471" s="4">
        <f ca="1">IF(ISNA(M471),0,COUNTIF($M$6:M471,M471))</f>
        <v>0</v>
      </c>
      <c r="R471" s="4" t="e">
        <f t="shared" ca="1" si="49"/>
        <v>#N/A</v>
      </c>
      <c r="S471" s="4">
        <f ca="1">IF(ISNA(M471),0,COUNTIF($R$6:R471,R471))</f>
        <v>0</v>
      </c>
      <c r="T471" s="4" t="e">
        <f t="shared" ca="1" si="48"/>
        <v>#N/A</v>
      </c>
    </row>
    <row r="472" spans="2:20" x14ac:dyDescent="0.3">
      <c r="B472" s="48"/>
      <c r="C472" s="48"/>
      <c r="D472" s="10" t="str">
        <f t="shared" ca="1" si="45"/>
        <v/>
      </c>
      <c r="E472" s="48"/>
      <c r="F472" s="48"/>
      <c r="G472" s="10" t="str">
        <f t="shared" ca="1" si="51"/>
        <v/>
      </c>
      <c r="I472" s="10" t="str">
        <f t="shared" ca="1" si="46"/>
        <v/>
      </c>
      <c r="K472" s="4" t="e">
        <f t="shared" ca="1" si="47"/>
        <v>#N/A</v>
      </c>
      <c r="L472" s="4" t="e">
        <f>VLOOKUP(C472,_resources!B:D,3,0)</f>
        <v>#N/A</v>
      </c>
      <c r="M472" s="4" t="e" cm="1">
        <f t="array" aca="1" ref="M472" ca="1">IF(abbrAtEnd,"",L472&amp;"-")&amp;E472&amp;"-"&amp;INDIRECT(OFFSET(element3,MATCH($C472,resources,0)-1,0))&amp;"-"&amp;INDIRECT(OFFSET(element4,MATCH($C472,resources,0)-1,0))&amp;"-"&amp;INDIRECT(OFFSET(element5,MATCH($C472,resources,0)-1,0))&amp;IF(OFFSET(element6,MATCH($C472,resources,0)-1,0)="","","-"&amp;INDIRECT(OFFSET(element6,MATCH($C472,resources,0)-1,0)))&amp;IF(abbrAtEnd,"-"&amp;L472,"")</f>
        <v>#N/A</v>
      </c>
      <c r="N472" s="4" t="str">
        <f t="shared" si="50"/>
        <v>-000</v>
      </c>
      <c r="O472" s="4">
        <f ca="1">IF(totalElements+COUNTIF(Entities!$C$10,"*")+COUNTIF(B472:C472,"*")+COUNTIF(E472:F472,"*")=9,1,0)</f>
        <v>0</v>
      </c>
      <c r="P472" s="4">
        <f>COUNTIF($C$6:C472,C472)</f>
        <v>0</v>
      </c>
      <c r="Q472" s="4">
        <f ca="1">IF(ISNA(M472),0,COUNTIF($M$6:M472,M472))</f>
        <v>0</v>
      </c>
      <c r="R472" s="4" t="e">
        <f t="shared" ca="1" si="49"/>
        <v>#N/A</v>
      </c>
      <c r="S472" s="4">
        <f ca="1">IF(ISNA(M472),0,COUNTIF($R$6:R472,R472))</f>
        <v>0</v>
      </c>
      <c r="T472" s="4" t="e">
        <f t="shared" ca="1" si="48"/>
        <v>#N/A</v>
      </c>
    </row>
    <row r="473" spans="2:20" x14ac:dyDescent="0.3">
      <c r="B473" s="48"/>
      <c r="C473" s="48"/>
      <c r="D473" s="10" t="str">
        <f t="shared" ca="1" si="45"/>
        <v/>
      </c>
      <c r="E473" s="48"/>
      <c r="F473" s="48"/>
      <c r="G473" s="10" t="str">
        <f t="shared" ca="1" si="51"/>
        <v/>
      </c>
      <c r="I473" s="10" t="str">
        <f t="shared" ca="1" si="46"/>
        <v/>
      </c>
      <c r="K473" s="4" t="e">
        <f t="shared" ca="1" si="47"/>
        <v>#N/A</v>
      </c>
      <c r="L473" s="4" t="e">
        <f>VLOOKUP(C473,_resources!B:D,3,0)</f>
        <v>#N/A</v>
      </c>
      <c r="M473" s="4" t="e" cm="1">
        <f t="array" aca="1" ref="M473" ca="1">IF(abbrAtEnd,"",L473&amp;"-")&amp;E473&amp;"-"&amp;INDIRECT(OFFSET(element3,MATCH($C473,resources,0)-1,0))&amp;"-"&amp;INDIRECT(OFFSET(element4,MATCH($C473,resources,0)-1,0))&amp;"-"&amp;INDIRECT(OFFSET(element5,MATCH($C473,resources,0)-1,0))&amp;IF(OFFSET(element6,MATCH($C473,resources,0)-1,0)="","","-"&amp;INDIRECT(OFFSET(element6,MATCH($C473,resources,0)-1,0)))&amp;IF(abbrAtEnd,"-"&amp;L473,"")</f>
        <v>#N/A</v>
      </c>
      <c r="N473" s="4" t="str">
        <f t="shared" si="50"/>
        <v>-000</v>
      </c>
      <c r="O473" s="4">
        <f ca="1">IF(totalElements+COUNTIF(Entities!$C$10,"*")+COUNTIF(B473:C473,"*")+COUNTIF(E473:F473,"*")=9,1,0)</f>
        <v>0</v>
      </c>
      <c r="P473" s="4">
        <f>COUNTIF($C$6:C473,C473)</f>
        <v>0</v>
      </c>
      <c r="Q473" s="4">
        <f ca="1">IF(ISNA(M473),0,COUNTIF($M$6:M473,M473))</f>
        <v>0</v>
      </c>
      <c r="R473" s="4" t="e">
        <f t="shared" ca="1" si="49"/>
        <v>#N/A</v>
      </c>
      <c r="S473" s="4">
        <f ca="1">IF(ISNA(M473),0,COUNTIF($R$6:R473,R473))</f>
        <v>0</v>
      </c>
      <c r="T473" s="4" t="e">
        <f t="shared" ca="1" si="48"/>
        <v>#N/A</v>
      </c>
    </row>
    <row r="474" spans="2:20" x14ac:dyDescent="0.3">
      <c r="B474" s="48"/>
      <c r="C474" s="48"/>
      <c r="D474" s="10" t="str">
        <f t="shared" ca="1" si="45"/>
        <v/>
      </c>
      <c r="E474" s="48"/>
      <c r="F474" s="48"/>
      <c r="G474" s="10" t="str">
        <f t="shared" ca="1" si="51"/>
        <v/>
      </c>
      <c r="I474" s="10" t="str">
        <f t="shared" ca="1" si="46"/>
        <v/>
      </c>
      <c r="K474" s="4" t="e">
        <f t="shared" ca="1" si="47"/>
        <v>#N/A</v>
      </c>
      <c r="L474" s="4" t="e">
        <f>VLOOKUP(C474,_resources!B:D,3,0)</f>
        <v>#N/A</v>
      </c>
      <c r="M474" s="4" t="e" cm="1">
        <f t="array" aca="1" ref="M474" ca="1">IF(abbrAtEnd,"",L474&amp;"-")&amp;E474&amp;"-"&amp;INDIRECT(OFFSET(element3,MATCH($C474,resources,0)-1,0))&amp;"-"&amp;INDIRECT(OFFSET(element4,MATCH($C474,resources,0)-1,0))&amp;"-"&amp;INDIRECT(OFFSET(element5,MATCH($C474,resources,0)-1,0))&amp;IF(OFFSET(element6,MATCH($C474,resources,0)-1,0)="","","-"&amp;INDIRECT(OFFSET(element6,MATCH($C474,resources,0)-1,0)))&amp;IF(abbrAtEnd,"-"&amp;L474,"")</f>
        <v>#N/A</v>
      </c>
      <c r="N474" s="4" t="str">
        <f t="shared" si="50"/>
        <v>-000</v>
      </c>
      <c r="O474" s="4">
        <f ca="1">IF(totalElements+COUNTIF(Entities!$C$10,"*")+COUNTIF(B474:C474,"*")+COUNTIF(E474:F474,"*")=9,1,0)</f>
        <v>0</v>
      </c>
      <c r="P474" s="4">
        <f>COUNTIF($C$6:C474,C474)</f>
        <v>0</v>
      </c>
      <c r="Q474" s="4">
        <f ca="1">IF(ISNA(M474),0,COUNTIF($M$6:M474,M474))</f>
        <v>0</v>
      </c>
      <c r="R474" s="4" t="e">
        <f t="shared" ca="1" si="49"/>
        <v>#N/A</v>
      </c>
      <c r="S474" s="4">
        <f ca="1">IF(ISNA(M474),0,COUNTIF($R$6:R474,R474))</f>
        <v>0</v>
      </c>
      <c r="T474" s="4" t="e">
        <f t="shared" ca="1" si="48"/>
        <v>#N/A</v>
      </c>
    </row>
    <row r="475" spans="2:20" x14ac:dyDescent="0.3">
      <c r="B475" s="48"/>
      <c r="C475" s="48"/>
      <c r="D475" s="10" t="str">
        <f t="shared" ca="1" si="45"/>
        <v/>
      </c>
      <c r="E475" s="48"/>
      <c r="F475" s="48"/>
      <c r="G475" s="10" t="str">
        <f t="shared" ca="1" si="51"/>
        <v/>
      </c>
      <c r="I475" s="10" t="str">
        <f t="shared" ca="1" si="46"/>
        <v/>
      </c>
      <c r="K475" s="4" t="e">
        <f t="shared" ca="1" si="47"/>
        <v>#N/A</v>
      </c>
      <c r="L475" s="4" t="e">
        <f>VLOOKUP(C475,_resources!B:D,3,0)</f>
        <v>#N/A</v>
      </c>
      <c r="M475" s="4" t="e" cm="1">
        <f t="array" aca="1" ref="M475" ca="1">IF(abbrAtEnd,"",L475&amp;"-")&amp;E475&amp;"-"&amp;INDIRECT(OFFSET(element3,MATCH($C475,resources,0)-1,0))&amp;"-"&amp;INDIRECT(OFFSET(element4,MATCH($C475,resources,0)-1,0))&amp;"-"&amp;INDIRECT(OFFSET(element5,MATCH($C475,resources,0)-1,0))&amp;IF(OFFSET(element6,MATCH($C475,resources,0)-1,0)="","","-"&amp;INDIRECT(OFFSET(element6,MATCH($C475,resources,0)-1,0)))&amp;IF(abbrAtEnd,"-"&amp;L475,"")</f>
        <v>#N/A</v>
      </c>
      <c r="N475" s="4" t="str">
        <f t="shared" si="50"/>
        <v>-000</v>
      </c>
      <c r="O475" s="4">
        <f ca="1">IF(totalElements+COUNTIF(Entities!$C$10,"*")+COUNTIF(B475:C475,"*")+COUNTIF(E475:F475,"*")=9,1,0)</f>
        <v>0</v>
      </c>
      <c r="P475" s="4">
        <f>COUNTIF($C$6:C475,C475)</f>
        <v>0</v>
      </c>
      <c r="Q475" s="4">
        <f ca="1">IF(ISNA(M475),0,COUNTIF($M$6:M475,M475))</f>
        <v>0</v>
      </c>
      <c r="R475" s="4" t="e">
        <f t="shared" ca="1" si="49"/>
        <v>#N/A</v>
      </c>
      <c r="S475" s="4">
        <f ca="1">IF(ISNA(M475),0,COUNTIF($R$6:R475,R475))</f>
        <v>0</v>
      </c>
      <c r="T475" s="4" t="e">
        <f t="shared" ca="1" si="48"/>
        <v>#N/A</v>
      </c>
    </row>
    <row r="476" spans="2:20" x14ac:dyDescent="0.3">
      <c r="B476" s="48"/>
      <c r="C476" s="48"/>
      <c r="D476" s="10" t="str">
        <f t="shared" ca="1" si="45"/>
        <v/>
      </c>
      <c r="E476" s="48"/>
      <c r="F476" s="48"/>
      <c r="G476" s="10" t="str">
        <f t="shared" ca="1" si="51"/>
        <v/>
      </c>
      <c r="I476" s="10" t="str">
        <f t="shared" ca="1" si="46"/>
        <v/>
      </c>
      <c r="K476" s="4" t="e">
        <f t="shared" ca="1" si="47"/>
        <v>#N/A</v>
      </c>
      <c r="L476" s="4" t="e">
        <f>VLOOKUP(C476,_resources!B:D,3,0)</f>
        <v>#N/A</v>
      </c>
      <c r="M476" s="4" t="e" cm="1">
        <f t="array" aca="1" ref="M476" ca="1">IF(abbrAtEnd,"",L476&amp;"-")&amp;E476&amp;"-"&amp;INDIRECT(OFFSET(element3,MATCH($C476,resources,0)-1,0))&amp;"-"&amp;INDIRECT(OFFSET(element4,MATCH($C476,resources,0)-1,0))&amp;"-"&amp;INDIRECT(OFFSET(element5,MATCH($C476,resources,0)-1,0))&amp;IF(OFFSET(element6,MATCH($C476,resources,0)-1,0)="","","-"&amp;INDIRECT(OFFSET(element6,MATCH($C476,resources,0)-1,0)))&amp;IF(abbrAtEnd,"-"&amp;L476,"")</f>
        <v>#N/A</v>
      </c>
      <c r="N476" s="4" t="str">
        <f t="shared" si="50"/>
        <v>-000</v>
      </c>
      <c r="O476" s="4">
        <f ca="1">IF(totalElements+COUNTIF(Entities!$C$10,"*")+COUNTIF(B476:C476,"*")+COUNTIF(E476:F476,"*")=9,1,0)</f>
        <v>0</v>
      </c>
      <c r="P476" s="4">
        <f>COUNTIF($C$6:C476,C476)</f>
        <v>0</v>
      </c>
      <c r="Q476" s="4">
        <f ca="1">IF(ISNA(M476),0,COUNTIF($M$6:M476,M476))</f>
        <v>0</v>
      </c>
      <c r="R476" s="4" t="e">
        <f t="shared" ca="1" si="49"/>
        <v>#N/A</v>
      </c>
      <c r="S476" s="4">
        <f ca="1">IF(ISNA(M476),0,COUNTIF($R$6:R476,R476))</f>
        <v>0</v>
      </c>
      <c r="T476" s="4" t="e">
        <f t="shared" ca="1" si="48"/>
        <v>#N/A</v>
      </c>
    </row>
    <row r="477" spans="2:20" x14ac:dyDescent="0.3">
      <c r="B477" s="48"/>
      <c r="C477" s="48"/>
      <c r="D477" s="10" t="str">
        <f t="shared" ca="1" si="45"/>
        <v/>
      </c>
      <c r="E477" s="48"/>
      <c r="F477" s="48"/>
      <c r="G477" s="10" t="str">
        <f t="shared" ca="1" si="51"/>
        <v/>
      </c>
      <c r="I477" s="10" t="str">
        <f t="shared" ca="1" si="46"/>
        <v/>
      </c>
      <c r="K477" s="4" t="e">
        <f t="shared" ca="1" si="47"/>
        <v>#N/A</v>
      </c>
      <c r="L477" s="4" t="e">
        <f>VLOOKUP(C477,_resources!B:D,3,0)</f>
        <v>#N/A</v>
      </c>
      <c r="M477" s="4" t="e" cm="1">
        <f t="array" aca="1" ref="M477" ca="1">IF(abbrAtEnd,"",L477&amp;"-")&amp;E477&amp;"-"&amp;INDIRECT(OFFSET(element3,MATCH($C477,resources,0)-1,0))&amp;"-"&amp;INDIRECT(OFFSET(element4,MATCH($C477,resources,0)-1,0))&amp;"-"&amp;INDIRECT(OFFSET(element5,MATCH($C477,resources,0)-1,0))&amp;IF(OFFSET(element6,MATCH($C477,resources,0)-1,0)="","","-"&amp;INDIRECT(OFFSET(element6,MATCH($C477,resources,0)-1,0)))&amp;IF(abbrAtEnd,"-"&amp;L477,"")</f>
        <v>#N/A</v>
      </c>
      <c r="N477" s="4" t="str">
        <f t="shared" si="50"/>
        <v>-000</v>
      </c>
      <c r="O477" s="4">
        <f ca="1">IF(totalElements+COUNTIF(Entities!$C$10,"*")+COUNTIF(B477:C477,"*")+COUNTIF(E477:F477,"*")=9,1,0)</f>
        <v>0</v>
      </c>
      <c r="P477" s="4">
        <f>COUNTIF($C$6:C477,C477)</f>
        <v>0</v>
      </c>
      <c r="Q477" s="4">
        <f ca="1">IF(ISNA(M477),0,COUNTIF($M$6:M477,M477))</f>
        <v>0</v>
      </c>
      <c r="R477" s="4" t="e">
        <f t="shared" ca="1" si="49"/>
        <v>#N/A</v>
      </c>
      <c r="S477" s="4">
        <f ca="1">IF(ISNA(M477),0,COUNTIF($R$6:R477,R477))</f>
        <v>0</v>
      </c>
      <c r="T477" s="4" t="e">
        <f t="shared" ca="1" si="48"/>
        <v>#N/A</v>
      </c>
    </row>
    <row r="478" spans="2:20" x14ac:dyDescent="0.3">
      <c r="B478" s="48"/>
      <c r="C478" s="48"/>
      <c r="D478" s="10" t="str">
        <f t="shared" ca="1" si="45"/>
        <v/>
      </c>
      <c r="E478" s="48"/>
      <c r="F478" s="48"/>
      <c r="G478" s="10" t="str">
        <f t="shared" ca="1" si="51"/>
        <v/>
      </c>
      <c r="I478" s="10" t="str">
        <f t="shared" ca="1" si="46"/>
        <v/>
      </c>
      <c r="K478" s="4" t="e">
        <f t="shared" ca="1" si="47"/>
        <v>#N/A</v>
      </c>
      <c r="L478" s="4" t="e">
        <f>VLOOKUP(C478,_resources!B:D,3,0)</f>
        <v>#N/A</v>
      </c>
      <c r="M478" s="4" t="e" cm="1">
        <f t="array" aca="1" ref="M478" ca="1">IF(abbrAtEnd,"",L478&amp;"-")&amp;E478&amp;"-"&amp;INDIRECT(OFFSET(element3,MATCH($C478,resources,0)-1,0))&amp;"-"&amp;INDIRECT(OFFSET(element4,MATCH($C478,resources,0)-1,0))&amp;"-"&amp;INDIRECT(OFFSET(element5,MATCH($C478,resources,0)-1,0))&amp;IF(OFFSET(element6,MATCH($C478,resources,0)-1,0)="","","-"&amp;INDIRECT(OFFSET(element6,MATCH($C478,resources,0)-1,0)))&amp;IF(abbrAtEnd,"-"&amp;L478,"")</f>
        <v>#N/A</v>
      </c>
      <c r="N478" s="4" t="str">
        <f t="shared" si="50"/>
        <v>-000</v>
      </c>
      <c r="O478" s="4">
        <f ca="1">IF(totalElements+COUNTIF(Entities!$C$10,"*")+COUNTIF(B478:C478,"*")+COUNTIF(E478:F478,"*")=9,1,0)</f>
        <v>0</v>
      </c>
      <c r="P478" s="4">
        <f>COUNTIF($C$6:C478,C478)</f>
        <v>0</v>
      </c>
      <c r="Q478" s="4">
        <f ca="1">IF(ISNA(M478),0,COUNTIF($M$6:M478,M478))</f>
        <v>0</v>
      </c>
      <c r="R478" s="4" t="e">
        <f t="shared" ca="1" si="49"/>
        <v>#N/A</v>
      </c>
      <c r="S478" s="4">
        <f ca="1">IF(ISNA(M478),0,COUNTIF($R$6:R478,R478))</f>
        <v>0</v>
      </c>
      <c r="T478" s="4" t="e">
        <f t="shared" ca="1" si="48"/>
        <v>#N/A</v>
      </c>
    </row>
    <row r="479" spans="2:20" x14ac:dyDescent="0.3">
      <c r="B479" s="48"/>
      <c r="C479" s="48"/>
      <c r="D479" s="10" t="str">
        <f t="shared" ca="1" si="45"/>
        <v/>
      </c>
      <c r="E479" s="48"/>
      <c r="F479" s="48"/>
      <c r="G479" s="10" t="str">
        <f t="shared" ca="1" si="51"/>
        <v/>
      </c>
      <c r="I479" s="10" t="str">
        <f t="shared" ca="1" si="46"/>
        <v/>
      </c>
      <c r="K479" s="4" t="e">
        <f t="shared" ca="1" si="47"/>
        <v>#N/A</v>
      </c>
      <c r="L479" s="4" t="e">
        <f>VLOOKUP(C479,_resources!B:D,3,0)</f>
        <v>#N/A</v>
      </c>
      <c r="M479" s="4" t="e" cm="1">
        <f t="array" aca="1" ref="M479" ca="1">IF(abbrAtEnd,"",L479&amp;"-")&amp;E479&amp;"-"&amp;INDIRECT(OFFSET(element3,MATCH($C479,resources,0)-1,0))&amp;"-"&amp;INDIRECT(OFFSET(element4,MATCH($C479,resources,0)-1,0))&amp;"-"&amp;INDIRECT(OFFSET(element5,MATCH($C479,resources,0)-1,0))&amp;IF(OFFSET(element6,MATCH($C479,resources,0)-1,0)="","","-"&amp;INDIRECT(OFFSET(element6,MATCH($C479,resources,0)-1,0)))&amp;IF(abbrAtEnd,"-"&amp;L479,"")</f>
        <v>#N/A</v>
      </c>
      <c r="N479" s="4" t="str">
        <f t="shared" si="50"/>
        <v>-000</v>
      </c>
      <c r="O479" s="4">
        <f ca="1">IF(totalElements+COUNTIF(Entities!$C$10,"*")+COUNTIF(B479:C479,"*")+COUNTIF(E479:F479,"*")=9,1,0)</f>
        <v>0</v>
      </c>
      <c r="P479" s="4">
        <f>COUNTIF($C$6:C479,C479)</f>
        <v>0</v>
      </c>
      <c r="Q479" s="4">
        <f ca="1">IF(ISNA(M479),0,COUNTIF($M$6:M479,M479))</f>
        <v>0</v>
      </c>
      <c r="R479" s="4" t="e">
        <f t="shared" ca="1" si="49"/>
        <v>#N/A</v>
      </c>
      <c r="S479" s="4">
        <f ca="1">IF(ISNA(M479),0,COUNTIF($R$6:R479,R479))</f>
        <v>0</v>
      </c>
      <c r="T479" s="4" t="e">
        <f t="shared" ca="1" si="48"/>
        <v>#N/A</v>
      </c>
    </row>
    <row r="480" spans="2:20" x14ac:dyDescent="0.3">
      <c r="B480" s="48"/>
      <c r="C480" s="48"/>
      <c r="D480" s="10" t="str">
        <f t="shared" ca="1" si="45"/>
        <v/>
      </c>
      <c r="E480" s="48"/>
      <c r="F480" s="48"/>
      <c r="G480" s="10" t="str">
        <f t="shared" ca="1" si="51"/>
        <v/>
      </c>
      <c r="I480" s="10" t="str">
        <f t="shared" ca="1" si="46"/>
        <v/>
      </c>
      <c r="K480" s="4" t="e">
        <f t="shared" ca="1" si="47"/>
        <v>#N/A</v>
      </c>
      <c r="L480" s="4" t="e">
        <f>VLOOKUP(C480,_resources!B:D,3,0)</f>
        <v>#N/A</v>
      </c>
      <c r="M480" s="4" t="e" cm="1">
        <f t="array" aca="1" ref="M480" ca="1">IF(abbrAtEnd,"",L480&amp;"-")&amp;E480&amp;"-"&amp;INDIRECT(OFFSET(element3,MATCH($C480,resources,0)-1,0))&amp;"-"&amp;INDIRECT(OFFSET(element4,MATCH($C480,resources,0)-1,0))&amp;"-"&amp;INDIRECT(OFFSET(element5,MATCH($C480,resources,0)-1,0))&amp;IF(OFFSET(element6,MATCH($C480,resources,0)-1,0)="","","-"&amp;INDIRECT(OFFSET(element6,MATCH($C480,resources,0)-1,0)))&amp;IF(abbrAtEnd,"-"&amp;L480,"")</f>
        <v>#N/A</v>
      </c>
      <c r="N480" s="4" t="str">
        <f t="shared" si="50"/>
        <v>-000</v>
      </c>
      <c r="O480" s="4">
        <f ca="1">IF(totalElements+COUNTIF(Entities!$C$10,"*")+COUNTIF(B480:C480,"*")+COUNTIF(E480:F480,"*")=9,1,0)</f>
        <v>0</v>
      </c>
      <c r="P480" s="4">
        <f>COUNTIF($C$6:C480,C480)</f>
        <v>0</v>
      </c>
      <c r="Q480" s="4">
        <f ca="1">IF(ISNA(M480),0,COUNTIF($M$6:M480,M480))</f>
        <v>0</v>
      </c>
      <c r="R480" s="4" t="e">
        <f t="shared" ca="1" si="49"/>
        <v>#N/A</v>
      </c>
      <c r="S480" s="4">
        <f ca="1">IF(ISNA(M480),0,COUNTIF($R$6:R480,R480))</f>
        <v>0</v>
      </c>
      <c r="T480" s="4" t="e">
        <f t="shared" ca="1" si="48"/>
        <v>#N/A</v>
      </c>
    </row>
    <row r="481" spans="2:20" x14ac:dyDescent="0.3">
      <c r="B481" s="48"/>
      <c r="C481" s="48"/>
      <c r="D481" s="10" t="str">
        <f t="shared" ca="1" si="45"/>
        <v/>
      </c>
      <c r="E481" s="48"/>
      <c r="F481" s="48"/>
      <c r="G481" s="10" t="str">
        <f t="shared" ca="1" si="51"/>
        <v/>
      </c>
      <c r="I481" s="10" t="str">
        <f t="shared" ca="1" si="46"/>
        <v/>
      </c>
      <c r="K481" s="4" t="e">
        <f t="shared" ca="1" si="47"/>
        <v>#N/A</v>
      </c>
      <c r="L481" s="4" t="e">
        <f>VLOOKUP(C481,_resources!B:D,3,0)</f>
        <v>#N/A</v>
      </c>
      <c r="M481" s="4" t="e" cm="1">
        <f t="array" aca="1" ref="M481" ca="1">IF(abbrAtEnd,"",L481&amp;"-")&amp;E481&amp;"-"&amp;INDIRECT(OFFSET(element3,MATCH($C481,resources,0)-1,0))&amp;"-"&amp;INDIRECT(OFFSET(element4,MATCH($C481,resources,0)-1,0))&amp;"-"&amp;INDIRECT(OFFSET(element5,MATCH($C481,resources,0)-1,0))&amp;IF(OFFSET(element6,MATCH($C481,resources,0)-1,0)="","","-"&amp;INDIRECT(OFFSET(element6,MATCH($C481,resources,0)-1,0)))&amp;IF(abbrAtEnd,"-"&amp;L481,"")</f>
        <v>#N/A</v>
      </c>
      <c r="N481" s="4" t="str">
        <f t="shared" si="50"/>
        <v>-000</v>
      </c>
      <c r="O481" s="4">
        <f ca="1">IF(totalElements+COUNTIF(Entities!$C$10,"*")+COUNTIF(B481:C481,"*")+COUNTIF(E481:F481,"*")=9,1,0)</f>
        <v>0</v>
      </c>
      <c r="P481" s="4">
        <f>COUNTIF($C$6:C481,C481)</f>
        <v>0</v>
      </c>
      <c r="Q481" s="4">
        <f ca="1">IF(ISNA(M481),0,COUNTIF($M$6:M481,M481))</f>
        <v>0</v>
      </c>
      <c r="R481" s="4" t="e">
        <f t="shared" ca="1" si="49"/>
        <v>#N/A</v>
      </c>
      <c r="S481" s="4">
        <f ca="1">IF(ISNA(M481),0,COUNTIF($R$6:R481,R481))</f>
        <v>0</v>
      </c>
      <c r="T481" s="4" t="e">
        <f t="shared" ca="1" si="48"/>
        <v>#N/A</v>
      </c>
    </row>
    <row r="482" spans="2:20" x14ac:dyDescent="0.3">
      <c r="B482" s="48"/>
      <c r="C482" s="48"/>
      <c r="D482" s="10" t="str">
        <f t="shared" ca="1" si="45"/>
        <v/>
      </c>
      <c r="E482" s="48"/>
      <c r="F482" s="48"/>
      <c r="G482" s="10" t="str">
        <f t="shared" ca="1" si="51"/>
        <v/>
      </c>
      <c r="I482" s="10" t="str">
        <f t="shared" ca="1" si="46"/>
        <v/>
      </c>
      <c r="K482" s="4" t="e">
        <f t="shared" ca="1" si="47"/>
        <v>#N/A</v>
      </c>
      <c r="L482" s="4" t="e">
        <f>VLOOKUP(C482,_resources!B:D,3,0)</f>
        <v>#N/A</v>
      </c>
      <c r="M482" s="4" t="e" cm="1">
        <f t="array" aca="1" ref="M482" ca="1">IF(abbrAtEnd,"",L482&amp;"-")&amp;E482&amp;"-"&amp;INDIRECT(OFFSET(element3,MATCH($C482,resources,0)-1,0))&amp;"-"&amp;INDIRECT(OFFSET(element4,MATCH($C482,resources,0)-1,0))&amp;"-"&amp;INDIRECT(OFFSET(element5,MATCH($C482,resources,0)-1,0))&amp;IF(OFFSET(element6,MATCH($C482,resources,0)-1,0)="","","-"&amp;INDIRECT(OFFSET(element6,MATCH($C482,resources,0)-1,0)))&amp;IF(abbrAtEnd,"-"&amp;L482,"")</f>
        <v>#N/A</v>
      </c>
      <c r="N482" s="4" t="str">
        <f t="shared" si="50"/>
        <v>-000</v>
      </c>
      <c r="O482" s="4">
        <f ca="1">IF(totalElements+COUNTIF(Entities!$C$10,"*")+COUNTIF(B482:C482,"*")+COUNTIF(E482:F482,"*")=9,1,0)</f>
        <v>0</v>
      </c>
      <c r="P482" s="4">
        <f>COUNTIF($C$6:C482,C482)</f>
        <v>0</v>
      </c>
      <c r="Q482" s="4">
        <f ca="1">IF(ISNA(M482),0,COUNTIF($M$6:M482,M482))</f>
        <v>0</v>
      </c>
      <c r="R482" s="4" t="e">
        <f t="shared" ca="1" si="49"/>
        <v>#N/A</v>
      </c>
      <c r="S482" s="4">
        <f ca="1">IF(ISNA(M482),0,COUNTIF($R$6:R482,R482))</f>
        <v>0</v>
      </c>
      <c r="T482" s="4" t="e">
        <f t="shared" ca="1" si="48"/>
        <v>#N/A</v>
      </c>
    </row>
    <row r="483" spans="2:20" x14ac:dyDescent="0.3">
      <c r="B483" s="48"/>
      <c r="C483" s="48"/>
      <c r="D483" s="10" t="str">
        <f t="shared" ca="1" si="45"/>
        <v/>
      </c>
      <c r="E483" s="48"/>
      <c r="F483" s="48"/>
      <c r="G483" s="10" t="str">
        <f t="shared" ca="1" si="51"/>
        <v/>
      </c>
      <c r="I483" s="10" t="str">
        <f t="shared" ca="1" si="46"/>
        <v/>
      </c>
      <c r="K483" s="4" t="e">
        <f t="shared" ca="1" si="47"/>
        <v>#N/A</v>
      </c>
      <c r="L483" s="4" t="e">
        <f>VLOOKUP(C483,_resources!B:D,3,0)</f>
        <v>#N/A</v>
      </c>
      <c r="M483" s="4" t="e" cm="1">
        <f t="array" aca="1" ref="M483" ca="1">IF(abbrAtEnd,"",L483&amp;"-")&amp;E483&amp;"-"&amp;INDIRECT(OFFSET(element3,MATCH($C483,resources,0)-1,0))&amp;"-"&amp;INDIRECT(OFFSET(element4,MATCH($C483,resources,0)-1,0))&amp;"-"&amp;INDIRECT(OFFSET(element5,MATCH($C483,resources,0)-1,0))&amp;IF(OFFSET(element6,MATCH($C483,resources,0)-1,0)="","","-"&amp;INDIRECT(OFFSET(element6,MATCH($C483,resources,0)-1,0)))&amp;IF(abbrAtEnd,"-"&amp;L483,"")</f>
        <v>#N/A</v>
      </c>
      <c r="N483" s="4" t="str">
        <f t="shared" si="50"/>
        <v>-000</v>
      </c>
      <c r="O483" s="4">
        <f ca="1">IF(totalElements+COUNTIF(Entities!$C$10,"*")+COUNTIF(B483:C483,"*")+COUNTIF(E483:F483,"*")=9,1,0)</f>
        <v>0</v>
      </c>
      <c r="P483" s="4">
        <f>COUNTIF($C$6:C483,C483)</f>
        <v>0</v>
      </c>
      <c r="Q483" s="4">
        <f ca="1">IF(ISNA(M483),0,COUNTIF($M$6:M483,M483))</f>
        <v>0</v>
      </c>
      <c r="R483" s="4" t="e">
        <f t="shared" ca="1" si="49"/>
        <v>#N/A</v>
      </c>
      <c r="S483" s="4">
        <f ca="1">IF(ISNA(M483),0,COUNTIF($R$6:R483,R483))</f>
        <v>0</v>
      </c>
      <c r="T483" s="4" t="e">
        <f t="shared" ca="1" si="48"/>
        <v>#N/A</v>
      </c>
    </row>
    <row r="484" spans="2:20" x14ac:dyDescent="0.3">
      <c r="B484" s="48"/>
      <c r="C484" s="48"/>
      <c r="D484" s="10" t="str">
        <f t="shared" ca="1" si="45"/>
        <v/>
      </c>
      <c r="E484" s="48"/>
      <c r="F484" s="48"/>
      <c r="G484" s="10" t="str">
        <f t="shared" ca="1" si="51"/>
        <v/>
      </c>
      <c r="I484" s="10" t="str">
        <f t="shared" ca="1" si="46"/>
        <v/>
      </c>
      <c r="K484" s="4" t="e">
        <f t="shared" ca="1" si="47"/>
        <v>#N/A</v>
      </c>
      <c r="L484" s="4" t="e">
        <f>VLOOKUP(C484,_resources!B:D,3,0)</f>
        <v>#N/A</v>
      </c>
      <c r="M484" s="4" t="e" cm="1">
        <f t="array" aca="1" ref="M484" ca="1">IF(abbrAtEnd,"",L484&amp;"-")&amp;E484&amp;"-"&amp;INDIRECT(OFFSET(element3,MATCH($C484,resources,0)-1,0))&amp;"-"&amp;INDIRECT(OFFSET(element4,MATCH($C484,resources,0)-1,0))&amp;"-"&amp;INDIRECT(OFFSET(element5,MATCH($C484,resources,0)-1,0))&amp;IF(OFFSET(element6,MATCH($C484,resources,0)-1,0)="","","-"&amp;INDIRECT(OFFSET(element6,MATCH($C484,resources,0)-1,0)))&amp;IF(abbrAtEnd,"-"&amp;L484,"")</f>
        <v>#N/A</v>
      </c>
      <c r="N484" s="4" t="str">
        <f t="shared" si="50"/>
        <v>-000</v>
      </c>
      <c r="O484" s="4">
        <f ca="1">IF(totalElements+COUNTIF(Entities!$C$10,"*")+COUNTIF(B484:C484,"*")+COUNTIF(E484:F484,"*")=9,1,0)</f>
        <v>0</v>
      </c>
      <c r="P484" s="4">
        <f>COUNTIF($C$6:C484,C484)</f>
        <v>0</v>
      </c>
      <c r="Q484" s="4">
        <f ca="1">IF(ISNA(M484),0,COUNTIF($M$6:M484,M484))</f>
        <v>0</v>
      </c>
      <c r="R484" s="4" t="e">
        <f t="shared" ca="1" si="49"/>
        <v>#N/A</v>
      </c>
      <c r="S484" s="4">
        <f ca="1">IF(ISNA(M484),0,COUNTIF($R$6:R484,R484))</f>
        <v>0</v>
      </c>
      <c r="T484" s="4" t="e">
        <f t="shared" ca="1" si="48"/>
        <v>#N/A</v>
      </c>
    </row>
    <row r="485" spans="2:20" x14ac:dyDescent="0.3">
      <c r="B485" s="48"/>
      <c r="C485" s="48"/>
      <c r="D485" s="10" t="str">
        <f t="shared" ca="1" si="45"/>
        <v/>
      </c>
      <c r="E485" s="48"/>
      <c r="F485" s="48"/>
      <c r="G485" s="10" t="str">
        <f t="shared" ca="1" si="51"/>
        <v/>
      </c>
      <c r="I485" s="10" t="str">
        <f t="shared" ca="1" si="46"/>
        <v/>
      </c>
      <c r="K485" s="4" t="e">
        <f t="shared" ca="1" si="47"/>
        <v>#N/A</v>
      </c>
      <c r="L485" s="4" t="e">
        <f>VLOOKUP(C485,_resources!B:D,3,0)</f>
        <v>#N/A</v>
      </c>
      <c r="M485" s="4" t="e" cm="1">
        <f t="array" aca="1" ref="M485" ca="1">IF(abbrAtEnd,"",L485&amp;"-")&amp;E485&amp;"-"&amp;INDIRECT(OFFSET(element3,MATCH($C485,resources,0)-1,0))&amp;"-"&amp;INDIRECT(OFFSET(element4,MATCH($C485,resources,0)-1,0))&amp;"-"&amp;INDIRECT(OFFSET(element5,MATCH($C485,resources,0)-1,0))&amp;IF(OFFSET(element6,MATCH($C485,resources,0)-1,0)="","","-"&amp;INDIRECT(OFFSET(element6,MATCH($C485,resources,0)-1,0)))&amp;IF(abbrAtEnd,"-"&amp;L485,"")</f>
        <v>#N/A</v>
      </c>
      <c r="N485" s="4" t="str">
        <f t="shared" si="50"/>
        <v>-000</v>
      </c>
      <c r="O485" s="4">
        <f ca="1">IF(totalElements+COUNTIF(Entities!$C$10,"*")+COUNTIF(B485:C485,"*")+COUNTIF(E485:F485,"*")=9,1,0)</f>
        <v>0</v>
      </c>
      <c r="P485" s="4">
        <f>COUNTIF($C$6:C485,C485)</f>
        <v>0</v>
      </c>
      <c r="Q485" s="4">
        <f ca="1">IF(ISNA(M485),0,COUNTIF($M$6:M485,M485))</f>
        <v>0</v>
      </c>
      <c r="R485" s="4" t="e">
        <f t="shared" ca="1" si="49"/>
        <v>#N/A</v>
      </c>
      <c r="S485" s="4">
        <f ca="1">IF(ISNA(M485),0,COUNTIF($R$6:R485,R485))</f>
        <v>0</v>
      </c>
      <c r="T485" s="4" t="e">
        <f t="shared" ca="1" si="48"/>
        <v>#N/A</v>
      </c>
    </row>
    <row r="486" spans="2:20" x14ac:dyDescent="0.3">
      <c r="B486" s="48"/>
      <c r="C486" s="48"/>
      <c r="D486" s="10" t="str">
        <f t="shared" ca="1" si="45"/>
        <v/>
      </c>
      <c r="E486" s="48"/>
      <c r="F486" s="48"/>
      <c r="G486" s="10" t="str">
        <f t="shared" ca="1" si="51"/>
        <v/>
      </c>
      <c r="I486" s="10" t="str">
        <f t="shared" ca="1" si="46"/>
        <v/>
      </c>
      <c r="K486" s="4" t="e">
        <f t="shared" ca="1" si="47"/>
        <v>#N/A</v>
      </c>
      <c r="L486" s="4" t="e">
        <f>VLOOKUP(C486,_resources!B:D,3,0)</f>
        <v>#N/A</v>
      </c>
      <c r="M486" s="4" t="e" cm="1">
        <f t="array" aca="1" ref="M486" ca="1">IF(abbrAtEnd,"",L486&amp;"-")&amp;E486&amp;"-"&amp;INDIRECT(OFFSET(element3,MATCH($C486,resources,0)-1,0))&amp;"-"&amp;INDIRECT(OFFSET(element4,MATCH($C486,resources,0)-1,0))&amp;"-"&amp;INDIRECT(OFFSET(element5,MATCH($C486,resources,0)-1,0))&amp;IF(OFFSET(element6,MATCH($C486,resources,0)-1,0)="","","-"&amp;INDIRECT(OFFSET(element6,MATCH($C486,resources,0)-1,0)))&amp;IF(abbrAtEnd,"-"&amp;L486,"")</f>
        <v>#N/A</v>
      </c>
      <c r="N486" s="4" t="str">
        <f t="shared" si="50"/>
        <v>-000</v>
      </c>
      <c r="O486" s="4">
        <f ca="1">IF(totalElements+COUNTIF(Entities!$C$10,"*")+COUNTIF(B486:C486,"*")+COUNTIF(E486:F486,"*")=9,1,0)</f>
        <v>0</v>
      </c>
      <c r="P486" s="4">
        <f>COUNTIF($C$6:C486,C486)</f>
        <v>0</v>
      </c>
      <c r="Q486" s="4">
        <f ca="1">IF(ISNA(M486),0,COUNTIF($M$6:M486,M486))</f>
        <v>0</v>
      </c>
      <c r="R486" s="4" t="e">
        <f t="shared" ca="1" si="49"/>
        <v>#N/A</v>
      </c>
      <c r="S486" s="4">
        <f ca="1">IF(ISNA(M486),0,COUNTIF($R$6:R486,R486))</f>
        <v>0</v>
      </c>
      <c r="T486" s="4" t="e">
        <f t="shared" ca="1" si="48"/>
        <v>#N/A</v>
      </c>
    </row>
    <row r="487" spans="2:20" x14ac:dyDescent="0.3">
      <c r="B487" s="48"/>
      <c r="C487" s="48"/>
      <c r="D487" s="10" t="str">
        <f t="shared" ca="1" si="45"/>
        <v/>
      </c>
      <c r="E487" s="48"/>
      <c r="F487" s="48"/>
      <c r="G487" s="10" t="str">
        <f t="shared" ca="1" si="51"/>
        <v/>
      </c>
      <c r="I487" s="10" t="str">
        <f t="shared" ca="1" si="46"/>
        <v/>
      </c>
      <c r="K487" s="4" t="e">
        <f t="shared" ca="1" si="47"/>
        <v>#N/A</v>
      </c>
      <c r="L487" s="4" t="e">
        <f>VLOOKUP(C487,_resources!B:D,3,0)</f>
        <v>#N/A</v>
      </c>
      <c r="M487" s="4" t="e" cm="1">
        <f t="array" aca="1" ref="M487" ca="1">IF(abbrAtEnd,"",L487&amp;"-")&amp;E487&amp;"-"&amp;INDIRECT(OFFSET(element3,MATCH($C487,resources,0)-1,0))&amp;"-"&amp;INDIRECT(OFFSET(element4,MATCH($C487,resources,0)-1,0))&amp;"-"&amp;INDIRECT(OFFSET(element5,MATCH($C487,resources,0)-1,0))&amp;IF(OFFSET(element6,MATCH($C487,resources,0)-1,0)="","","-"&amp;INDIRECT(OFFSET(element6,MATCH($C487,resources,0)-1,0)))&amp;IF(abbrAtEnd,"-"&amp;L487,"")</f>
        <v>#N/A</v>
      </c>
      <c r="N487" s="4" t="str">
        <f t="shared" si="50"/>
        <v>-000</v>
      </c>
      <c r="O487" s="4">
        <f ca="1">IF(totalElements+COUNTIF(Entities!$C$10,"*")+COUNTIF(B487:C487,"*")+COUNTIF(E487:F487,"*")=9,1,0)</f>
        <v>0</v>
      </c>
      <c r="P487" s="4">
        <f>COUNTIF($C$6:C487,C487)</f>
        <v>0</v>
      </c>
      <c r="Q487" s="4">
        <f ca="1">IF(ISNA(M487),0,COUNTIF($M$6:M487,M487))</f>
        <v>0</v>
      </c>
      <c r="R487" s="4" t="e">
        <f t="shared" ca="1" si="49"/>
        <v>#N/A</v>
      </c>
      <c r="S487" s="4">
        <f ca="1">IF(ISNA(M487),0,COUNTIF($R$6:R487,R487))</f>
        <v>0</v>
      </c>
      <c r="T487" s="4" t="e">
        <f t="shared" ca="1" si="48"/>
        <v>#N/A</v>
      </c>
    </row>
    <row r="488" spans="2:20" x14ac:dyDescent="0.3">
      <c r="B488" s="48"/>
      <c r="C488" s="48"/>
      <c r="D488" s="10" t="str">
        <f t="shared" ca="1" si="45"/>
        <v/>
      </c>
      <c r="E488" s="48"/>
      <c r="F488" s="48"/>
      <c r="G488" s="10" t="str">
        <f t="shared" ca="1" si="51"/>
        <v/>
      </c>
      <c r="I488" s="10" t="str">
        <f t="shared" ca="1" si="46"/>
        <v/>
      </c>
      <c r="K488" s="4" t="e">
        <f t="shared" ca="1" si="47"/>
        <v>#N/A</v>
      </c>
      <c r="L488" s="4" t="e">
        <f>VLOOKUP(C488,_resources!B:D,3,0)</f>
        <v>#N/A</v>
      </c>
      <c r="M488" s="4" t="e" cm="1">
        <f t="array" aca="1" ref="M488" ca="1">IF(abbrAtEnd,"",L488&amp;"-")&amp;E488&amp;"-"&amp;INDIRECT(OFFSET(element3,MATCH($C488,resources,0)-1,0))&amp;"-"&amp;INDIRECT(OFFSET(element4,MATCH($C488,resources,0)-1,0))&amp;"-"&amp;INDIRECT(OFFSET(element5,MATCH($C488,resources,0)-1,0))&amp;IF(OFFSET(element6,MATCH($C488,resources,0)-1,0)="","","-"&amp;INDIRECT(OFFSET(element6,MATCH($C488,resources,0)-1,0)))&amp;IF(abbrAtEnd,"-"&amp;L488,"")</f>
        <v>#N/A</v>
      </c>
      <c r="N488" s="4" t="str">
        <f t="shared" si="50"/>
        <v>-000</v>
      </c>
      <c r="O488" s="4">
        <f ca="1">IF(totalElements+COUNTIF(Entities!$C$10,"*")+COUNTIF(B488:C488,"*")+COUNTIF(E488:F488,"*")=9,1,0)</f>
        <v>0</v>
      </c>
      <c r="P488" s="4">
        <f>COUNTIF($C$6:C488,C488)</f>
        <v>0</v>
      </c>
      <c r="Q488" s="4">
        <f ca="1">IF(ISNA(M488),0,COUNTIF($M$6:M488,M488))</f>
        <v>0</v>
      </c>
      <c r="R488" s="4" t="e">
        <f t="shared" ca="1" si="49"/>
        <v>#N/A</v>
      </c>
      <c r="S488" s="4">
        <f ca="1">IF(ISNA(M488),0,COUNTIF($R$6:R488,R488))</f>
        <v>0</v>
      </c>
      <c r="T488" s="4" t="e">
        <f t="shared" ca="1" si="48"/>
        <v>#N/A</v>
      </c>
    </row>
    <row r="489" spans="2:20" x14ac:dyDescent="0.3">
      <c r="B489" s="48"/>
      <c r="C489" s="48"/>
      <c r="D489" s="10" t="str">
        <f t="shared" ca="1" si="45"/>
        <v/>
      </c>
      <c r="E489" s="48"/>
      <c r="F489" s="48"/>
      <c r="G489" s="10" t="str">
        <f t="shared" ca="1" si="51"/>
        <v/>
      </c>
      <c r="I489" s="10" t="str">
        <f t="shared" ca="1" si="46"/>
        <v/>
      </c>
      <c r="K489" s="4" t="e">
        <f t="shared" ca="1" si="47"/>
        <v>#N/A</v>
      </c>
      <c r="L489" s="4" t="e">
        <f>VLOOKUP(C489,_resources!B:D,3,0)</f>
        <v>#N/A</v>
      </c>
      <c r="M489" s="4" t="e" cm="1">
        <f t="array" aca="1" ref="M489" ca="1">IF(abbrAtEnd,"",L489&amp;"-")&amp;E489&amp;"-"&amp;INDIRECT(OFFSET(element3,MATCH($C489,resources,0)-1,0))&amp;"-"&amp;INDIRECT(OFFSET(element4,MATCH($C489,resources,0)-1,0))&amp;"-"&amp;INDIRECT(OFFSET(element5,MATCH($C489,resources,0)-1,0))&amp;IF(OFFSET(element6,MATCH($C489,resources,0)-1,0)="","","-"&amp;INDIRECT(OFFSET(element6,MATCH($C489,resources,0)-1,0)))&amp;IF(abbrAtEnd,"-"&amp;L489,"")</f>
        <v>#N/A</v>
      </c>
      <c r="N489" s="4" t="str">
        <f t="shared" si="50"/>
        <v>-000</v>
      </c>
      <c r="O489" s="4">
        <f ca="1">IF(totalElements+COUNTIF(Entities!$C$10,"*")+COUNTIF(B489:C489,"*")+COUNTIF(E489:F489,"*")=9,1,0)</f>
        <v>0</v>
      </c>
      <c r="P489" s="4">
        <f>COUNTIF($C$6:C489,C489)</f>
        <v>0</v>
      </c>
      <c r="Q489" s="4">
        <f ca="1">IF(ISNA(M489),0,COUNTIF($M$6:M489,M489))</f>
        <v>0</v>
      </c>
      <c r="R489" s="4" t="e">
        <f t="shared" ca="1" si="49"/>
        <v>#N/A</v>
      </c>
      <c r="S489" s="4">
        <f ca="1">IF(ISNA(M489),0,COUNTIF($R$6:R489,R489))</f>
        <v>0</v>
      </c>
      <c r="T489" s="4" t="e">
        <f t="shared" ca="1" si="48"/>
        <v>#N/A</v>
      </c>
    </row>
    <row r="490" spans="2:20" x14ac:dyDescent="0.3">
      <c r="B490" s="48"/>
      <c r="C490" s="48"/>
      <c r="D490" s="10" t="str">
        <f t="shared" ca="1" si="45"/>
        <v/>
      </c>
      <c r="E490" s="48"/>
      <c r="F490" s="48"/>
      <c r="G490" s="10" t="str">
        <f t="shared" ca="1" si="51"/>
        <v/>
      </c>
      <c r="I490" s="10" t="str">
        <f t="shared" ca="1" si="46"/>
        <v/>
      </c>
      <c r="K490" s="4" t="e">
        <f t="shared" ca="1" si="47"/>
        <v>#N/A</v>
      </c>
      <c r="L490" s="4" t="e">
        <f>VLOOKUP(C490,_resources!B:D,3,0)</f>
        <v>#N/A</v>
      </c>
      <c r="M490" s="4" t="e" cm="1">
        <f t="array" aca="1" ref="M490" ca="1">IF(abbrAtEnd,"",L490&amp;"-")&amp;E490&amp;"-"&amp;INDIRECT(OFFSET(element3,MATCH($C490,resources,0)-1,0))&amp;"-"&amp;INDIRECT(OFFSET(element4,MATCH($C490,resources,0)-1,0))&amp;"-"&amp;INDIRECT(OFFSET(element5,MATCH($C490,resources,0)-1,0))&amp;IF(OFFSET(element6,MATCH($C490,resources,0)-1,0)="","","-"&amp;INDIRECT(OFFSET(element6,MATCH($C490,resources,0)-1,0)))&amp;IF(abbrAtEnd,"-"&amp;L490,"")</f>
        <v>#N/A</v>
      </c>
      <c r="N490" s="4" t="str">
        <f t="shared" si="50"/>
        <v>-000</v>
      </c>
      <c r="O490" s="4">
        <f ca="1">IF(totalElements+COUNTIF(Entities!$C$10,"*")+COUNTIF(B490:C490,"*")+COUNTIF(E490:F490,"*")=9,1,0)</f>
        <v>0</v>
      </c>
      <c r="P490" s="4">
        <f>COUNTIF($C$6:C490,C490)</f>
        <v>0</v>
      </c>
      <c r="Q490" s="4">
        <f ca="1">IF(ISNA(M490),0,COUNTIF($M$6:M490,M490))</f>
        <v>0</v>
      </c>
      <c r="R490" s="4" t="e">
        <f t="shared" ca="1" si="49"/>
        <v>#N/A</v>
      </c>
      <c r="S490" s="4">
        <f ca="1">IF(ISNA(M490),0,COUNTIF($R$6:R490,R490))</f>
        <v>0</v>
      </c>
      <c r="T490" s="4" t="e">
        <f t="shared" ca="1" si="48"/>
        <v>#N/A</v>
      </c>
    </row>
    <row r="491" spans="2:20" x14ac:dyDescent="0.3">
      <c r="B491" s="48"/>
      <c r="C491" s="48"/>
      <c r="D491" s="10" t="str">
        <f t="shared" ca="1" si="45"/>
        <v/>
      </c>
      <c r="E491" s="48"/>
      <c r="F491" s="48"/>
      <c r="G491" s="10" t="str">
        <f t="shared" ca="1" si="51"/>
        <v/>
      </c>
      <c r="I491" s="10" t="str">
        <f t="shared" ca="1" si="46"/>
        <v/>
      </c>
      <c r="K491" s="4" t="e">
        <f t="shared" ca="1" si="47"/>
        <v>#N/A</v>
      </c>
      <c r="L491" s="4" t="e">
        <f>VLOOKUP(C491,_resources!B:D,3,0)</f>
        <v>#N/A</v>
      </c>
      <c r="M491" s="4" t="e" cm="1">
        <f t="array" aca="1" ref="M491" ca="1">IF(abbrAtEnd,"",L491&amp;"-")&amp;E491&amp;"-"&amp;INDIRECT(OFFSET(element3,MATCH($C491,resources,0)-1,0))&amp;"-"&amp;INDIRECT(OFFSET(element4,MATCH($C491,resources,0)-1,0))&amp;"-"&amp;INDIRECT(OFFSET(element5,MATCH($C491,resources,0)-1,0))&amp;IF(OFFSET(element6,MATCH($C491,resources,0)-1,0)="","","-"&amp;INDIRECT(OFFSET(element6,MATCH($C491,resources,0)-1,0)))&amp;IF(abbrAtEnd,"-"&amp;L491,"")</f>
        <v>#N/A</v>
      </c>
      <c r="N491" s="4" t="str">
        <f t="shared" si="50"/>
        <v>-000</v>
      </c>
      <c r="O491" s="4">
        <f ca="1">IF(totalElements+COUNTIF(Entities!$C$10,"*")+COUNTIF(B491:C491,"*")+COUNTIF(E491:F491,"*")=9,1,0)</f>
        <v>0</v>
      </c>
      <c r="P491" s="4">
        <f>COUNTIF($C$6:C491,C491)</f>
        <v>0</v>
      </c>
      <c r="Q491" s="4">
        <f ca="1">IF(ISNA(M491),0,COUNTIF($M$6:M491,M491))</f>
        <v>0</v>
      </c>
      <c r="R491" s="4" t="e">
        <f t="shared" ca="1" si="49"/>
        <v>#N/A</v>
      </c>
      <c r="S491" s="4">
        <f ca="1">IF(ISNA(M491),0,COUNTIF($R$6:R491,R491))</f>
        <v>0</v>
      </c>
      <c r="T491" s="4" t="e">
        <f t="shared" ca="1" si="48"/>
        <v>#N/A</v>
      </c>
    </row>
    <row r="492" spans="2:20" x14ac:dyDescent="0.3">
      <c r="B492" s="48"/>
      <c r="C492" s="48"/>
      <c r="D492" s="10" t="str">
        <f t="shared" ca="1" si="45"/>
        <v/>
      </c>
      <c r="E492" s="48"/>
      <c r="F492" s="48"/>
      <c r="G492" s="10" t="str">
        <f t="shared" ca="1" si="51"/>
        <v/>
      </c>
      <c r="I492" s="10" t="str">
        <f t="shared" ca="1" si="46"/>
        <v/>
      </c>
      <c r="K492" s="4" t="e">
        <f t="shared" ca="1" si="47"/>
        <v>#N/A</v>
      </c>
      <c r="L492" s="4" t="e">
        <f>VLOOKUP(C492,_resources!B:D,3,0)</f>
        <v>#N/A</v>
      </c>
      <c r="M492" s="4" t="e" cm="1">
        <f t="array" aca="1" ref="M492" ca="1">IF(abbrAtEnd,"",L492&amp;"-")&amp;E492&amp;"-"&amp;INDIRECT(OFFSET(element3,MATCH($C492,resources,0)-1,0))&amp;"-"&amp;INDIRECT(OFFSET(element4,MATCH($C492,resources,0)-1,0))&amp;"-"&amp;INDIRECT(OFFSET(element5,MATCH($C492,resources,0)-1,0))&amp;IF(OFFSET(element6,MATCH($C492,resources,0)-1,0)="","","-"&amp;INDIRECT(OFFSET(element6,MATCH($C492,resources,0)-1,0)))&amp;IF(abbrAtEnd,"-"&amp;L492,"")</f>
        <v>#N/A</v>
      </c>
      <c r="N492" s="4" t="str">
        <f t="shared" si="50"/>
        <v>-000</v>
      </c>
      <c r="O492" s="4">
        <f ca="1">IF(totalElements+COUNTIF(Entities!$C$10,"*")+COUNTIF(B492:C492,"*")+COUNTIF(E492:F492,"*")=9,1,0)</f>
        <v>0</v>
      </c>
      <c r="P492" s="4">
        <f>COUNTIF($C$6:C492,C492)</f>
        <v>0</v>
      </c>
      <c r="Q492" s="4">
        <f ca="1">IF(ISNA(M492),0,COUNTIF($M$6:M492,M492))</f>
        <v>0</v>
      </c>
      <c r="R492" s="4" t="e">
        <f t="shared" ca="1" si="49"/>
        <v>#N/A</v>
      </c>
      <c r="S492" s="4">
        <f ca="1">IF(ISNA(M492),0,COUNTIF($R$6:R492,R492))</f>
        <v>0</v>
      </c>
      <c r="T492" s="4" t="e">
        <f t="shared" ca="1" si="48"/>
        <v>#N/A</v>
      </c>
    </row>
    <row r="493" spans="2:20" x14ac:dyDescent="0.3">
      <c r="B493" s="48"/>
      <c r="C493" s="48"/>
      <c r="D493" s="10" t="str">
        <f t="shared" ca="1" si="45"/>
        <v/>
      </c>
      <c r="E493" s="48"/>
      <c r="F493" s="48"/>
      <c r="G493" s="10" t="str">
        <f t="shared" ca="1" si="51"/>
        <v/>
      </c>
      <c r="I493" s="10" t="str">
        <f t="shared" ca="1" si="46"/>
        <v/>
      </c>
      <c r="K493" s="4" t="e">
        <f t="shared" ca="1" si="47"/>
        <v>#N/A</v>
      </c>
      <c r="L493" s="4" t="e">
        <f>VLOOKUP(C493,_resources!B:D,3,0)</f>
        <v>#N/A</v>
      </c>
      <c r="M493" s="4" t="e" cm="1">
        <f t="array" aca="1" ref="M493" ca="1">IF(abbrAtEnd,"",L493&amp;"-")&amp;E493&amp;"-"&amp;INDIRECT(OFFSET(element3,MATCH($C493,resources,0)-1,0))&amp;"-"&amp;INDIRECT(OFFSET(element4,MATCH($C493,resources,0)-1,0))&amp;"-"&amp;INDIRECT(OFFSET(element5,MATCH($C493,resources,0)-1,0))&amp;IF(OFFSET(element6,MATCH($C493,resources,0)-1,0)="","","-"&amp;INDIRECT(OFFSET(element6,MATCH($C493,resources,0)-1,0)))&amp;IF(abbrAtEnd,"-"&amp;L493,"")</f>
        <v>#N/A</v>
      </c>
      <c r="N493" s="4" t="str">
        <f t="shared" si="50"/>
        <v>-000</v>
      </c>
      <c r="O493" s="4">
        <f ca="1">IF(totalElements+COUNTIF(Entities!$C$10,"*")+COUNTIF(B493:C493,"*")+COUNTIF(E493:F493,"*")=9,1,0)</f>
        <v>0</v>
      </c>
      <c r="P493" s="4">
        <f>COUNTIF($C$6:C493,C493)</f>
        <v>0</v>
      </c>
      <c r="Q493" s="4">
        <f ca="1">IF(ISNA(M493),0,COUNTIF($M$6:M493,M493))</f>
        <v>0</v>
      </c>
      <c r="R493" s="4" t="e">
        <f t="shared" ca="1" si="49"/>
        <v>#N/A</v>
      </c>
      <c r="S493" s="4">
        <f ca="1">IF(ISNA(M493),0,COUNTIF($R$6:R493,R493))</f>
        <v>0</v>
      </c>
      <c r="T493" s="4" t="e">
        <f t="shared" ca="1" si="48"/>
        <v>#N/A</v>
      </c>
    </row>
    <row r="494" spans="2:20" x14ac:dyDescent="0.3">
      <c r="B494" s="48"/>
      <c r="C494" s="48"/>
      <c r="D494" s="10" t="str">
        <f t="shared" ca="1" si="45"/>
        <v/>
      </c>
      <c r="E494" s="48"/>
      <c r="F494" s="48"/>
      <c r="G494" s="10" t="str">
        <f t="shared" ca="1" si="51"/>
        <v/>
      </c>
      <c r="I494" s="10" t="str">
        <f t="shared" ca="1" si="46"/>
        <v/>
      </c>
      <c r="K494" s="4" t="e">
        <f t="shared" ca="1" si="47"/>
        <v>#N/A</v>
      </c>
      <c r="L494" s="4" t="e">
        <f>VLOOKUP(C494,_resources!B:D,3,0)</f>
        <v>#N/A</v>
      </c>
      <c r="M494" s="4" t="e" cm="1">
        <f t="array" aca="1" ref="M494" ca="1">IF(abbrAtEnd,"",L494&amp;"-")&amp;E494&amp;"-"&amp;INDIRECT(OFFSET(element3,MATCH($C494,resources,0)-1,0))&amp;"-"&amp;INDIRECT(OFFSET(element4,MATCH($C494,resources,0)-1,0))&amp;"-"&amp;INDIRECT(OFFSET(element5,MATCH($C494,resources,0)-1,0))&amp;IF(OFFSET(element6,MATCH($C494,resources,0)-1,0)="","","-"&amp;INDIRECT(OFFSET(element6,MATCH($C494,resources,0)-1,0)))&amp;IF(abbrAtEnd,"-"&amp;L494,"")</f>
        <v>#N/A</v>
      </c>
      <c r="N494" s="4" t="str">
        <f t="shared" si="50"/>
        <v>-000</v>
      </c>
      <c r="O494" s="4">
        <f ca="1">IF(totalElements+COUNTIF(Entities!$C$10,"*")+COUNTIF(B494:C494,"*")+COUNTIF(E494:F494,"*")=9,1,0)</f>
        <v>0</v>
      </c>
      <c r="P494" s="4">
        <f>COUNTIF($C$6:C494,C494)</f>
        <v>0</v>
      </c>
      <c r="Q494" s="4">
        <f ca="1">IF(ISNA(M494),0,COUNTIF($M$6:M494,M494))</f>
        <v>0</v>
      </c>
      <c r="R494" s="4" t="e">
        <f t="shared" ca="1" si="49"/>
        <v>#N/A</v>
      </c>
      <c r="S494" s="4">
        <f ca="1">IF(ISNA(M494),0,COUNTIF($R$6:R494,R494))</f>
        <v>0</v>
      </c>
      <c r="T494" s="4" t="e">
        <f t="shared" ca="1" si="48"/>
        <v>#N/A</v>
      </c>
    </row>
    <row r="495" spans="2:20" x14ac:dyDescent="0.3">
      <c r="B495" s="48"/>
      <c r="C495" s="48"/>
      <c r="D495" s="10" t="str">
        <f t="shared" ca="1" si="45"/>
        <v/>
      </c>
      <c r="E495" s="48"/>
      <c r="F495" s="48"/>
      <c r="G495" s="10" t="str">
        <f t="shared" ca="1" si="51"/>
        <v/>
      </c>
      <c r="I495" s="10" t="str">
        <f t="shared" ca="1" si="46"/>
        <v/>
      </c>
      <c r="K495" s="4" t="e">
        <f t="shared" ca="1" si="47"/>
        <v>#N/A</v>
      </c>
      <c r="L495" s="4" t="e">
        <f>VLOOKUP(C495,_resources!B:D,3,0)</f>
        <v>#N/A</v>
      </c>
      <c r="M495" s="4" t="e" cm="1">
        <f t="array" aca="1" ref="M495" ca="1">IF(abbrAtEnd,"",L495&amp;"-")&amp;E495&amp;"-"&amp;INDIRECT(OFFSET(element3,MATCH($C495,resources,0)-1,0))&amp;"-"&amp;INDIRECT(OFFSET(element4,MATCH($C495,resources,0)-1,0))&amp;"-"&amp;INDIRECT(OFFSET(element5,MATCH($C495,resources,0)-1,0))&amp;IF(OFFSET(element6,MATCH($C495,resources,0)-1,0)="","","-"&amp;INDIRECT(OFFSET(element6,MATCH($C495,resources,0)-1,0)))&amp;IF(abbrAtEnd,"-"&amp;L495,"")</f>
        <v>#N/A</v>
      </c>
      <c r="N495" s="4" t="str">
        <f t="shared" si="50"/>
        <v>-000</v>
      </c>
      <c r="O495" s="4">
        <f ca="1">IF(totalElements+COUNTIF(Entities!$C$10,"*")+COUNTIF(B495:C495,"*")+COUNTIF(E495:F495,"*")=9,1,0)</f>
        <v>0</v>
      </c>
      <c r="P495" s="4">
        <f>COUNTIF($C$6:C495,C495)</f>
        <v>0</v>
      </c>
      <c r="Q495" s="4">
        <f ca="1">IF(ISNA(M495),0,COUNTIF($M$6:M495,M495))</f>
        <v>0</v>
      </c>
      <c r="R495" s="4" t="e">
        <f t="shared" ca="1" si="49"/>
        <v>#N/A</v>
      </c>
      <c r="S495" s="4">
        <f ca="1">IF(ISNA(M495),0,COUNTIF($R$6:R495,R495))</f>
        <v>0</v>
      </c>
      <c r="T495" s="4" t="e">
        <f t="shared" ca="1" si="48"/>
        <v>#N/A</v>
      </c>
    </row>
    <row r="496" spans="2:20" x14ac:dyDescent="0.3">
      <c r="B496" s="48"/>
      <c r="C496" s="48"/>
      <c r="D496" s="10" t="str">
        <f t="shared" ca="1" si="45"/>
        <v/>
      </c>
      <c r="E496" s="48"/>
      <c r="F496" s="48"/>
      <c r="G496" s="10" t="str">
        <f t="shared" ca="1" si="51"/>
        <v/>
      </c>
      <c r="I496" s="10" t="str">
        <f t="shared" ca="1" si="46"/>
        <v/>
      </c>
      <c r="K496" s="4" t="e">
        <f t="shared" ca="1" si="47"/>
        <v>#N/A</v>
      </c>
      <c r="L496" s="4" t="e">
        <f>VLOOKUP(C496,_resources!B:D,3,0)</f>
        <v>#N/A</v>
      </c>
      <c r="M496" s="4" t="e" cm="1">
        <f t="array" aca="1" ref="M496" ca="1">IF(abbrAtEnd,"",L496&amp;"-")&amp;E496&amp;"-"&amp;INDIRECT(OFFSET(element3,MATCH($C496,resources,0)-1,0))&amp;"-"&amp;INDIRECT(OFFSET(element4,MATCH($C496,resources,0)-1,0))&amp;"-"&amp;INDIRECT(OFFSET(element5,MATCH($C496,resources,0)-1,0))&amp;IF(OFFSET(element6,MATCH($C496,resources,0)-1,0)="","","-"&amp;INDIRECT(OFFSET(element6,MATCH($C496,resources,0)-1,0)))&amp;IF(abbrAtEnd,"-"&amp;L496,"")</f>
        <v>#N/A</v>
      </c>
      <c r="N496" s="4" t="str">
        <f t="shared" si="50"/>
        <v>-000</v>
      </c>
      <c r="O496" s="4">
        <f ca="1">IF(totalElements+COUNTIF(Entities!$C$10,"*")+COUNTIF(B496:C496,"*")+COUNTIF(E496:F496,"*")=9,1,0)</f>
        <v>0</v>
      </c>
      <c r="P496" s="4">
        <f>COUNTIF($C$6:C496,C496)</f>
        <v>0</v>
      </c>
      <c r="Q496" s="4">
        <f ca="1">IF(ISNA(M496),0,COUNTIF($M$6:M496,M496))</f>
        <v>0</v>
      </c>
      <c r="R496" s="4" t="e">
        <f t="shared" ca="1" si="49"/>
        <v>#N/A</v>
      </c>
      <c r="S496" s="4">
        <f ca="1">IF(ISNA(M496),0,COUNTIF($R$6:R496,R496))</f>
        <v>0</v>
      </c>
      <c r="T496" s="4" t="e">
        <f t="shared" ca="1" si="48"/>
        <v>#N/A</v>
      </c>
    </row>
    <row r="497" spans="2:20" x14ac:dyDescent="0.3">
      <c r="B497" s="48"/>
      <c r="C497" s="48"/>
      <c r="D497" s="10" t="str">
        <f t="shared" ref="D497:D560" ca="1" si="52">IF(ISBLANK(C497),"",OFFSET(element2,MATCH($C497,resources,0)-1,0))</f>
        <v/>
      </c>
      <c r="E497" s="48"/>
      <c r="F497" s="48"/>
      <c r="G497" s="10" t="str">
        <f t="shared" ca="1" si="51"/>
        <v/>
      </c>
      <c r="I497" s="10" t="str">
        <f t="shared" ref="I497:I560" ca="1" si="53">IF(O497,IF(LEN(G497)&gt;T497,"Name too Long (length: "&amp;LEN(G497)&amp;", max. "&amp;T497&amp;")","None"),"")</f>
        <v/>
      </c>
      <c r="K497" s="4" t="e">
        <f t="shared" ca="1" si="47"/>
        <v>#N/A</v>
      </c>
      <c r="L497" s="4" t="e">
        <f>VLOOKUP(C497,_resources!B:D,3,0)</f>
        <v>#N/A</v>
      </c>
      <c r="M497" s="4" t="e" cm="1">
        <f t="array" aca="1" ref="M497" ca="1">IF(abbrAtEnd,"",L497&amp;"-")&amp;E497&amp;"-"&amp;INDIRECT(OFFSET(element3,MATCH($C497,resources,0)-1,0))&amp;"-"&amp;INDIRECT(OFFSET(element4,MATCH($C497,resources,0)-1,0))&amp;"-"&amp;INDIRECT(OFFSET(element5,MATCH($C497,resources,0)-1,0))&amp;IF(OFFSET(element6,MATCH($C497,resources,0)-1,0)="","","-"&amp;INDIRECT(OFFSET(element6,MATCH($C497,resources,0)-1,0)))&amp;IF(abbrAtEnd,"-"&amp;L497,"")</f>
        <v>#N/A</v>
      </c>
      <c r="N497" s="4" t="str">
        <f t="shared" si="50"/>
        <v>-000</v>
      </c>
      <c r="O497" s="4">
        <f ca="1">IF(totalElements+COUNTIF(Entities!$C$10,"*")+COUNTIF(B497:C497,"*")+COUNTIF(E497:F497,"*")=9,1,0)</f>
        <v>0</v>
      </c>
      <c r="P497" s="4">
        <f>COUNTIF($C$6:C497,C497)</f>
        <v>0</v>
      </c>
      <c r="Q497" s="4">
        <f ca="1">IF(ISNA(M497),0,COUNTIF($M$6:M497,M497))</f>
        <v>0</v>
      </c>
      <c r="R497" s="4" t="e">
        <f t="shared" ca="1" si="49"/>
        <v>#N/A</v>
      </c>
      <c r="S497" s="4">
        <f ca="1">IF(ISNA(M497),0,COUNTIF($R$6:R497,R497))</f>
        <v>0</v>
      </c>
      <c r="T497" s="4" t="e">
        <f t="shared" ca="1" si="48"/>
        <v>#N/A</v>
      </c>
    </row>
    <row r="498" spans="2:20" x14ac:dyDescent="0.3">
      <c r="B498" s="48"/>
      <c r="C498" s="48"/>
      <c r="D498" s="10" t="str">
        <f t="shared" ca="1" si="52"/>
        <v/>
      </c>
      <c r="E498" s="48"/>
      <c r="F498" s="48"/>
      <c r="G498" s="10" t="str">
        <f t="shared" ca="1" si="51"/>
        <v/>
      </c>
      <c r="I498" s="10" t="str">
        <f t="shared" ca="1" si="53"/>
        <v/>
      </c>
      <c r="K498" s="4" t="e">
        <f t="shared" ca="1" si="47"/>
        <v>#N/A</v>
      </c>
      <c r="L498" s="4" t="e">
        <f>VLOOKUP(C498,_resources!B:D,3,0)</f>
        <v>#N/A</v>
      </c>
      <c r="M498" s="4" t="e" cm="1">
        <f t="array" aca="1" ref="M498" ca="1">IF(abbrAtEnd,"",L498&amp;"-")&amp;E498&amp;"-"&amp;INDIRECT(OFFSET(element3,MATCH($C498,resources,0)-1,0))&amp;"-"&amp;INDIRECT(OFFSET(element4,MATCH($C498,resources,0)-1,0))&amp;"-"&amp;INDIRECT(OFFSET(element5,MATCH($C498,resources,0)-1,0))&amp;IF(OFFSET(element6,MATCH($C498,resources,0)-1,0)="","","-"&amp;INDIRECT(OFFSET(element6,MATCH($C498,resources,0)-1,0)))&amp;IF(abbrAtEnd,"-"&amp;L498,"")</f>
        <v>#N/A</v>
      </c>
      <c r="N498" s="4" t="str">
        <f t="shared" si="50"/>
        <v>-000</v>
      </c>
      <c r="O498" s="4">
        <f ca="1">IF(totalElements+COUNTIF(Entities!$C$10,"*")+COUNTIF(B498:C498,"*")+COUNTIF(E498:F498,"*")=9,1,0)</f>
        <v>0</v>
      </c>
      <c r="P498" s="4">
        <f>COUNTIF($C$6:C498,C498)</f>
        <v>0</v>
      </c>
      <c r="Q498" s="4">
        <f ca="1">IF(ISNA(M498),0,COUNTIF($M$6:M498,M498))</f>
        <v>0</v>
      </c>
      <c r="R498" s="4" t="e">
        <f t="shared" ca="1" si="49"/>
        <v>#N/A</v>
      </c>
      <c r="S498" s="4">
        <f ca="1">IF(ISNA(M498),0,COUNTIF($R$6:R498,R498))</f>
        <v>0</v>
      </c>
      <c r="T498" s="4" t="e">
        <f t="shared" ca="1" si="48"/>
        <v>#N/A</v>
      </c>
    </row>
    <row r="499" spans="2:20" x14ac:dyDescent="0.3">
      <c r="B499" s="48"/>
      <c r="C499" s="48"/>
      <c r="D499" s="10" t="str">
        <f t="shared" ca="1" si="52"/>
        <v/>
      </c>
      <c r="E499" s="48"/>
      <c r="F499" s="48"/>
      <c r="G499" s="10" t="str">
        <f t="shared" ca="1" si="51"/>
        <v/>
      </c>
      <c r="I499" s="10" t="str">
        <f t="shared" ca="1" si="53"/>
        <v/>
      </c>
      <c r="K499" s="4" t="e">
        <f t="shared" ca="1" si="47"/>
        <v>#N/A</v>
      </c>
      <c r="L499" s="4" t="e">
        <f>VLOOKUP(C499,_resources!B:D,3,0)</f>
        <v>#N/A</v>
      </c>
      <c r="M499" s="4" t="e" cm="1">
        <f t="array" aca="1" ref="M499" ca="1">IF(abbrAtEnd,"",L499&amp;"-")&amp;E499&amp;"-"&amp;INDIRECT(OFFSET(element3,MATCH($C499,resources,0)-1,0))&amp;"-"&amp;INDIRECT(OFFSET(element4,MATCH($C499,resources,0)-1,0))&amp;"-"&amp;INDIRECT(OFFSET(element5,MATCH($C499,resources,0)-1,0))&amp;IF(OFFSET(element6,MATCH($C499,resources,0)-1,0)="","","-"&amp;INDIRECT(OFFSET(element6,MATCH($C499,resources,0)-1,0)))&amp;IF(abbrAtEnd,"-"&amp;L499,"")</f>
        <v>#N/A</v>
      </c>
      <c r="N499" s="4" t="str">
        <f t="shared" si="50"/>
        <v>-000</v>
      </c>
      <c r="O499" s="4">
        <f ca="1">IF(totalElements+COUNTIF(Entities!$C$10,"*")+COUNTIF(B499:C499,"*")+COUNTIF(E499:F499,"*")=9,1,0)</f>
        <v>0</v>
      </c>
      <c r="P499" s="4">
        <f>COUNTIF($C$6:C499,C499)</f>
        <v>0</v>
      </c>
      <c r="Q499" s="4">
        <f ca="1">IF(ISNA(M499),0,COUNTIF($M$6:M499,M499))</f>
        <v>0</v>
      </c>
      <c r="R499" s="4" t="e">
        <f t="shared" ca="1" si="49"/>
        <v>#N/A</v>
      </c>
      <c r="S499" s="4">
        <f ca="1">IF(ISNA(M499),0,COUNTIF($R$6:R499,R499))</f>
        <v>0</v>
      </c>
      <c r="T499" s="4" t="e">
        <f t="shared" ca="1" si="48"/>
        <v>#N/A</v>
      </c>
    </row>
    <row r="500" spans="2:20" x14ac:dyDescent="0.3">
      <c r="B500" s="48"/>
      <c r="C500" s="48"/>
      <c r="D500" s="10" t="str">
        <f t="shared" ca="1" si="52"/>
        <v/>
      </c>
      <c r="E500" s="48"/>
      <c r="F500" s="48"/>
      <c r="G500" s="10" t="str">
        <f t="shared" ca="1" si="51"/>
        <v/>
      </c>
      <c r="I500" s="10" t="str">
        <f t="shared" ca="1" si="53"/>
        <v/>
      </c>
      <c r="K500" s="4" t="e">
        <f t="shared" ca="1" si="47"/>
        <v>#N/A</v>
      </c>
      <c r="L500" s="4" t="e">
        <f>VLOOKUP(C500,_resources!B:D,3,0)</f>
        <v>#N/A</v>
      </c>
      <c r="M500" s="4" t="e" cm="1">
        <f t="array" aca="1" ref="M500" ca="1">IF(abbrAtEnd,"",L500&amp;"-")&amp;E500&amp;"-"&amp;INDIRECT(OFFSET(element3,MATCH($C500,resources,0)-1,0))&amp;"-"&amp;INDIRECT(OFFSET(element4,MATCH($C500,resources,0)-1,0))&amp;"-"&amp;INDIRECT(OFFSET(element5,MATCH($C500,resources,0)-1,0))&amp;IF(OFFSET(element6,MATCH($C500,resources,0)-1,0)="","","-"&amp;INDIRECT(OFFSET(element6,MATCH($C500,resources,0)-1,0)))&amp;IF(abbrAtEnd,"-"&amp;L500,"")</f>
        <v>#N/A</v>
      </c>
      <c r="N500" s="4" t="str">
        <f t="shared" si="50"/>
        <v>-000</v>
      </c>
      <c r="O500" s="4">
        <f ca="1">IF(totalElements+COUNTIF(Entities!$C$10,"*")+COUNTIF(B500:C500,"*")+COUNTIF(E500:F500,"*")=9,1,0)</f>
        <v>0</v>
      </c>
      <c r="P500" s="4">
        <f>COUNTIF($C$6:C500,C500)</f>
        <v>0</v>
      </c>
      <c r="Q500" s="4">
        <f ca="1">IF(ISNA(M500),0,COUNTIF($M$6:M500,M500))</f>
        <v>0</v>
      </c>
      <c r="R500" s="4" t="e">
        <f t="shared" ca="1" si="49"/>
        <v>#N/A</v>
      </c>
      <c r="S500" s="4">
        <f ca="1">IF(ISNA(M500),0,COUNTIF($R$6:R500,R500))</f>
        <v>0</v>
      </c>
      <c r="T500" s="4" t="e">
        <f t="shared" ca="1" si="48"/>
        <v>#N/A</v>
      </c>
    </row>
    <row r="501" spans="2:20" x14ac:dyDescent="0.3">
      <c r="B501" s="48"/>
      <c r="C501" s="48"/>
      <c r="D501" s="10" t="str">
        <f t="shared" ca="1" si="52"/>
        <v/>
      </c>
      <c r="E501" s="48"/>
      <c r="F501" s="48"/>
      <c r="G501" s="10" t="str">
        <f t="shared" ca="1" si="51"/>
        <v/>
      </c>
      <c r="I501" s="10" t="str">
        <f t="shared" ca="1" si="53"/>
        <v/>
      </c>
      <c r="K501" s="4" t="e">
        <f t="shared" ca="1" si="47"/>
        <v>#N/A</v>
      </c>
      <c r="L501" s="4" t="e">
        <f>VLOOKUP(C501,_resources!B:D,3,0)</f>
        <v>#N/A</v>
      </c>
      <c r="M501" s="4" t="e" cm="1">
        <f t="array" aca="1" ref="M501" ca="1">IF(abbrAtEnd,"",L501&amp;"-")&amp;E501&amp;"-"&amp;INDIRECT(OFFSET(element3,MATCH($C501,resources,0)-1,0))&amp;"-"&amp;INDIRECT(OFFSET(element4,MATCH($C501,resources,0)-1,0))&amp;"-"&amp;INDIRECT(OFFSET(element5,MATCH($C501,resources,0)-1,0))&amp;IF(OFFSET(element6,MATCH($C501,resources,0)-1,0)="","","-"&amp;INDIRECT(OFFSET(element6,MATCH($C501,resources,0)-1,0)))&amp;IF(abbrAtEnd,"-"&amp;L501,"")</f>
        <v>#N/A</v>
      </c>
      <c r="N501" s="4" t="str">
        <f t="shared" si="50"/>
        <v>-000</v>
      </c>
      <c r="O501" s="4">
        <f ca="1">IF(totalElements+COUNTIF(Entities!$C$10,"*")+COUNTIF(B501:C501,"*")+COUNTIF(E501:F501,"*")=9,1,0)</f>
        <v>0</v>
      </c>
      <c r="P501" s="4">
        <f>COUNTIF($C$6:C501,C501)</f>
        <v>0</v>
      </c>
      <c r="Q501" s="4">
        <f ca="1">IF(ISNA(M501),0,COUNTIF($M$6:M501,M501))</f>
        <v>0</v>
      </c>
      <c r="R501" s="4" t="e">
        <f t="shared" ca="1" si="49"/>
        <v>#N/A</v>
      </c>
      <c r="S501" s="4">
        <f ca="1">IF(ISNA(M501),0,COUNTIF($R$6:R501,R501))</f>
        <v>0</v>
      </c>
      <c r="T501" s="4" t="e">
        <f t="shared" ca="1" si="48"/>
        <v>#N/A</v>
      </c>
    </row>
    <row r="502" spans="2:20" x14ac:dyDescent="0.3">
      <c r="B502" s="48"/>
      <c r="C502" s="48"/>
      <c r="D502" s="10" t="str">
        <f t="shared" ca="1" si="52"/>
        <v/>
      </c>
      <c r="E502" s="48"/>
      <c r="F502" s="48"/>
      <c r="G502" s="10" t="str">
        <f t="shared" ca="1" si="51"/>
        <v/>
      </c>
      <c r="I502" s="10" t="str">
        <f t="shared" ca="1" si="53"/>
        <v/>
      </c>
      <c r="K502" s="4" t="e">
        <f t="shared" ca="1" si="47"/>
        <v>#N/A</v>
      </c>
      <c r="L502" s="4" t="e">
        <f>VLOOKUP(C502,_resources!B:D,3,0)</f>
        <v>#N/A</v>
      </c>
      <c r="M502" s="4" t="e" cm="1">
        <f t="array" aca="1" ref="M502" ca="1">IF(abbrAtEnd,"",L502&amp;"-")&amp;E502&amp;"-"&amp;INDIRECT(OFFSET(element3,MATCH($C502,resources,0)-1,0))&amp;"-"&amp;INDIRECT(OFFSET(element4,MATCH($C502,resources,0)-1,0))&amp;"-"&amp;INDIRECT(OFFSET(element5,MATCH($C502,resources,0)-1,0))&amp;IF(OFFSET(element6,MATCH($C502,resources,0)-1,0)="","","-"&amp;INDIRECT(OFFSET(element6,MATCH($C502,resources,0)-1,0)))&amp;IF(abbrAtEnd,"-"&amp;L502,"")</f>
        <v>#N/A</v>
      </c>
      <c r="N502" s="4" t="str">
        <f t="shared" si="50"/>
        <v>-000</v>
      </c>
      <c r="O502" s="4">
        <f ca="1">IF(totalElements+COUNTIF(Entities!$C$10,"*")+COUNTIF(B502:C502,"*")+COUNTIF(E502:F502,"*")=9,1,0)</f>
        <v>0</v>
      </c>
      <c r="P502" s="4">
        <f>COUNTIF($C$6:C502,C502)</f>
        <v>0</v>
      </c>
      <c r="Q502" s="4">
        <f ca="1">IF(ISNA(M502),0,COUNTIF($M$6:M502,M502))</f>
        <v>0</v>
      </c>
      <c r="R502" s="4" t="e">
        <f t="shared" ca="1" si="49"/>
        <v>#N/A</v>
      </c>
      <c r="S502" s="4">
        <f ca="1">IF(ISNA(M502),0,COUNTIF($R$6:R502,R502))</f>
        <v>0</v>
      </c>
      <c r="T502" s="4" t="e">
        <f t="shared" ca="1" si="48"/>
        <v>#N/A</v>
      </c>
    </row>
    <row r="503" spans="2:20" x14ac:dyDescent="0.3">
      <c r="B503" s="48"/>
      <c r="C503" s="48"/>
      <c r="D503" s="10" t="str">
        <f t="shared" ca="1" si="52"/>
        <v/>
      </c>
      <c r="E503" s="48"/>
      <c r="F503" s="48"/>
      <c r="G503" s="10" t="str">
        <f t="shared" ca="1" si="51"/>
        <v/>
      </c>
      <c r="I503" s="10" t="str">
        <f t="shared" ca="1" si="53"/>
        <v/>
      </c>
      <c r="K503" s="4" t="e">
        <f t="shared" ca="1" si="47"/>
        <v>#N/A</v>
      </c>
      <c r="L503" s="4" t="e">
        <f>VLOOKUP(C503,_resources!B:D,3,0)</f>
        <v>#N/A</v>
      </c>
      <c r="M503" s="4" t="e" cm="1">
        <f t="array" aca="1" ref="M503" ca="1">IF(abbrAtEnd,"",L503&amp;"-")&amp;E503&amp;"-"&amp;INDIRECT(OFFSET(element3,MATCH($C503,resources,0)-1,0))&amp;"-"&amp;INDIRECT(OFFSET(element4,MATCH($C503,resources,0)-1,0))&amp;"-"&amp;INDIRECT(OFFSET(element5,MATCH($C503,resources,0)-1,0))&amp;IF(OFFSET(element6,MATCH($C503,resources,0)-1,0)="","","-"&amp;INDIRECT(OFFSET(element6,MATCH($C503,resources,0)-1,0)))&amp;IF(abbrAtEnd,"-"&amp;L503,"")</f>
        <v>#N/A</v>
      </c>
      <c r="N503" s="4" t="str">
        <f t="shared" si="50"/>
        <v>-000</v>
      </c>
      <c r="O503" s="4">
        <f ca="1">IF(totalElements+COUNTIF(Entities!$C$10,"*")+COUNTIF(B503:C503,"*")+COUNTIF(E503:F503,"*")=9,1,0)</f>
        <v>0</v>
      </c>
      <c r="P503" s="4">
        <f>COUNTIF($C$6:C503,C503)</f>
        <v>0</v>
      </c>
      <c r="Q503" s="4">
        <f ca="1">IF(ISNA(M503),0,COUNTIF($M$6:M503,M503))</f>
        <v>0</v>
      </c>
      <c r="R503" s="4" t="e">
        <f t="shared" ca="1" si="49"/>
        <v>#N/A</v>
      </c>
      <c r="S503" s="4">
        <f ca="1">IF(ISNA(M503),0,COUNTIF($R$6:R503,R503))</f>
        <v>0</v>
      </c>
      <c r="T503" s="4" t="e">
        <f t="shared" ca="1" si="48"/>
        <v>#N/A</v>
      </c>
    </row>
    <row r="504" spans="2:20" x14ac:dyDescent="0.3">
      <c r="B504" s="48"/>
      <c r="C504" s="48"/>
      <c r="D504" s="10" t="str">
        <f t="shared" ca="1" si="52"/>
        <v/>
      </c>
      <c r="E504" s="48"/>
      <c r="F504" s="48"/>
      <c r="G504" s="10" t="str">
        <f t="shared" ca="1" si="51"/>
        <v/>
      </c>
      <c r="I504" s="10" t="str">
        <f t="shared" ca="1" si="53"/>
        <v/>
      </c>
      <c r="K504" s="4" t="e">
        <f t="shared" ca="1" si="47"/>
        <v>#N/A</v>
      </c>
      <c r="L504" s="4" t="e">
        <f>VLOOKUP(C504,_resources!B:D,3,0)</f>
        <v>#N/A</v>
      </c>
      <c r="M504" s="4" t="e" cm="1">
        <f t="array" aca="1" ref="M504" ca="1">IF(abbrAtEnd,"",L504&amp;"-")&amp;E504&amp;"-"&amp;INDIRECT(OFFSET(element3,MATCH($C504,resources,0)-1,0))&amp;"-"&amp;INDIRECT(OFFSET(element4,MATCH($C504,resources,0)-1,0))&amp;"-"&amp;INDIRECT(OFFSET(element5,MATCH($C504,resources,0)-1,0))&amp;IF(OFFSET(element6,MATCH($C504,resources,0)-1,0)="","","-"&amp;INDIRECT(OFFSET(element6,MATCH($C504,resources,0)-1,0)))&amp;IF(abbrAtEnd,"-"&amp;L504,"")</f>
        <v>#N/A</v>
      </c>
      <c r="N504" s="4" t="str">
        <f t="shared" si="50"/>
        <v>-000</v>
      </c>
      <c r="O504" s="4">
        <f ca="1">IF(totalElements+COUNTIF(Entities!$C$10,"*")+COUNTIF(B504:C504,"*")+COUNTIF(E504:F504,"*")=9,1,0)</f>
        <v>0</v>
      </c>
      <c r="P504" s="4">
        <f>COUNTIF($C$6:C504,C504)</f>
        <v>0</v>
      </c>
      <c r="Q504" s="4">
        <f ca="1">IF(ISNA(M504),0,COUNTIF($M$6:M504,M504))</f>
        <v>0</v>
      </c>
      <c r="R504" s="4" t="e">
        <f t="shared" ca="1" si="49"/>
        <v>#N/A</v>
      </c>
      <c r="S504" s="4">
        <f ca="1">IF(ISNA(M504),0,COUNTIF($R$6:R504,R504))</f>
        <v>0</v>
      </c>
      <c r="T504" s="4" t="e">
        <f t="shared" ca="1" si="48"/>
        <v>#N/A</v>
      </c>
    </row>
    <row r="505" spans="2:20" x14ac:dyDescent="0.3">
      <c r="B505" s="48"/>
      <c r="C505" s="48"/>
      <c r="D505" s="10" t="str">
        <f t="shared" ca="1" si="52"/>
        <v/>
      </c>
      <c r="E505" s="48"/>
      <c r="F505" s="48"/>
      <c r="G505" s="10" t="str">
        <f t="shared" ca="1" si="51"/>
        <v/>
      </c>
      <c r="I505" s="10" t="str">
        <f t="shared" ca="1" si="53"/>
        <v/>
      </c>
      <c r="K505" s="4" t="e">
        <f t="shared" ca="1" si="47"/>
        <v>#N/A</v>
      </c>
      <c r="L505" s="4" t="e">
        <f>VLOOKUP(C505,_resources!B:D,3,0)</f>
        <v>#N/A</v>
      </c>
      <c r="M505" s="4" t="e" cm="1">
        <f t="array" aca="1" ref="M505" ca="1">IF(abbrAtEnd,"",L505&amp;"-")&amp;E505&amp;"-"&amp;INDIRECT(OFFSET(element3,MATCH($C505,resources,0)-1,0))&amp;"-"&amp;INDIRECT(OFFSET(element4,MATCH($C505,resources,0)-1,0))&amp;"-"&amp;INDIRECT(OFFSET(element5,MATCH($C505,resources,0)-1,0))&amp;IF(OFFSET(element6,MATCH($C505,resources,0)-1,0)="","","-"&amp;INDIRECT(OFFSET(element6,MATCH($C505,resources,0)-1,0)))&amp;IF(abbrAtEnd,"-"&amp;L505,"")</f>
        <v>#N/A</v>
      </c>
      <c r="N505" s="4" t="str">
        <f t="shared" si="50"/>
        <v>-000</v>
      </c>
      <c r="O505" s="4">
        <f ca="1">IF(totalElements+COUNTIF(Entities!$C$10,"*")+COUNTIF(B505:C505,"*")+COUNTIF(E505:F505,"*")=9,1,0)</f>
        <v>0</v>
      </c>
      <c r="P505" s="4">
        <f>COUNTIF($C$6:C505,C505)</f>
        <v>0</v>
      </c>
      <c r="Q505" s="4">
        <f ca="1">IF(ISNA(M505),0,COUNTIF($M$6:M505,M505))</f>
        <v>0</v>
      </c>
      <c r="R505" s="4" t="e">
        <f t="shared" ca="1" si="49"/>
        <v>#N/A</v>
      </c>
      <c r="S505" s="4">
        <f ca="1">IF(ISNA(M505),0,COUNTIF($R$6:R505,R505))</f>
        <v>0</v>
      </c>
      <c r="T505" s="4" t="e">
        <f t="shared" ca="1" si="48"/>
        <v>#N/A</v>
      </c>
    </row>
    <row r="506" spans="2:20" x14ac:dyDescent="0.3">
      <c r="B506" s="48"/>
      <c r="C506" s="48"/>
      <c r="D506" s="10" t="str">
        <f t="shared" ca="1" si="52"/>
        <v/>
      </c>
      <c r="E506" s="48"/>
      <c r="F506" s="48"/>
      <c r="G506" s="10" t="str">
        <f t="shared" ca="1" si="51"/>
        <v/>
      </c>
      <c r="I506" s="10" t="str">
        <f t="shared" ca="1" si="53"/>
        <v/>
      </c>
      <c r="K506" s="4" t="e">
        <f t="shared" ca="1" si="47"/>
        <v>#N/A</v>
      </c>
      <c r="L506" s="4" t="e">
        <f>VLOOKUP(C506,_resources!B:D,3,0)</f>
        <v>#N/A</v>
      </c>
      <c r="M506" s="4" t="e" cm="1">
        <f t="array" aca="1" ref="M506" ca="1">IF(abbrAtEnd,"",L506&amp;"-")&amp;E506&amp;"-"&amp;INDIRECT(OFFSET(element3,MATCH($C506,resources,0)-1,0))&amp;"-"&amp;INDIRECT(OFFSET(element4,MATCH($C506,resources,0)-1,0))&amp;"-"&amp;INDIRECT(OFFSET(element5,MATCH($C506,resources,0)-1,0))&amp;IF(OFFSET(element6,MATCH($C506,resources,0)-1,0)="","","-"&amp;INDIRECT(OFFSET(element6,MATCH($C506,resources,0)-1,0)))&amp;IF(abbrAtEnd,"-"&amp;L506,"")</f>
        <v>#N/A</v>
      </c>
      <c r="N506" s="4" t="str">
        <f t="shared" si="50"/>
        <v>-000</v>
      </c>
      <c r="O506" s="4">
        <f ca="1">IF(totalElements+COUNTIF(Entities!$C$10,"*")+COUNTIF(B506:C506,"*")+COUNTIF(E506:F506,"*")=9,1,0)</f>
        <v>0</v>
      </c>
      <c r="P506" s="4">
        <f>COUNTIF($C$6:C506,C506)</f>
        <v>0</v>
      </c>
      <c r="Q506" s="4">
        <f ca="1">IF(ISNA(M506),0,COUNTIF($M$6:M506,M506))</f>
        <v>0</v>
      </c>
      <c r="R506" s="4" t="e">
        <f t="shared" ca="1" si="49"/>
        <v>#N/A</v>
      </c>
      <c r="S506" s="4">
        <f ca="1">IF(ISNA(M506),0,COUNTIF($R$6:R506,R506))</f>
        <v>0</v>
      </c>
      <c r="T506" s="4" t="e">
        <f t="shared" ca="1" si="48"/>
        <v>#N/A</v>
      </c>
    </row>
    <row r="507" spans="2:20" x14ac:dyDescent="0.3">
      <c r="B507" s="48"/>
      <c r="C507" s="48"/>
      <c r="D507" s="10" t="str">
        <f t="shared" ca="1" si="52"/>
        <v/>
      </c>
      <c r="E507" s="48"/>
      <c r="F507" s="48"/>
      <c r="G507" s="10" t="str">
        <f t="shared" ca="1" si="51"/>
        <v/>
      </c>
      <c r="I507" s="10" t="str">
        <f t="shared" ca="1" si="53"/>
        <v/>
      </c>
      <c r="K507" s="4" t="e">
        <f t="shared" ca="1" si="47"/>
        <v>#N/A</v>
      </c>
      <c r="L507" s="4" t="e">
        <f>VLOOKUP(C507,_resources!B:D,3,0)</f>
        <v>#N/A</v>
      </c>
      <c r="M507" s="4" t="e" cm="1">
        <f t="array" aca="1" ref="M507" ca="1">IF(abbrAtEnd,"",L507&amp;"-")&amp;E507&amp;"-"&amp;INDIRECT(OFFSET(element3,MATCH($C507,resources,0)-1,0))&amp;"-"&amp;INDIRECT(OFFSET(element4,MATCH($C507,resources,0)-1,0))&amp;"-"&amp;INDIRECT(OFFSET(element5,MATCH($C507,resources,0)-1,0))&amp;IF(OFFSET(element6,MATCH($C507,resources,0)-1,0)="","","-"&amp;INDIRECT(OFFSET(element6,MATCH($C507,resources,0)-1,0)))&amp;IF(abbrAtEnd,"-"&amp;L507,"")</f>
        <v>#N/A</v>
      </c>
      <c r="N507" s="4" t="str">
        <f t="shared" si="50"/>
        <v>-000</v>
      </c>
      <c r="O507" s="4">
        <f ca="1">IF(totalElements+COUNTIF(Entities!$C$10,"*")+COUNTIF(B507:C507,"*")+COUNTIF(E507:F507,"*")=9,1,0)</f>
        <v>0</v>
      </c>
      <c r="P507" s="4">
        <f>COUNTIF($C$6:C507,C507)</f>
        <v>0</v>
      </c>
      <c r="Q507" s="4">
        <f ca="1">IF(ISNA(M507),0,COUNTIF($M$6:M507,M507))</f>
        <v>0</v>
      </c>
      <c r="R507" s="4" t="e">
        <f t="shared" ca="1" si="49"/>
        <v>#N/A</v>
      </c>
      <c r="S507" s="4">
        <f ca="1">IF(ISNA(M507),0,COUNTIF($R$6:R507,R507))</f>
        <v>0</v>
      </c>
      <c r="T507" s="4" t="e">
        <f t="shared" ca="1" si="48"/>
        <v>#N/A</v>
      </c>
    </row>
    <row r="508" spans="2:20" x14ac:dyDescent="0.3">
      <c r="B508" s="48"/>
      <c r="C508" s="48"/>
      <c r="D508" s="10" t="str">
        <f t="shared" ca="1" si="52"/>
        <v/>
      </c>
      <c r="E508" s="48"/>
      <c r="F508" s="48"/>
      <c r="G508" s="10" t="str">
        <f t="shared" ca="1" si="51"/>
        <v/>
      </c>
      <c r="I508" s="10" t="str">
        <f t="shared" ca="1" si="53"/>
        <v/>
      </c>
      <c r="K508" s="4" t="e">
        <f t="shared" ca="1" si="47"/>
        <v>#N/A</v>
      </c>
      <c r="L508" s="4" t="e">
        <f>VLOOKUP(C508,_resources!B:D,3,0)</f>
        <v>#N/A</v>
      </c>
      <c r="M508" s="4" t="e" cm="1">
        <f t="array" aca="1" ref="M508" ca="1">IF(abbrAtEnd,"",L508&amp;"-")&amp;E508&amp;"-"&amp;INDIRECT(OFFSET(element3,MATCH($C508,resources,0)-1,0))&amp;"-"&amp;INDIRECT(OFFSET(element4,MATCH($C508,resources,0)-1,0))&amp;"-"&amp;INDIRECT(OFFSET(element5,MATCH($C508,resources,0)-1,0))&amp;IF(OFFSET(element6,MATCH($C508,resources,0)-1,0)="","","-"&amp;INDIRECT(OFFSET(element6,MATCH($C508,resources,0)-1,0)))&amp;IF(abbrAtEnd,"-"&amp;L508,"")</f>
        <v>#N/A</v>
      </c>
      <c r="N508" s="4" t="str">
        <f t="shared" si="50"/>
        <v>-000</v>
      </c>
      <c r="O508" s="4">
        <f ca="1">IF(totalElements+COUNTIF(Entities!$C$10,"*")+COUNTIF(B508:C508,"*")+COUNTIF(E508:F508,"*")=9,1,0)</f>
        <v>0</v>
      </c>
      <c r="P508" s="4">
        <f>COUNTIF($C$6:C508,C508)</f>
        <v>0</v>
      </c>
      <c r="Q508" s="4">
        <f ca="1">IF(ISNA(M508),0,COUNTIF($M$6:M508,M508))</f>
        <v>0</v>
      </c>
      <c r="R508" s="4" t="e">
        <f t="shared" ca="1" si="49"/>
        <v>#N/A</v>
      </c>
      <c r="S508" s="4">
        <f ca="1">IF(ISNA(M508),0,COUNTIF($R$6:R508,R508))</f>
        <v>0</v>
      </c>
      <c r="T508" s="4" t="e">
        <f t="shared" ca="1" si="48"/>
        <v>#N/A</v>
      </c>
    </row>
    <row r="509" spans="2:20" x14ac:dyDescent="0.3">
      <c r="B509" s="48"/>
      <c r="C509" s="48"/>
      <c r="D509" s="10" t="str">
        <f t="shared" ca="1" si="52"/>
        <v/>
      </c>
      <c r="E509" s="48"/>
      <c r="F509" s="48"/>
      <c r="G509" s="10" t="str">
        <f t="shared" ca="1" si="51"/>
        <v/>
      </c>
      <c r="I509" s="10" t="str">
        <f t="shared" ca="1" si="53"/>
        <v/>
      </c>
      <c r="K509" s="4" t="e">
        <f t="shared" ca="1" si="47"/>
        <v>#N/A</v>
      </c>
      <c r="L509" s="4" t="e">
        <f>VLOOKUP(C509,_resources!B:D,3,0)</f>
        <v>#N/A</v>
      </c>
      <c r="M509" s="4" t="e" cm="1">
        <f t="array" aca="1" ref="M509" ca="1">IF(abbrAtEnd,"",L509&amp;"-")&amp;E509&amp;"-"&amp;INDIRECT(OFFSET(element3,MATCH($C509,resources,0)-1,0))&amp;"-"&amp;INDIRECT(OFFSET(element4,MATCH($C509,resources,0)-1,0))&amp;"-"&amp;INDIRECT(OFFSET(element5,MATCH($C509,resources,0)-1,0))&amp;IF(OFFSET(element6,MATCH($C509,resources,0)-1,0)="","","-"&amp;INDIRECT(OFFSET(element6,MATCH($C509,resources,0)-1,0)))&amp;IF(abbrAtEnd,"-"&amp;L509,"")</f>
        <v>#N/A</v>
      </c>
      <c r="N509" s="4" t="str">
        <f t="shared" si="50"/>
        <v>-000</v>
      </c>
      <c r="O509" s="4">
        <f ca="1">IF(totalElements+COUNTIF(Entities!$C$10,"*")+COUNTIF(B509:C509,"*")+COUNTIF(E509:F509,"*")=9,1,0)</f>
        <v>0</v>
      </c>
      <c r="P509" s="4">
        <f>COUNTIF($C$6:C509,C509)</f>
        <v>0</v>
      </c>
      <c r="Q509" s="4">
        <f ca="1">IF(ISNA(M509),0,COUNTIF($M$6:M509,M509))</f>
        <v>0</v>
      </c>
      <c r="R509" s="4" t="e">
        <f t="shared" ca="1" si="49"/>
        <v>#N/A</v>
      </c>
      <c r="S509" s="4">
        <f ca="1">IF(ISNA(M509),0,COUNTIF($R$6:R509,R509))</f>
        <v>0</v>
      </c>
      <c r="T509" s="4" t="e">
        <f t="shared" ca="1" si="48"/>
        <v>#N/A</v>
      </c>
    </row>
    <row r="510" spans="2:20" x14ac:dyDescent="0.3">
      <c r="B510" s="48"/>
      <c r="C510" s="48"/>
      <c r="D510" s="10" t="str">
        <f t="shared" ca="1" si="52"/>
        <v/>
      </c>
      <c r="E510" s="48"/>
      <c r="F510" s="48"/>
      <c r="G510" s="10" t="str">
        <f t="shared" ca="1" si="51"/>
        <v/>
      </c>
      <c r="I510" s="10" t="str">
        <f t="shared" ca="1" si="53"/>
        <v/>
      </c>
      <c r="K510" s="4" t="e">
        <f t="shared" ca="1" si="47"/>
        <v>#N/A</v>
      </c>
      <c r="L510" s="4" t="e">
        <f>VLOOKUP(C510,_resources!B:D,3,0)</f>
        <v>#N/A</v>
      </c>
      <c r="M510" s="4" t="e" cm="1">
        <f t="array" aca="1" ref="M510" ca="1">IF(abbrAtEnd,"",L510&amp;"-")&amp;E510&amp;"-"&amp;INDIRECT(OFFSET(element3,MATCH($C510,resources,0)-1,0))&amp;"-"&amp;INDIRECT(OFFSET(element4,MATCH($C510,resources,0)-1,0))&amp;"-"&amp;INDIRECT(OFFSET(element5,MATCH($C510,resources,0)-1,0))&amp;IF(OFFSET(element6,MATCH($C510,resources,0)-1,0)="","","-"&amp;INDIRECT(OFFSET(element6,MATCH($C510,resources,0)-1,0)))&amp;IF(abbrAtEnd,"-"&amp;L510,"")</f>
        <v>#N/A</v>
      </c>
      <c r="N510" s="4" t="str">
        <f t="shared" si="50"/>
        <v>-000</v>
      </c>
      <c r="O510" s="4">
        <f ca="1">IF(totalElements+COUNTIF(Entities!$C$10,"*")+COUNTIF(B510:C510,"*")+COUNTIF(E510:F510,"*")=9,1,0)</f>
        <v>0</v>
      </c>
      <c r="P510" s="4">
        <f>COUNTIF($C$6:C510,C510)</f>
        <v>0</v>
      </c>
      <c r="Q510" s="4">
        <f ca="1">IF(ISNA(M510),0,COUNTIF($M$6:M510,M510))</f>
        <v>0</v>
      </c>
      <c r="R510" s="4" t="e">
        <f t="shared" ca="1" si="49"/>
        <v>#N/A</v>
      </c>
      <c r="S510" s="4">
        <f ca="1">IF(ISNA(M510),0,COUNTIF($R$6:R510,R510))</f>
        <v>0</v>
      </c>
      <c r="T510" s="4" t="e">
        <f t="shared" ca="1" si="48"/>
        <v>#N/A</v>
      </c>
    </row>
    <row r="511" spans="2:20" x14ac:dyDescent="0.3">
      <c r="B511" s="48"/>
      <c r="C511" s="48"/>
      <c r="D511" s="10" t="str">
        <f t="shared" ca="1" si="52"/>
        <v/>
      </c>
      <c r="E511" s="48"/>
      <c r="F511" s="48"/>
      <c r="G511" s="10" t="str">
        <f t="shared" ca="1" si="51"/>
        <v/>
      </c>
      <c r="I511" s="10" t="str">
        <f t="shared" ca="1" si="53"/>
        <v/>
      </c>
      <c r="K511" s="4" t="e">
        <f t="shared" ca="1" si="47"/>
        <v>#N/A</v>
      </c>
      <c r="L511" s="4" t="e">
        <f>VLOOKUP(C511,_resources!B:D,3,0)</f>
        <v>#N/A</v>
      </c>
      <c r="M511" s="4" t="e" cm="1">
        <f t="array" aca="1" ref="M511" ca="1">IF(abbrAtEnd,"",L511&amp;"-")&amp;E511&amp;"-"&amp;INDIRECT(OFFSET(element3,MATCH($C511,resources,0)-1,0))&amp;"-"&amp;INDIRECT(OFFSET(element4,MATCH($C511,resources,0)-1,0))&amp;"-"&amp;INDIRECT(OFFSET(element5,MATCH($C511,resources,0)-1,0))&amp;IF(OFFSET(element6,MATCH($C511,resources,0)-1,0)="","","-"&amp;INDIRECT(OFFSET(element6,MATCH($C511,resources,0)-1,0)))&amp;IF(abbrAtEnd,"-"&amp;L511,"")</f>
        <v>#N/A</v>
      </c>
      <c r="N511" s="4" t="str">
        <f t="shared" si="50"/>
        <v>-000</v>
      </c>
      <c r="O511" s="4">
        <f ca="1">IF(totalElements+COUNTIF(Entities!$C$10,"*")+COUNTIF(B511:C511,"*")+COUNTIF(E511:F511,"*")=9,1,0)</f>
        <v>0</v>
      </c>
      <c r="P511" s="4">
        <f>COUNTIF($C$6:C511,C511)</f>
        <v>0</v>
      </c>
      <c r="Q511" s="4">
        <f ca="1">IF(ISNA(M511),0,COUNTIF($M$6:M511,M511))</f>
        <v>0</v>
      </c>
      <c r="R511" s="4" t="e">
        <f t="shared" ca="1" si="49"/>
        <v>#N/A</v>
      </c>
      <c r="S511" s="4">
        <f ca="1">IF(ISNA(M511),0,COUNTIF($R$6:R511,R511))</f>
        <v>0</v>
      </c>
      <c r="T511" s="4" t="e">
        <f t="shared" ca="1" si="48"/>
        <v>#N/A</v>
      </c>
    </row>
    <row r="512" spans="2:20" x14ac:dyDescent="0.3">
      <c r="B512" s="48"/>
      <c r="C512" s="48"/>
      <c r="D512" s="10" t="str">
        <f t="shared" ca="1" si="52"/>
        <v/>
      </c>
      <c r="E512" s="48"/>
      <c r="F512" s="48"/>
      <c r="G512" s="10" t="str">
        <f t="shared" ca="1" si="51"/>
        <v/>
      </c>
      <c r="I512" s="10" t="str">
        <f t="shared" ca="1" si="53"/>
        <v/>
      </c>
      <c r="K512" s="4" t="e">
        <f t="shared" ca="1" si="47"/>
        <v>#N/A</v>
      </c>
      <c r="L512" s="4" t="e">
        <f>VLOOKUP(C512,_resources!B:D,3,0)</f>
        <v>#N/A</v>
      </c>
      <c r="M512" s="4" t="e" cm="1">
        <f t="array" aca="1" ref="M512" ca="1">IF(abbrAtEnd,"",L512&amp;"-")&amp;E512&amp;"-"&amp;INDIRECT(OFFSET(element3,MATCH($C512,resources,0)-1,0))&amp;"-"&amp;INDIRECT(OFFSET(element4,MATCH($C512,resources,0)-1,0))&amp;"-"&amp;INDIRECT(OFFSET(element5,MATCH($C512,resources,0)-1,0))&amp;IF(OFFSET(element6,MATCH($C512,resources,0)-1,0)="","","-"&amp;INDIRECT(OFFSET(element6,MATCH($C512,resources,0)-1,0)))&amp;IF(abbrAtEnd,"-"&amp;L512,"")</f>
        <v>#N/A</v>
      </c>
      <c r="N512" s="4" t="str">
        <f t="shared" si="50"/>
        <v>-000</v>
      </c>
      <c r="O512" s="4">
        <f ca="1">IF(totalElements+COUNTIF(Entities!$C$10,"*")+COUNTIF(B512:C512,"*")+COUNTIF(E512:F512,"*")=9,1,0)</f>
        <v>0</v>
      </c>
      <c r="P512" s="4">
        <f>COUNTIF($C$6:C512,C512)</f>
        <v>0</v>
      </c>
      <c r="Q512" s="4">
        <f ca="1">IF(ISNA(M512),0,COUNTIF($M$6:M512,M512))</f>
        <v>0</v>
      </c>
      <c r="R512" s="4" t="e">
        <f t="shared" ca="1" si="49"/>
        <v>#N/A</v>
      </c>
      <c r="S512" s="4">
        <f ca="1">IF(ISNA(M512),0,COUNTIF($R$6:R512,R512))</f>
        <v>0</v>
      </c>
      <c r="T512" s="4" t="e">
        <f t="shared" ca="1" si="48"/>
        <v>#N/A</v>
      </c>
    </row>
    <row r="513" spans="2:20" x14ac:dyDescent="0.3">
      <c r="B513" s="48"/>
      <c r="C513" s="48"/>
      <c r="D513" s="10" t="str">
        <f t="shared" ca="1" si="52"/>
        <v/>
      </c>
      <c r="E513" s="48"/>
      <c r="F513" s="48"/>
      <c r="G513" s="10" t="str">
        <f t="shared" ca="1" si="51"/>
        <v/>
      </c>
      <c r="I513" s="10" t="str">
        <f t="shared" ca="1" si="53"/>
        <v/>
      </c>
      <c r="K513" s="4" t="e">
        <f t="shared" ca="1" si="47"/>
        <v>#N/A</v>
      </c>
      <c r="L513" s="4" t="e">
        <f>VLOOKUP(C513,_resources!B:D,3,0)</f>
        <v>#N/A</v>
      </c>
      <c r="M513" s="4" t="e" cm="1">
        <f t="array" aca="1" ref="M513" ca="1">IF(abbrAtEnd,"",L513&amp;"-")&amp;E513&amp;"-"&amp;INDIRECT(OFFSET(element3,MATCH($C513,resources,0)-1,0))&amp;"-"&amp;INDIRECT(OFFSET(element4,MATCH($C513,resources,0)-1,0))&amp;"-"&amp;INDIRECT(OFFSET(element5,MATCH($C513,resources,0)-1,0))&amp;IF(OFFSET(element6,MATCH($C513,resources,0)-1,0)="","","-"&amp;INDIRECT(OFFSET(element6,MATCH($C513,resources,0)-1,0)))&amp;IF(abbrAtEnd,"-"&amp;L513,"")</f>
        <v>#N/A</v>
      </c>
      <c r="N513" s="4" t="str">
        <f t="shared" si="50"/>
        <v>-000</v>
      </c>
      <c r="O513" s="4">
        <f ca="1">IF(totalElements+COUNTIF(Entities!$C$10,"*")+COUNTIF(B513:C513,"*")+COUNTIF(E513:F513,"*")=9,1,0)</f>
        <v>0</v>
      </c>
      <c r="P513" s="4">
        <f>COUNTIF($C$6:C513,C513)</f>
        <v>0</v>
      </c>
      <c r="Q513" s="4">
        <f ca="1">IF(ISNA(M513),0,COUNTIF($M$6:M513,M513))</f>
        <v>0</v>
      </c>
      <c r="R513" s="4" t="e">
        <f t="shared" ca="1" si="49"/>
        <v>#N/A</v>
      </c>
      <c r="S513" s="4">
        <f ca="1">IF(ISNA(M513),0,COUNTIF($R$6:R513,R513))</f>
        <v>0</v>
      </c>
      <c r="T513" s="4" t="e">
        <f t="shared" ca="1" si="48"/>
        <v>#N/A</v>
      </c>
    </row>
    <row r="514" spans="2:20" x14ac:dyDescent="0.3">
      <c r="B514" s="48"/>
      <c r="C514" s="48"/>
      <c r="D514" s="10" t="str">
        <f t="shared" ca="1" si="52"/>
        <v/>
      </c>
      <c r="E514" s="48"/>
      <c r="F514" s="48"/>
      <c r="G514" s="10" t="str">
        <f t="shared" ca="1" si="51"/>
        <v/>
      </c>
      <c r="I514" s="10" t="str">
        <f t="shared" ca="1" si="53"/>
        <v/>
      </c>
      <c r="K514" s="4" t="e">
        <f t="shared" ca="1" si="47"/>
        <v>#N/A</v>
      </c>
      <c r="L514" s="4" t="e">
        <f>VLOOKUP(C514,_resources!B:D,3,0)</f>
        <v>#N/A</v>
      </c>
      <c r="M514" s="4" t="e" cm="1">
        <f t="array" aca="1" ref="M514" ca="1">IF(abbrAtEnd,"",L514&amp;"-")&amp;E514&amp;"-"&amp;INDIRECT(OFFSET(element3,MATCH($C514,resources,0)-1,0))&amp;"-"&amp;INDIRECT(OFFSET(element4,MATCH($C514,resources,0)-1,0))&amp;"-"&amp;INDIRECT(OFFSET(element5,MATCH($C514,resources,0)-1,0))&amp;IF(OFFSET(element6,MATCH($C514,resources,0)-1,0)="","","-"&amp;INDIRECT(OFFSET(element6,MATCH($C514,resources,0)-1,0)))&amp;IF(abbrAtEnd,"-"&amp;L514,"")</f>
        <v>#N/A</v>
      </c>
      <c r="N514" s="4" t="str">
        <f t="shared" si="50"/>
        <v>-000</v>
      </c>
      <c r="O514" s="4">
        <f ca="1">IF(totalElements+COUNTIF(Entities!$C$10,"*")+COUNTIF(B514:C514,"*")+COUNTIF(E514:F514,"*")=9,1,0)</f>
        <v>0</v>
      </c>
      <c r="P514" s="4">
        <f>COUNTIF($C$6:C514,C514)</f>
        <v>0</v>
      </c>
      <c r="Q514" s="4">
        <f ca="1">IF(ISNA(M514),0,COUNTIF($M$6:M514,M514))</f>
        <v>0</v>
      </c>
      <c r="R514" s="4" t="e">
        <f t="shared" ca="1" si="49"/>
        <v>#N/A</v>
      </c>
      <c r="S514" s="4">
        <f ca="1">IF(ISNA(M514),0,COUNTIF($R$6:R514,R514))</f>
        <v>0</v>
      </c>
      <c r="T514" s="4" t="e">
        <f t="shared" ca="1" si="48"/>
        <v>#N/A</v>
      </c>
    </row>
    <row r="515" spans="2:20" x14ac:dyDescent="0.3">
      <c r="B515" s="48"/>
      <c r="C515" s="48"/>
      <c r="D515" s="10" t="str">
        <f t="shared" ca="1" si="52"/>
        <v/>
      </c>
      <c r="E515" s="48"/>
      <c r="F515" s="48"/>
      <c r="G515" s="10" t="str">
        <f t="shared" ca="1" si="51"/>
        <v/>
      </c>
      <c r="I515" s="10" t="str">
        <f t="shared" ca="1" si="53"/>
        <v/>
      </c>
      <c r="K515" s="4" t="e">
        <f t="shared" ca="1" si="47"/>
        <v>#N/A</v>
      </c>
      <c r="L515" s="4" t="e">
        <f>VLOOKUP(C515,_resources!B:D,3,0)</f>
        <v>#N/A</v>
      </c>
      <c r="M515" s="4" t="e" cm="1">
        <f t="array" aca="1" ref="M515" ca="1">IF(abbrAtEnd,"",L515&amp;"-")&amp;E515&amp;"-"&amp;INDIRECT(OFFSET(element3,MATCH($C515,resources,0)-1,0))&amp;"-"&amp;INDIRECT(OFFSET(element4,MATCH($C515,resources,0)-1,0))&amp;"-"&amp;INDIRECT(OFFSET(element5,MATCH($C515,resources,0)-1,0))&amp;IF(OFFSET(element6,MATCH($C515,resources,0)-1,0)="","","-"&amp;INDIRECT(OFFSET(element6,MATCH($C515,resources,0)-1,0)))&amp;IF(abbrAtEnd,"-"&amp;L515,"")</f>
        <v>#N/A</v>
      </c>
      <c r="N515" s="4" t="str">
        <f t="shared" si="50"/>
        <v>-000</v>
      </c>
      <c r="O515" s="4">
        <f ca="1">IF(totalElements+COUNTIF(Entities!$C$10,"*")+COUNTIF(B515:C515,"*")+COUNTIF(E515:F515,"*")=9,1,0)</f>
        <v>0</v>
      </c>
      <c r="P515" s="4">
        <f>COUNTIF($C$6:C515,C515)</f>
        <v>0</v>
      </c>
      <c r="Q515" s="4">
        <f ca="1">IF(ISNA(M515),0,COUNTIF($M$6:M515,M515))</f>
        <v>0</v>
      </c>
      <c r="R515" s="4" t="e">
        <f t="shared" ca="1" si="49"/>
        <v>#N/A</v>
      </c>
      <c r="S515" s="4">
        <f ca="1">IF(ISNA(M515),0,COUNTIF($R$6:R515,R515))</f>
        <v>0</v>
      </c>
      <c r="T515" s="4" t="e">
        <f t="shared" ca="1" si="48"/>
        <v>#N/A</v>
      </c>
    </row>
    <row r="516" spans="2:20" x14ac:dyDescent="0.3">
      <c r="B516" s="48"/>
      <c r="C516" s="48"/>
      <c r="D516" s="10" t="str">
        <f t="shared" ca="1" si="52"/>
        <v/>
      </c>
      <c r="E516" s="48"/>
      <c r="F516" s="48"/>
      <c r="G516" s="10" t="str">
        <f t="shared" ca="1" si="51"/>
        <v/>
      </c>
      <c r="I516" s="10" t="str">
        <f t="shared" ca="1" si="53"/>
        <v/>
      </c>
      <c r="K516" s="4" t="e">
        <f t="shared" ca="1" si="47"/>
        <v>#N/A</v>
      </c>
      <c r="L516" s="4" t="e">
        <f>VLOOKUP(C516,_resources!B:D,3,0)</f>
        <v>#N/A</v>
      </c>
      <c r="M516" s="4" t="e" cm="1">
        <f t="array" aca="1" ref="M516" ca="1">IF(abbrAtEnd,"",L516&amp;"-")&amp;E516&amp;"-"&amp;INDIRECT(OFFSET(element3,MATCH($C516,resources,0)-1,0))&amp;"-"&amp;INDIRECT(OFFSET(element4,MATCH($C516,resources,0)-1,0))&amp;"-"&amp;INDIRECT(OFFSET(element5,MATCH($C516,resources,0)-1,0))&amp;IF(OFFSET(element6,MATCH($C516,resources,0)-1,0)="","","-"&amp;INDIRECT(OFFSET(element6,MATCH($C516,resources,0)-1,0)))&amp;IF(abbrAtEnd,"-"&amp;L516,"")</f>
        <v>#N/A</v>
      </c>
      <c r="N516" s="4" t="str">
        <f t="shared" si="50"/>
        <v>-000</v>
      </c>
      <c r="O516" s="4">
        <f ca="1">IF(totalElements+COUNTIF(Entities!$C$10,"*")+COUNTIF(B516:C516,"*")+COUNTIF(E516:F516,"*")=9,1,0)</f>
        <v>0</v>
      </c>
      <c r="P516" s="4">
        <f>COUNTIF($C$6:C516,C516)</f>
        <v>0</v>
      </c>
      <c r="Q516" s="4">
        <f ca="1">IF(ISNA(M516),0,COUNTIF($M$6:M516,M516))</f>
        <v>0</v>
      </c>
      <c r="R516" s="4" t="e">
        <f t="shared" ca="1" si="49"/>
        <v>#N/A</v>
      </c>
      <c r="S516" s="4">
        <f ca="1">IF(ISNA(M516),0,COUNTIF($R$6:R516,R516))</f>
        <v>0</v>
      </c>
      <c r="T516" s="4" t="e">
        <f t="shared" ca="1" si="48"/>
        <v>#N/A</v>
      </c>
    </row>
    <row r="517" spans="2:20" x14ac:dyDescent="0.3">
      <c r="B517" s="48"/>
      <c r="C517" s="48"/>
      <c r="D517" s="10" t="str">
        <f t="shared" ca="1" si="52"/>
        <v/>
      </c>
      <c r="E517" s="48"/>
      <c r="F517" s="48"/>
      <c r="G517" s="10" t="str">
        <f t="shared" ca="1" si="51"/>
        <v/>
      </c>
      <c r="I517" s="10" t="str">
        <f t="shared" ca="1" si="53"/>
        <v/>
      </c>
      <c r="K517" s="4" t="e">
        <f t="shared" ca="1" si="47"/>
        <v>#N/A</v>
      </c>
      <c r="L517" s="4" t="e">
        <f>VLOOKUP(C517,_resources!B:D,3,0)</f>
        <v>#N/A</v>
      </c>
      <c r="M517" s="4" t="e" cm="1">
        <f t="array" aca="1" ref="M517" ca="1">IF(abbrAtEnd,"",L517&amp;"-")&amp;E517&amp;"-"&amp;INDIRECT(OFFSET(element3,MATCH($C517,resources,0)-1,0))&amp;"-"&amp;INDIRECT(OFFSET(element4,MATCH($C517,resources,0)-1,0))&amp;"-"&amp;INDIRECT(OFFSET(element5,MATCH($C517,resources,0)-1,0))&amp;IF(OFFSET(element6,MATCH($C517,resources,0)-1,0)="","","-"&amp;INDIRECT(OFFSET(element6,MATCH($C517,resources,0)-1,0)))&amp;IF(abbrAtEnd,"-"&amp;L517,"")</f>
        <v>#N/A</v>
      </c>
      <c r="N517" s="4" t="str">
        <f t="shared" si="50"/>
        <v>-000</v>
      </c>
      <c r="O517" s="4">
        <f ca="1">IF(totalElements+COUNTIF(Entities!$C$10,"*")+COUNTIF(B517:C517,"*")+COUNTIF(E517:F517,"*")=9,1,0)</f>
        <v>0</v>
      </c>
      <c r="P517" s="4">
        <f>COUNTIF($C$6:C517,C517)</f>
        <v>0</v>
      </c>
      <c r="Q517" s="4">
        <f ca="1">IF(ISNA(M517),0,COUNTIF($M$6:M517,M517))</f>
        <v>0</v>
      </c>
      <c r="R517" s="4" t="e">
        <f t="shared" ca="1" si="49"/>
        <v>#N/A</v>
      </c>
      <c r="S517" s="4">
        <f ca="1">IF(ISNA(M517),0,COUNTIF($R$6:R517,R517))</f>
        <v>0</v>
      </c>
      <c r="T517" s="4" t="e">
        <f t="shared" ca="1" si="48"/>
        <v>#N/A</v>
      </c>
    </row>
    <row r="518" spans="2:20" x14ac:dyDescent="0.3">
      <c r="B518" s="48"/>
      <c r="C518" s="48"/>
      <c r="D518" s="10" t="str">
        <f t="shared" ca="1" si="52"/>
        <v/>
      </c>
      <c r="E518" s="48"/>
      <c r="F518" s="48"/>
      <c r="G518" s="10" t="str">
        <f t="shared" ca="1" si="51"/>
        <v/>
      </c>
      <c r="I518" s="10" t="str">
        <f t="shared" ca="1" si="53"/>
        <v/>
      </c>
      <c r="K518" s="4" t="e">
        <f t="shared" ref="K518:K581" ca="1" si="54">OFFSET(structure,MATCH($C518,resources,0)-1,0)</f>
        <v>#N/A</v>
      </c>
      <c r="L518" s="4" t="e">
        <f>VLOOKUP(C518,_resources!B:D,3,0)</f>
        <v>#N/A</v>
      </c>
      <c r="M518" s="4" t="e" cm="1">
        <f t="array" aca="1" ref="M518" ca="1">IF(abbrAtEnd,"",L518&amp;"-")&amp;E518&amp;"-"&amp;INDIRECT(OFFSET(element3,MATCH($C518,resources,0)-1,0))&amp;"-"&amp;INDIRECT(OFFSET(element4,MATCH($C518,resources,0)-1,0))&amp;"-"&amp;INDIRECT(OFFSET(element5,MATCH($C518,resources,0)-1,0))&amp;IF(OFFSET(element6,MATCH($C518,resources,0)-1,0)="","","-"&amp;INDIRECT(OFFSET(element6,MATCH($C518,resources,0)-1,0)))&amp;IF(abbrAtEnd,"-"&amp;L518,"")</f>
        <v>#N/A</v>
      </c>
      <c r="N518" s="4" t="str">
        <f t="shared" si="50"/>
        <v>-000</v>
      </c>
      <c r="O518" s="4">
        <f ca="1">IF(totalElements+COUNTIF(Entities!$C$10,"*")+COUNTIF(B518:C518,"*")+COUNTIF(E518:F518,"*")=9,1,0)</f>
        <v>0</v>
      </c>
      <c r="P518" s="4">
        <f>COUNTIF($C$6:C518,C518)</f>
        <v>0</v>
      </c>
      <c r="Q518" s="4">
        <f ca="1">IF(ISNA(M518),0,COUNTIF($M$6:M518,M518))</f>
        <v>0</v>
      </c>
      <c r="R518" s="4" t="e">
        <f t="shared" ca="1" si="49"/>
        <v>#N/A</v>
      </c>
      <c r="S518" s="4">
        <f ca="1">IF(ISNA(M518),0,COUNTIF($R$6:R518,R518))</f>
        <v>0</v>
      </c>
      <c r="T518" s="4" t="e">
        <f t="shared" ref="T518:T581" ca="1" si="55">OFFSET(maxLength,MATCH($C518,resources,0)-1,0)</f>
        <v>#N/A</v>
      </c>
    </row>
    <row r="519" spans="2:20" x14ac:dyDescent="0.3">
      <c r="B519" s="48"/>
      <c r="C519" s="48"/>
      <c r="D519" s="10" t="str">
        <f t="shared" ca="1" si="52"/>
        <v/>
      </c>
      <c r="E519" s="48"/>
      <c r="F519" s="48"/>
      <c r="G519" s="10" t="str">
        <f t="shared" ca="1" si="51"/>
        <v/>
      </c>
      <c r="I519" s="10" t="str">
        <f t="shared" ca="1" si="53"/>
        <v/>
      </c>
      <c r="K519" s="4" t="e">
        <f t="shared" ca="1" si="54"/>
        <v>#N/A</v>
      </c>
      <c r="L519" s="4" t="e">
        <f>VLOOKUP(C519,_resources!B:D,3,0)</f>
        <v>#N/A</v>
      </c>
      <c r="M519" s="4" t="e" cm="1">
        <f t="array" aca="1" ref="M519" ca="1">IF(abbrAtEnd,"",L519&amp;"-")&amp;E519&amp;"-"&amp;INDIRECT(OFFSET(element3,MATCH($C519,resources,0)-1,0))&amp;"-"&amp;INDIRECT(OFFSET(element4,MATCH($C519,resources,0)-1,0))&amp;"-"&amp;INDIRECT(OFFSET(element5,MATCH($C519,resources,0)-1,0))&amp;IF(OFFSET(element6,MATCH($C519,resources,0)-1,0)="","","-"&amp;INDIRECT(OFFSET(element6,MATCH($C519,resources,0)-1,0)))&amp;IF(abbrAtEnd,"-"&amp;L519,"")</f>
        <v>#N/A</v>
      </c>
      <c r="N519" s="4" t="str">
        <f t="shared" si="50"/>
        <v>-000</v>
      </c>
      <c r="O519" s="4">
        <f ca="1">IF(totalElements+COUNTIF(Entities!$C$10,"*")+COUNTIF(B519:C519,"*")+COUNTIF(E519:F519,"*")=9,1,0)</f>
        <v>0</v>
      </c>
      <c r="P519" s="4">
        <f>COUNTIF($C$6:C519,C519)</f>
        <v>0</v>
      </c>
      <c r="Q519" s="4">
        <f ca="1">IF(ISNA(M519),0,COUNTIF($M$6:M519,M519))</f>
        <v>0</v>
      </c>
      <c r="R519" s="4" t="e">
        <f t="shared" ref="R519:R582" ca="1" si="56">F519&amp;"__"&amp;M519</f>
        <v>#N/A</v>
      </c>
      <c r="S519" s="4">
        <f ca="1">IF(ISNA(M519),0,COUNTIF($R$6:R519,R519))</f>
        <v>0</v>
      </c>
      <c r="T519" s="4" t="e">
        <f t="shared" ca="1" si="55"/>
        <v>#N/A</v>
      </c>
    </row>
    <row r="520" spans="2:20" x14ac:dyDescent="0.3">
      <c r="B520" s="48"/>
      <c r="C520" s="48"/>
      <c r="D520" s="10" t="str">
        <f t="shared" ca="1" si="52"/>
        <v/>
      </c>
      <c r="E520" s="48"/>
      <c r="F520" s="48"/>
      <c r="G520" s="10" t="str">
        <f t="shared" ca="1" si="51"/>
        <v/>
      </c>
      <c r="I520" s="10" t="str">
        <f t="shared" ca="1" si="53"/>
        <v/>
      </c>
      <c r="K520" s="4" t="e">
        <f t="shared" ca="1" si="54"/>
        <v>#N/A</v>
      </c>
      <c r="L520" s="4" t="e">
        <f>VLOOKUP(C520,_resources!B:D,3,0)</f>
        <v>#N/A</v>
      </c>
      <c r="M520" s="4" t="e" cm="1">
        <f t="array" aca="1" ref="M520" ca="1">IF(abbrAtEnd,"",L520&amp;"-")&amp;E520&amp;"-"&amp;INDIRECT(OFFSET(element3,MATCH($C520,resources,0)-1,0))&amp;"-"&amp;INDIRECT(OFFSET(element4,MATCH($C520,resources,0)-1,0))&amp;"-"&amp;INDIRECT(OFFSET(element5,MATCH($C520,resources,0)-1,0))&amp;IF(OFFSET(element6,MATCH($C520,resources,0)-1,0)="","","-"&amp;INDIRECT(OFFSET(element6,MATCH($C520,resources,0)-1,0)))&amp;IF(abbrAtEnd,"-"&amp;L520,"")</f>
        <v>#N/A</v>
      </c>
      <c r="N520" s="4" t="str">
        <f t="shared" si="50"/>
        <v>-000</v>
      </c>
      <c r="O520" s="4">
        <f ca="1">IF(totalElements+COUNTIF(Entities!$C$10,"*")+COUNTIF(B520:C520,"*")+COUNTIF(E520:F520,"*")=9,1,0)</f>
        <v>0</v>
      </c>
      <c r="P520" s="4">
        <f>COUNTIF($C$6:C520,C520)</f>
        <v>0</v>
      </c>
      <c r="Q520" s="4">
        <f ca="1">IF(ISNA(M520),0,COUNTIF($M$6:M520,M520))</f>
        <v>0</v>
      </c>
      <c r="R520" s="4" t="e">
        <f t="shared" ca="1" si="56"/>
        <v>#N/A</v>
      </c>
      <c r="S520" s="4">
        <f ca="1">IF(ISNA(M520),0,COUNTIF($R$6:R520,R520))</f>
        <v>0</v>
      </c>
      <c r="T520" s="4" t="e">
        <f t="shared" ca="1" si="55"/>
        <v>#N/A</v>
      </c>
    </row>
    <row r="521" spans="2:20" x14ac:dyDescent="0.3">
      <c r="B521" s="48"/>
      <c r="C521" s="48"/>
      <c r="D521" s="10" t="str">
        <f t="shared" ca="1" si="52"/>
        <v/>
      </c>
      <c r="E521" s="48"/>
      <c r="F521" s="48"/>
      <c r="G521" s="10" t="str">
        <f t="shared" ca="1" si="51"/>
        <v/>
      </c>
      <c r="I521" s="10" t="str">
        <f t="shared" ca="1" si="53"/>
        <v/>
      </c>
      <c r="K521" s="4" t="e">
        <f t="shared" ca="1" si="54"/>
        <v>#N/A</v>
      </c>
      <c r="L521" s="4" t="e">
        <f>VLOOKUP(C521,_resources!B:D,3,0)</f>
        <v>#N/A</v>
      </c>
      <c r="M521" s="4" t="e" cm="1">
        <f t="array" aca="1" ref="M521" ca="1">IF(abbrAtEnd,"",L521&amp;"-")&amp;E521&amp;"-"&amp;INDIRECT(OFFSET(element3,MATCH($C521,resources,0)-1,0))&amp;"-"&amp;INDIRECT(OFFSET(element4,MATCH($C521,resources,0)-1,0))&amp;"-"&amp;INDIRECT(OFFSET(element5,MATCH($C521,resources,0)-1,0))&amp;IF(OFFSET(element6,MATCH($C521,resources,0)-1,0)="","","-"&amp;INDIRECT(OFFSET(element6,MATCH($C521,resources,0)-1,0)))&amp;IF(abbrAtEnd,"-"&amp;L521,"")</f>
        <v>#N/A</v>
      </c>
      <c r="N521" s="4" t="str">
        <f t="shared" si="50"/>
        <v>-000</v>
      </c>
      <c r="O521" s="4">
        <f ca="1">IF(totalElements+COUNTIF(Entities!$C$10,"*")+COUNTIF(B521:C521,"*")+COUNTIF(E521:F521,"*")=9,1,0)</f>
        <v>0</v>
      </c>
      <c r="P521" s="4">
        <f>COUNTIF($C$6:C521,C521)</f>
        <v>0</v>
      </c>
      <c r="Q521" s="4">
        <f ca="1">IF(ISNA(M521),0,COUNTIF($M$6:M521,M521))</f>
        <v>0</v>
      </c>
      <c r="R521" s="4" t="e">
        <f t="shared" ca="1" si="56"/>
        <v>#N/A</v>
      </c>
      <c r="S521" s="4">
        <f ca="1">IF(ISNA(M521),0,COUNTIF($R$6:R521,R521))</f>
        <v>0</v>
      </c>
      <c r="T521" s="4" t="e">
        <f t="shared" ca="1" si="55"/>
        <v>#N/A</v>
      </c>
    </row>
    <row r="522" spans="2:20" x14ac:dyDescent="0.3">
      <c r="B522" s="48"/>
      <c r="C522" s="48"/>
      <c r="D522" s="10" t="str">
        <f t="shared" ca="1" si="52"/>
        <v/>
      </c>
      <c r="E522" s="48"/>
      <c r="F522" s="48"/>
      <c r="G522" s="10" t="str">
        <f t="shared" ca="1" si="51"/>
        <v/>
      </c>
      <c r="I522" s="10" t="str">
        <f t="shared" ca="1" si="53"/>
        <v/>
      </c>
      <c r="K522" s="4" t="e">
        <f t="shared" ca="1" si="54"/>
        <v>#N/A</v>
      </c>
      <c r="L522" s="4" t="e">
        <f>VLOOKUP(C522,_resources!B:D,3,0)</f>
        <v>#N/A</v>
      </c>
      <c r="M522" s="4" t="e" cm="1">
        <f t="array" aca="1" ref="M522" ca="1">IF(abbrAtEnd,"",L522&amp;"-")&amp;E522&amp;"-"&amp;INDIRECT(OFFSET(element3,MATCH($C522,resources,0)-1,0))&amp;"-"&amp;INDIRECT(OFFSET(element4,MATCH($C522,resources,0)-1,0))&amp;"-"&amp;INDIRECT(OFFSET(element5,MATCH($C522,resources,0)-1,0))&amp;IF(OFFSET(element6,MATCH($C522,resources,0)-1,0)="","","-"&amp;INDIRECT(OFFSET(element6,MATCH($C522,resources,0)-1,0)))&amp;IF(abbrAtEnd,"-"&amp;L522,"")</f>
        <v>#N/A</v>
      </c>
      <c r="N522" s="4" t="str">
        <f t="shared" si="50"/>
        <v>-000</v>
      </c>
      <c r="O522" s="4">
        <f ca="1">IF(totalElements+COUNTIF(Entities!$C$10,"*")+COUNTIF(B522:C522,"*")+COUNTIF(E522:F522,"*")=9,1,0)</f>
        <v>0</v>
      </c>
      <c r="P522" s="4">
        <f>COUNTIF($C$6:C522,C522)</f>
        <v>0</v>
      </c>
      <c r="Q522" s="4">
        <f ca="1">IF(ISNA(M522),0,COUNTIF($M$6:M522,M522))</f>
        <v>0</v>
      </c>
      <c r="R522" s="4" t="e">
        <f t="shared" ca="1" si="56"/>
        <v>#N/A</v>
      </c>
      <c r="S522" s="4">
        <f ca="1">IF(ISNA(M522),0,COUNTIF($R$6:R522,R522))</f>
        <v>0</v>
      </c>
      <c r="T522" s="4" t="e">
        <f t="shared" ca="1" si="55"/>
        <v>#N/A</v>
      </c>
    </row>
    <row r="523" spans="2:20" x14ac:dyDescent="0.3">
      <c r="B523" s="48"/>
      <c r="C523" s="48"/>
      <c r="D523" s="10" t="str">
        <f t="shared" ca="1" si="52"/>
        <v/>
      </c>
      <c r="E523" s="48"/>
      <c r="F523" s="48"/>
      <c r="G523" s="10" t="str">
        <f t="shared" ca="1" si="51"/>
        <v/>
      </c>
      <c r="I523" s="10" t="str">
        <f t="shared" ca="1" si="53"/>
        <v/>
      </c>
      <c r="K523" s="4" t="e">
        <f t="shared" ca="1" si="54"/>
        <v>#N/A</v>
      </c>
      <c r="L523" s="4" t="e">
        <f>VLOOKUP(C523,_resources!B:D,3,0)</f>
        <v>#N/A</v>
      </c>
      <c r="M523" s="4" t="e" cm="1">
        <f t="array" aca="1" ref="M523" ca="1">IF(abbrAtEnd,"",L523&amp;"-")&amp;E523&amp;"-"&amp;INDIRECT(OFFSET(element3,MATCH($C523,resources,0)-1,0))&amp;"-"&amp;INDIRECT(OFFSET(element4,MATCH($C523,resources,0)-1,0))&amp;"-"&amp;INDIRECT(OFFSET(element5,MATCH($C523,resources,0)-1,0))&amp;IF(OFFSET(element6,MATCH($C523,resources,0)-1,0)="","","-"&amp;INDIRECT(OFFSET(element6,MATCH($C523,resources,0)-1,0)))&amp;IF(abbrAtEnd,"-"&amp;L523,"")</f>
        <v>#N/A</v>
      </c>
      <c r="N523" s="4" t="str">
        <f t="shared" si="50"/>
        <v>-000</v>
      </c>
      <c r="O523" s="4">
        <f ca="1">IF(totalElements+COUNTIF(Entities!$C$10,"*")+COUNTIF(B523:C523,"*")+COUNTIF(E523:F523,"*")=9,1,0)</f>
        <v>0</v>
      </c>
      <c r="P523" s="4">
        <f>COUNTIF($C$6:C523,C523)</f>
        <v>0</v>
      </c>
      <c r="Q523" s="4">
        <f ca="1">IF(ISNA(M523),0,COUNTIF($M$6:M523,M523))</f>
        <v>0</v>
      </c>
      <c r="R523" s="4" t="e">
        <f t="shared" ca="1" si="56"/>
        <v>#N/A</v>
      </c>
      <c r="S523" s="4">
        <f ca="1">IF(ISNA(M523),0,COUNTIF($R$6:R523,R523))</f>
        <v>0</v>
      </c>
      <c r="T523" s="4" t="e">
        <f t="shared" ca="1" si="55"/>
        <v>#N/A</v>
      </c>
    </row>
    <row r="524" spans="2:20" x14ac:dyDescent="0.3">
      <c r="B524" s="48"/>
      <c r="C524" s="48"/>
      <c r="D524" s="10" t="str">
        <f t="shared" ca="1" si="52"/>
        <v/>
      </c>
      <c r="E524" s="48"/>
      <c r="F524" s="48"/>
      <c r="G524" s="10" t="str">
        <f t="shared" ca="1" si="51"/>
        <v/>
      </c>
      <c r="I524" s="10" t="str">
        <f t="shared" ca="1" si="53"/>
        <v/>
      </c>
      <c r="K524" s="4" t="e">
        <f t="shared" ca="1" si="54"/>
        <v>#N/A</v>
      </c>
      <c r="L524" s="4" t="e">
        <f>VLOOKUP(C524,_resources!B:D,3,0)</f>
        <v>#N/A</v>
      </c>
      <c r="M524" s="4" t="e" cm="1">
        <f t="array" aca="1" ref="M524" ca="1">IF(abbrAtEnd,"",L524&amp;"-")&amp;E524&amp;"-"&amp;INDIRECT(OFFSET(element3,MATCH($C524,resources,0)-1,0))&amp;"-"&amp;INDIRECT(OFFSET(element4,MATCH($C524,resources,0)-1,0))&amp;"-"&amp;INDIRECT(OFFSET(element5,MATCH($C524,resources,0)-1,0))&amp;IF(OFFSET(element6,MATCH($C524,resources,0)-1,0)="","","-"&amp;INDIRECT(OFFSET(element6,MATCH($C524,resources,0)-1,0)))&amp;IF(abbrAtEnd,"-"&amp;L524,"")</f>
        <v>#N/A</v>
      </c>
      <c r="N524" s="4" t="str">
        <f t="shared" si="50"/>
        <v>-000</v>
      </c>
      <c r="O524" s="4">
        <f ca="1">IF(totalElements+COUNTIF(Entities!$C$10,"*")+COUNTIF(B524:C524,"*")+COUNTIF(E524:F524,"*")=9,1,0)</f>
        <v>0</v>
      </c>
      <c r="P524" s="4">
        <f>COUNTIF($C$6:C524,C524)</f>
        <v>0</v>
      </c>
      <c r="Q524" s="4">
        <f ca="1">IF(ISNA(M524),0,COUNTIF($M$6:M524,M524))</f>
        <v>0</v>
      </c>
      <c r="R524" s="4" t="e">
        <f t="shared" ca="1" si="56"/>
        <v>#N/A</v>
      </c>
      <c r="S524" s="4">
        <f ca="1">IF(ISNA(M524),0,COUNTIF($R$6:R524,R524))</f>
        <v>0</v>
      </c>
      <c r="T524" s="4" t="e">
        <f t="shared" ca="1" si="55"/>
        <v>#N/A</v>
      </c>
    </row>
    <row r="525" spans="2:20" x14ac:dyDescent="0.3">
      <c r="B525" s="48"/>
      <c r="C525" s="48"/>
      <c r="D525" s="10" t="str">
        <f t="shared" ca="1" si="52"/>
        <v/>
      </c>
      <c r="E525" s="48"/>
      <c r="F525" s="48"/>
      <c r="G525" s="10" t="str">
        <f t="shared" ca="1" si="51"/>
        <v/>
      </c>
      <c r="I525" s="10" t="str">
        <f t="shared" ca="1" si="53"/>
        <v/>
      </c>
      <c r="K525" s="4" t="e">
        <f t="shared" ca="1" si="54"/>
        <v>#N/A</v>
      </c>
      <c r="L525" s="4" t="e">
        <f>VLOOKUP(C525,_resources!B:D,3,0)</f>
        <v>#N/A</v>
      </c>
      <c r="M525" s="4" t="e" cm="1">
        <f t="array" aca="1" ref="M525" ca="1">IF(abbrAtEnd,"",L525&amp;"-")&amp;E525&amp;"-"&amp;INDIRECT(OFFSET(element3,MATCH($C525,resources,0)-1,0))&amp;"-"&amp;INDIRECT(OFFSET(element4,MATCH($C525,resources,0)-1,0))&amp;"-"&amp;INDIRECT(OFFSET(element5,MATCH($C525,resources,0)-1,0))&amp;IF(OFFSET(element6,MATCH($C525,resources,0)-1,0)="","","-"&amp;INDIRECT(OFFSET(element6,MATCH($C525,resources,0)-1,0)))&amp;IF(abbrAtEnd,"-"&amp;L525,"")</f>
        <v>#N/A</v>
      </c>
      <c r="N525" s="4" t="str">
        <f t="shared" si="50"/>
        <v>-000</v>
      </c>
      <c r="O525" s="4">
        <f ca="1">IF(totalElements+COUNTIF(Entities!$C$10,"*")+COUNTIF(B525:C525,"*")+COUNTIF(E525:F525,"*")=9,1,0)</f>
        <v>0</v>
      </c>
      <c r="P525" s="4">
        <f>COUNTIF($C$6:C525,C525)</f>
        <v>0</v>
      </c>
      <c r="Q525" s="4">
        <f ca="1">IF(ISNA(M525),0,COUNTIF($M$6:M525,M525))</f>
        <v>0</v>
      </c>
      <c r="R525" s="4" t="e">
        <f t="shared" ca="1" si="56"/>
        <v>#N/A</v>
      </c>
      <c r="S525" s="4">
        <f ca="1">IF(ISNA(M525),0,COUNTIF($R$6:R525,R525))</f>
        <v>0</v>
      </c>
      <c r="T525" s="4" t="e">
        <f t="shared" ca="1" si="55"/>
        <v>#N/A</v>
      </c>
    </row>
    <row r="526" spans="2:20" x14ac:dyDescent="0.3">
      <c r="B526" s="48"/>
      <c r="C526" s="48"/>
      <c r="D526" s="10" t="str">
        <f t="shared" ca="1" si="52"/>
        <v/>
      </c>
      <c r="E526" s="48"/>
      <c r="F526" s="48"/>
      <c r="G526" s="10" t="str">
        <f t="shared" ca="1" si="51"/>
        <v/>
      </c>
      <c r="I526" s="10" t="str">
        <f t="shared" ca="1" si="53"/>
        <v/>
      </c>
      <c r="K526" s="4" t="e">
        <f t="shared" ca="1" si="54"/>
        <v>#N/A</v>
      </c>
      <c r="L526" s="4" t="e">
        <f>VLOOKUP(C526,_resources!B:D,3,0)</f>
        <v>#N/A</v>
      </c>
      <c r="M526" s="4" t="e" cm="1">
        <f t="array" aca="1" ref="M526" ca="1">IF(abbrAtEnd,"",L526&amp;"-")&amp;E526&amp;"-"&amp;INDIRECT(OFFSET(element3,MATCH($C526,resources,0)-1,0))&amp;"-"&amp;INDIRECT(OFFSET(element4,MATCH($C526,resources,0)-1,0))&amp;"-"&amp;INDIRECT(OFFSET(element5,MATCH($C526,resources,0)-1,0))&amp;IF(OFFSET(element6,MATCH($C526,resources,0)-1,0)="","","-"&amp;INDIRECT(OFFSET(element6,MATCH($C526,resources,0)-1,0)))&amp;IF(abbrAtEnd,"-"&amp;L526,"")</f>
        <v>#N/A</v>
      </c>
      <c r="N526" s="4" t="str">
        <f t="shared" ref="N526:N589" si="57">IF($M$4,"-"&amp;TEXT(P526,"000"),"-"&amp;TEXT(Q526,"000"))</f>
        <v>-000</v>
      </c>
      <c r="O526" s="4">
        <f ca="1">IF(totalElements+COUNTIF(Entities!$C$10,"*")+COUNTIF(B526:C526,"*")+COUNTIF(E526:F526,"*")=9,1,0)</f>
        <v>0</v>
      </c>
      <c r="P526" s="4">
        <f>COUNTIF($C$6:C526,C526)</f>
        <v>0</v>
      </c>
      <c r="Q526" s="4">
        <f ca="1">IF(ISNA(M526),0,COUNTIF($M$6:M526,M526))</f>
        <v>0</v>
      </c>
      <c r="R526" s="4" t="e">
        <f t="shared" ca="1" si="56"/>
        <v>#N/A</v>
      </c>
      <c r="S526" s="4">
        <f ca="1">IF(ISNA(M526),0,COUNTIF($R$6:R526,R526))</f>
        <v>0</v>
      </c>
      <c r="T526" s="4" t="e">
        <f t="shared" ca="1" si="55"/>
        <v>#N/A</v>
      </c>
    </row>
    <row r="527" spans="2:20" x14ac:dyDescent="0.3">
      <c r="B527" s="48"/>
      <c r="C527" s="48"/>
      <c r="D527" s="10" t="str">
        <f t="shared" ca="1" si="52"/>
        <v/>
      </c>
      <c r="E527" s="48"/>
      <c r="F527" s="48"/>
      <c r="G527" s="10" t="str">
        <f t="shared" ca="1" si="51"/>
        <v/>
      </c>
      <c r="I527" s="10" t="str">
        <f t="shared" ca="1" si="53"/>
        <v/>
      </c>
      <c r="K527" s="4" t="e">
        <f t="shared" ca="1" si="54"/>
        <v>#N/A</v>
      </c>
      <c r="L527" s="4" t="e">
        <f>VLOOKUP(C527,_resources!B:D,3,0)</f>
        <v>#N/A</v>
      </c>
      <c r="M527" s="4" t="e" cm="1">
        <f t="array" aca="1" ref="M527" ca="1">IF(abbrAtEnd,"",L527&amp;"-")&amp;E527&amp;"-"&amp;INDIRECT(OFFSET(element3,MATCH($C527,resources,0)-1,0))&amp;"-"&amp;INDIRECT(OFFSET(element4,MATCH($C527,resources,0)-1,0))&amp;"-"&amp;INDIRECT(OFFSET(element5,MATCH($C527,resources,0)-1,0))&amp;IF(OFFSET(element6,MATCH($C527,resources,0)-1,0)="","","-"&amp;INDIRECT(OFFSET(element6,MATCH($C527,resources,0)-1,0)))&amp;IF(abbrAtEnd,"-"&amp;L527,"")</f>
        <v>#N/A</v>
      </c>
      <c r="N527" s="4" t="str">
        <f t="shared" si="57"/>
        <v>-000</v>
      </c>
      <c r="O527" s="4">
        <f ca="1">IF(totalElements+COUNTIF(Entities!$C$10,"*")+COUNTIF(B527:C527,"*")+COUNTIF(E527:F527,"*")=9,1,0)</f>
        <v>0</v>
      </c>
      <c r="P527" s="4">
        <f>COUNTIF($C$6:C527,C527)</f>
        <v>0</v>
      </c>
      <c r="Q527" s="4">
        <f ca="1">IF(ISNA(M527),0,COUNTIF($M$6:M527,M527))</f>
        <v>0</v>
      </c>
      <c r="R527" s="4" t="e">
        <f t="shared" ca="1" si="56"/>
        <v>#N/A</v>
      </c>
      <c r="S527" s="4">
        <f ca="1">IF(ISNA(M527),0,COUNTIF($R$6:R527,R527))</f>
        <v>0</v>
      </c>
      <c r="T527" s="4" t="e">
        <f t="shared" ca="1" si="55"/>
        <v>#N/A</v>
      </c>
    </row>
    <row r="528" spans="2:20" x14ac:dyDescent="0.3">
      <c r="B528" s="48"/>
      <c r="C528" s="48"/>
      <c r="D528" s="10" t="str">
        <f t="shared" ca="1" si="52"/>
        <v/>
      </c>
      <c r="E528" s="48"/>
      <c r="F528" s="48"/>
      <c r="G528" s="10" t="str">
        <f t="shared" ca="1" si="51"/>
        <v/>
      </c>
      <c r="I528" s="10" t="str">
        <f t="shared" ca="1" si="53"/>
        <v/>
      </c>
      <c r="K528" s="4" t="e">
        <f t="shared" ca="1" si="54"/>
        <v>#N/A</v>
      </c>
      <c r="L528" s="4" t="e">
        <f>VLOOKUP(C528,_resources!B:D,3,0)</f>
        <v>#N/A</v>
      </c>
      <c r="M528" s="4" t="e" cm="1">
        <f t="array" aca="1" ref="M528" ca="1">IF(abbrAtEnd,"",L528&amp;"-")&amp;E528&amp;"-"&amp;INDIRECT(OFFSET(element3,MATCH($C528,resources,0)-1,0))&amp;"-"&amp;INDIRECT(OFFSET(element4,MATCH($C528,resources,0)-1,0))&amp;"-"&amp;INDIRECT(OFFSET(element5,MATCH($C528,resources,0)-1,0))&amp;IF(OFFSET(element6,MATCH($C528,resources,0)-1,0)="","","-"&amp;INDIRECT(OFFSET(element6,MATCH($C528,resources,0)-1,0)))&amp;IF(abbrAtEnd,"-"&amp;L528,"")</f>
        <v>#N/A</v>
      </c>
      <c r="N528" s="4" t="str">
        <f t="shared" si="57"/>
        <v>-000</v>
      </c>
      <c r="O528" s="4">
        <f ca="1">IF(totalElements+COUNTIF(Entities!$C$10,"*")+COUNTIF(B528:C528,"*")+COUNTIF(E528:F528,"*")=9,1,0)</f>
        <v>0</v>
      </c>
      <c r="P528" s="4">
        <f>COUNTIF($C$6:C528,C528)</f>
        <v>0</v>
      </c>
      <c r="Q528" s="4">
        <f ca="1">IF(ISNA(M528),0,COUNTIF($M$6:M528,M528))</f>
        <v>0</v>
      </c>
      <c r="R528" s="4" t="e">
        <f t="shared" ca="1" si="56"/>
        <v>#N/A</v>
      </c>
      <c r="S528" s="4">
        <f ca="1">IF(ISNA(M528),0,COUNTIF($R$6:R528,R528))</f>
        <v>0</v>
      </c>
      <c r="T528" s="4" t="e">
        <f t="shared" ca="1" si="55"/>
        <v>#N/A</v>
      </c>
    </row>
    <row r="529" spans="2:20" x14ac:dyDescent="0.3">
      <c r="B529" s="48"/>
      <c r="C529" s="48"/>
      <c r="D529" s="10" t="str">
        <f t="shared" ca="1" si="52"/>
        <v/>
      </c>
      <c r="E529" s="48"/>
      <c r="F529" s="48"/>
      <c r="G529" s="10" t="str">
        <f t="shared" ca="1" si="51"/>
        <v/>
      </c>
      <c r="I529" s="10" t="str">
        <f t="shared" ca="1" si="53"/>
        <v/>
      </c>
      <c r="K529" s="4" t="e">
        <f t="shared" ca="1" si="54"/>
        <v>#N/A</v>
      </c>
      <c r="L529" s="4" t="e">
        <f>VLOOKUP(C529,_resources!B:D,3,0)</f>
        <v>#N/A</v>
      </c>
      <c r="M529" s="4" t="e" cm="1">
        <f t="array" aca="1" ref="M529" ca="1">IF(abbrAtEnd,"",L529&amp;"-")&amp;E529&amp;"-"&amp;INDIRECT(OFFSET(element3,MATCH($C529,resources,0)-1,0))&amp;"-"&amp;INDIRECT(OFFSET(element4,MATCH($C529,resources,0)-1,0))&amp;"-"&amp;INDIRECT(OFFSET(element5,MATCH($C529,resources,0)-1,0))&amp;IF(OFFSET(element6,MATCH($C529,resources,0)-1,0)="","","-"&amp;INDIRECT(OFFSET(element6,MATCH($C529,resources,0)-1,0)))&amp;IF(abbrAtEnd,"-"&amp;L529,"")</f>
        <v>#N/A</v>
      </c>
      <c r="N529" s="4" t="str">
        <f t="shared" si="57"/>
        <v>-000</v>
      </c>
      <c r="O529" s="4">
        <f ca="1">IF(totalElements+COUNTIF(Entities!$C$10,"*")+COUNTIF(B529:C529,"*")+COUNTIF(E529:F529,"*")=9,1,0)</f>
        <v>0</v>
      </c>
      <c r="P529" s="4">
        <f>COUNTIF($C$6:C529,C529)</f>
        <v>0</v>
      </c>
      <c r="Q529" s="4">
        <f ca="1">IF(ISNA(M529),0,COUNTIF($M$6:M529,M529))</f>
        <v>0</v>
      </c>
      <c r="R529" s="4" t="e">
        <f t="shared" ca="1" si="56"/>
        <v>#N/A</v>
      </c>
      <c r="S529" s="4">
        <f ca="1">IF(ISNA(M529),0,COUNTIF($R$6:R529,R529))</f>
        <v>0</v>
      </c>
      <c r="T529" s="4" t="e">
        <f t="shared" ca="1" si="55"/>
        <v>#N/A</v>
      </c>
    </row>
    <row r="530" spans="2:20" x14ac:dyDescent="0.3">
      <c r="B530" s="48"/>
      <c r="C530" s="48"/>
      <c r="D530" s="10" t="str">
        <f t="shared" ca="1" si="52"/>
        <v/>
      </c>
      <c r="E530" s="48"/>
      <c r="F530" s="48"/>
      <c r="G530" s="10" t="str">
        <f t="shared" ca="1" si="51"/>
        <v/>
      </c>
      <c r="I530" s="10" t="str">
        <f t="shared" ca="1" si="53"/>
        <v/>
      </c>
      <c r="K530" s="4" t="e">
        <f t="shared" ca="1" si="54"/>
        <v>#N/A</v>
      </c>
      <c r="L530" s="4" t="e">
        <f>VLOOKUP(C530,_resources!B:D,3,0)</f>
        <v>#N/A</v>
      </c>
      <c r="M530" s="4" t="e" cm="1">
        <f t="array" aca="1" ref="M530" ca="1">IF(abbrAtEnd,"",L530&amp;"-")&amp;E530&amp;"-"&amp;INDIRECT(OFFSET(element3,MATCH($C530,resources,0)-1,0))&amp;"-"&amp;INDIRECT(OFFSET(element4,MATCH($C530,resources,0)-1,0))&amp;"-"&amp;INDIRECT(OFFSET(element5,MATCH($C530,resources,0)-1,0))&amp;IF(OFFSET(element6,MATCH($C530,resources,0)-1,0)="","","-"&amp;INDIRECT(OFFSET(element6,MATCH($C530,resources,0)-1,0)))&amp;IF(abbrAtEnd,"-"&amp;L530,"")</f>
        <v>#N/A</v>
      </c>
      <c r="N530" s="4" t="str">
        <f t="shared" si="57"/>
        <v>-000</v>
      </c>
      <c r="O530" s="4">
        <f ca="1">IF(totalElements+COUNTIF(Entities!$C$10,"*")+COUNTIF(B530:C530,"*")+COUNTIF(E530:F530,"*")=9,1,0)</f>
        <v>0</v>
      </c>
      <c r="P530" s="4">
        <f>COUNTIF($C$6:C530,C530)</f>
        <v>0</v>
      </c>
      <c r="Q530" s="4">
        <f ca="1">IF(ISNA(M530),0,COUNTIF($M$6:M530,M530))</f>
        <v>0</v>
      </c>
      <c r="R530" s="4" t="e">
        <f t="shared" ca="1" si="56"/>
        <v>#N/A</v>
      </c>
      <c r="S530" s="4">
        <f ca="1">IF(ISNA(M530),0,COUNTIF($R$6:R530,R530))</f>
        <v>0</v>
      </c>
      <c r="T530" s="4" t="e">
        <f t="shared" ca="1" si="55"/>
        <v>#N/A</v>
      </c>
    </row>
    <row r="531" spans="2:20" x14ac:dyDescent="0.3">
      <c r="B531" s="48"/>
      <c r="C531" s="48"/>
      <c r="D531" s="10" t="str">
        <f t="shared" ca="1" si="52"/>
        <v/>
      </c>
      <c r="E531" s="48"/>
      <c r="F531" s="48"/>
      <c r="G531" s="10" t="str">
        <f t="shared" ref="G531:G594" ca="1" si="58">IF(O531,IF(K531="hyphenated",M531&amp;N531,IF(K531="dnsname",E531,IF(K531="alphanumeric",SUBSTITUTE(M531&amp;N531,"-",""),"unknown or missing resource structure"))),"")</f>
        <v/>
      </c>
      <c r="I531" s="10" t="str">
        <f t="shared" ca="1" si="53"/>
        <v/>
      </c>
      <c r="K531" s="4" t="e">
        <f t="shared" ca="1" si="54"/>
        <v>#N/A</v>
      </c>
      <c r="L531" s="4" t="e">
        <f>VLOOKUP(C531,_resources!B:D,3,0)</f>
        <v>#N/A</v>
      </c>
      <c r="M531" s="4" t="e" cm="1">
        <f t="array" aca="1" ref="M531" ca="1">IF(abbrAtEnd,"",L531&amp;"-")&amp;E531&amp;"-"&amp;INDIRECT(OFFSET(element3,MATCH($C531,resources,0)-1,0))&amp;"-"&amp;INDIRECT(OFFSET(element4,MATCH($C531,resources,0)-1,0))&amp;"-"&amp;INDIRECT(OFFSET(element5,MATCH($C531,resources,0)-1,0))&amp;IF(OFFSET(element6,MATCH($C531,resources,0)-1,0)="","","-"&amp;INDIRECT(OFFSET(element6,MATCH($C531,resources,0)-1,0)))&amp;IF(abbrAtEnd,"-"&amp;L531,"")</f>
        <v>#N/A</v>
      </c>
      <c r="N531" s="4" t="str">
        <f t="shared" si="57"/>
        <v>-000</v>
      </c>
      <c r="O531" s="4">
        <f ca="1">IF(totalElements+COUNTIF(Entities!$C$10,"*")+COUNTIF(B531:C531,"*")+COUNTIF(E531:F531,"*")=9,1,0)</f>
        <v>0</v>
      </c>
      <c r="P531" s="4">
        <f>COUNTIF($C$6:C531,C531)</f>
        <v>0</v>
      </c>
      <c r="Q531" s="4">
        <f ca="1">IF(ISNA(M531),0,COUNTIF($M$6:M531,M531))</f>
        <v>0</v>
      </c>
      <c r="R531" s="4" t="e">
        <f t="shared" ca="1" si="56"/>
        <v>#N/A</v>
      </c>
      <c r="S531" s="4">
        <f ca="1">IF(ISNA(M531),0,COUNTIF($R$6:R531,R531))</f>
        <v>0</v>
      </c>
      <c r="T531" s="4" t="e">
        <f t="shared" ca="1" si="55"/>
        <v>#N/A</v>
      </c>
    </row>
    <row r="532" spans="2:20" x14ac:dyDescent="0.3">
      <c r="B532" s="48"/>
      <c r="C532" s="48"/>
      <c r="D532" s="10" t="str">
        <f t="shared" ca="1" si="52"/>
        <v/>
      </c>
      <c r="E532" s="48"/>
      <c r="F532" s="48"/>
      <c r="G532" s="10" t="str">
        <f t="shared" ca="1" si="58"/>
        <v/>
      </c>
      <c r="I532" s="10" t="str">
        <f t="shared" ca="1" si="53"/>
        <v/>
      </c>
      <c r="K532" s="4" t="e">
        <f t="shared" ca="1" si="54"/>
        <v>#N/A</v>
      </c>
      <c r="L532" s="4" t="e">
        <f>VLOOKUP(C532,_resources!B:D,3,0)</f>
        <v>#N/A</v>
      </c>
      <c r="M532" s="4" t="e" cm="1">
        <f t="array" aca="1" ref="M532" ca="1">IF(abbrAtEnd,"",L532&amp;"-")&amp;E532&amp;"-"&amp;INDIRECT(OFFSET(element3,MATCH($C532,resources,0)-1,0))&amp;"-"&amp;INDIRECT(OFFSET(element4,MATCH($C532,resources,0)-1,0))&amp;"-"&amp;INDIRECT(OFFSET(element5,MATCH($C532,resources,0)-1,0))&amp;IF(OFFSET(element6,MATCH($C532,resources,0)-1,0)="","","-"&amp;INDIRECT(OFFSET(element6,MATCH($C532,resources,0)-1,0)))&amp;IF(abbrAtEnd,"-"&amp;L532,"")</f>
        <v>#N/A</v>
      </c>
      <c r="N532" s="4" t="str">
        <f t="shared" si="57"/>
        <v>-000</v>
      </c>
      <c r="O532" s="4">
        <f ca="1">IF(totalElements+COUNTIF(Entities!$C$10,"*")+COUNTIF(B532:C532,"*")+COUNTIF(E532:F532,"*")=9,1,0)</f>
        <v>0</v>
      </c>
      <c r="P532" s="4">
        <f>COUNTIF($C$6:C532,C532)</f>
        <v>0</v>
      </c>
      <c r="Q532" s="4">
        <f ca="1">IF(ISNA(M532),0,COUNTIF($M$6:M532,M532))</f>
        <v>0</v>
      </c>
      <c r="R532" s="4" t="e">
        <f t="shared" ca="1" si="56"/>
        <v>#N/A</v>
      </c>
      <c r="S532" s="4">
        <f ca="1">IF(ISNA(M532),0,COUNTIF($R$6:R532,R532))</f>
        <v>0</v>
      </c>
      <c r="T532" s="4" t="e">
        <f t="shared" ca="1" si="55"/>
        <v>#N/A</v>
      </c>
    </row>
    <row r="533" spans="2:20" x14ac:dyDescent="0.3">
      <c r="B533" s="48"/>
      <c r="C533" s="48"/>
      <c r="D533" s="10" t="str">
        <f t="shared" ca="1" si="52"/>
        <v/>
      </c>
      <c r="E533" s="48"/>
      <c r="F533" s="48"/>
      <c r="G533" s="10" t="str">
        <f t="shared" ca="1" si="58"/>
        <v/>
      </c>
      <c r="I533" s="10" t="str">
        <f t="shared" ca="1" si="53"/>
        <v/>
      </c>
      <c r="K533" s="4" t="e">
        <f t="shared" ca="1" si="54"/>
        <v>#N/A</v>
      </c>
      <c r="L533" s="4" t="e">
        <f>VLOOKUP(C533,_resources!B:D,3,0)</f>
        <v>#N/A</v>
      </c>
      <c r="M533" s="4" t="e" cm="1">
        <f t="array" aca="1" ref="M533" ca="1">IF(abbrAtEnd,"",L533&amp;"-")&amp;E533&amp;"-"&amp;INDIRECT(OFFSET(element3,MATCH($C533,resources,0)-1,0))&amp;"-"&amp;INDIRECT(OFFSET(element4,MATCH($C533,resources,0)-1,0))&amp;"-"&amp;INDIRECT(OFFSET(element5,MATCH($C533,resources,0)-1,0))&amp;IF(OFFSET(element6,MATCH($C533,resources,0)-1,0)="","","-"&amp;INDIRECT(OFFSET(element6,MATCH($C533,resources,0)-1,0)))&amp;IF(abbrAtEnd,"-"&amp;L533,"")</f>
        <v>#N/A</v>
      </c>
      <c r="N533" s="4" t="str">
        <f t="shared" si="57"/>
        <v>-000</v>
      </c>
      <c r="O533" s="4">
        <f ca="1">IF(totalElements+COUNTIF(Entities!$C$10,"*")+COUNTIF(B533:C533,"*")+COUNTIF(E533:F533,"*")=9,1,0)</f>
        <v>0</v>
      </c>
      <c r="P533" s="4">
        <f>COUNTIF($C$6:C533,C533)</f>
        <v>0</v>
      </c>
      <c r="Q533" s="4">
        <f ca="1">IF(ISNA(M533),0,COUNTIF($M$6:M533,M533))</f>
        <v>0</v>
      </c>
      <c r="R533" s="4" t="e">
        <f t="shared" ca="1" si="56"/>
        <v>#N/A</v>
      </c>
      <c r="S533" s="4">
        <f ca="1">IF(ISNA(M533),0,COUNTIF($R$6:R533,R533))</f>
        <v>0</v>
      </c>
      <c r="T533" s="4" t="e">
        <f t="shared" ca="1" si="55"/>
        <v>#N/A</v>
      </c>
    </row>
    <row r="534" spans="2:20" x14ac:dyDescent="0.3">
      <c r="B534" s="48"/>
      <c r="C534" s="48"/>
      <c r="D534" s="10" t="str">
        <f t="shared" ca="1" si="52"/>
        <v/>
      </c>
      <c r="E534" s="48"/>
      <c r="F534" s="48"/>
      <c r="G534" s="10" t="str">
        <f t="shared" ca="1" si="58"/>
        <v/>
      </c>
      <c r="I534" s="10" t="str">
        <f t="shared" ca="1" si="53"/>
        <v/>
      </c>
      <c r="K534" s="4" t="e">
        <f t="shared" ca="1" si="54"/>
        <v>#N/A</v>
      </c>
      <c r="L534" s="4" t="e">
        <f>VLOOKUP(C534,_resources!B:D,3,0)</f>
        <v>#N/A</v>
      </c>
      <c r="M534" s="4" t="e" cm="1">
        <f t="array" aca="1" ref="M534" ca="1">IF(abbrAtEnd,"",L534&amp;"-")&amp;E534&amp;"-"&amp;INDIRECT(OFFSET(element3,MATCH($C534,resources,0)-1,0))&amp;"-"&amp;INDIRECT(OFFSET(element4,MATCH($C534,resources,0)-1,0))&amp;"-"&amp;INDIRECT(OFFSET(element5,MATCH($C534,resources,0)-1,0))&amp;IF(OFFSET(element6,MATCH($C534,resources,0)-1,0)="","","-"&amp;INDIRECT(OFFSET(element6,MATCH($C534,resources,0)-1,0)))&amp;IF(abbrAtEnd,"-"&amp;L534,"")</f>
        <v>#N/A</v>
      </c>
      <c r="N534" s="4" t="str">
        <f t="shared" si="57"/>
        <v>-000</v>
      </c>
      <c r="O534" s="4">
        <f ca="1">IF(totalElements+COUNTIF(Entities!$C$10,"*")+COUNTIF(B534:C534,"*")+COUNTIF(E534:F534,"*")=9,1,0)</f>
        <v>0</v>
      </c>
      <c r="P534" s="4">
        <f>COUNTIF($C$6:C534,C534)</f>
        <v>0</v>
      </c>
      <c r="Q534" s="4">
        <f ca="1">IF(ISNA(M534),0,COUNTIF($M$6:M534,M534))</f>
        <v>0</v>
      </c>
      <c r="R534" s="4" t="e">
        <f t="shared" ca="1" si="56"/>
        <v>#N/A</v>
      </c>
      <c r="S534" s="4">
        <f ca="1">IF(ISNA(M534),0,COUNTIF($R$6:R534,R534))</f>
        <v>0</v>
      </c>
      <c r="T534" s="4" t="e">
        <f t="shared" ca="1" si="55"/>
        <v>#N/A</v>
      </c>
    </row>
    <row r="535" spans="2:20" x14ac:dyDescent="0.3">
      <c r="B535" s="48"/>
      <c r="C535" s="48"/>
      <c r="D535" s="10" t="str">
        <f t="shared" ca="1" si="52"/>
        <v/>
      </c>
      <c r="E535" s="48"/>
      <c r="F535" s="48"/>
      <c r="G535" s="10" t="str">
        <f t="shared" ca="1" si="58"/>
        <v/>
      </c>
      <c r="I535" s="10" t="str">
        <f t="shared" ca="1" si="53"/>
        <v/>
      </c>
      <c r="K535" s="4" t="e">
        <f t="shared" ca="1" si="54"/>
        <v>#N/A</v>
      </c>
      <c r="L535" s="4" t="e">
        <f>VLOOKUP(C535,_resources!B:D,3,0)</f>
        <v>#N/A</v>
      </c>
      <c r="M535" s="4" t="e" cm="1">
        <f t="array" aca="1" ref="M535" ca="1">IF(abbrAtEnd,"",L535&amp;"-")&amp;E535&amp;"-"&amp;INDIRECT(OFFSET(element3,MATCH($C535,resources,0)-1,0))&amp;"-"&amp;INDIRECT(OFFSET(element4,MATCH($C535,resources,0)-1,0))&amp;"-"&amp;INDIRECT(OFFSET(element5,MATCH($C535,resources,0)-1,0))&amp;IF(OFFSET(element6,MATCH($C535,resources,0)-1,0)="","","-"&amp;INDIRECT(OFFSET(element6,MATCH($C535,resources,0)-1,0)))&amp;IF(abbrAtEnd,"-"&amp;L535,"")</f>
        <v>#N/A</v>
      </c>
      <c r="N535" s="4" t="str">
        <f t="shared" si="57"/>
        <v>-000</v>
      </c>
      <c r="O535" s="4">
        <f ca="1">IF(totalElements+COUNTIF(Entities!$C$10,"*")+COUNTIF(B535:C535,"*")+COUNTIF(E535:F535,"*")=9,1,0)</f>
        <v>0</v>
      </c>
      <c r="P535" s="4">
        <f>COUNTIF($C$6:C535,C535)</f>
        <v>0</v>
      </c>
      <c r="Q535" s="4">
        <f ca="1">IF(ISNA(M535),0,COUNTIF($M$6:M535,M535))</f>
        <v>0</v>
      </c>
      <c r="R535" s="4" t="e">
        <f t="shared" ca="1" si="56"/>
        <v>#N/A</v>
      </c>
      <c r="S535" s="4">
        <f ca="1">IF(ISNA(M535),0,COUNTIF($R$6:R535,R535))</f>
        <v>0</v>
      </c>
      <c r="T535" s="4" t="e">
        <f t="shared" ca="1" si="55"/>
        <v>#N/A</v>
      </c>
    </row>
    <row r="536" spans="2:20" x14ac:dyDescent="0.3">
      <c r="B536" s="48"/>
      <c r="C536" s="48"/>
      <c r="D536" s="10" t="str">
        <f t="shared" ca="1" si="52"/>
        <v/>
      </c>
      <c r="E536" s="48"/>
      <c r="F536" s="48"/>
      <c r="G536" s="10" t="str">
        <f t="shared" ca="1" si="58"/>
        <v/>
      </c>
      <c r="I536" s="10" t="str">
        <f t="shared" ca="1" si="53"/>
        <v/>
      </c>
      <c r="K536" s="4" t="e">
        <f t="shared" ca="1" si="54"/>
        <v>#N/A</v>
      </c>
      <c r="L536" s="4" t="e">
        <f>VLOOKUP(C536,_resources!B:D,3,0)</f>
        <v>#N/A</v>
      </c>
      <c r="M536" s="4" t="e" cm="1">
        <f t="array" aca="1" ref="M536" ca="1">IF(abbrAtEnd,"",L536&amp;"-")&amp;E536&amp;"-"&amp;INDIRECT(OFFSET(element3,MATCH($C536,resources,0)-1,0))&amp;"-"&amp;INDIRECT(OFFSET(element4,MATCH($C536,resources,0)-1,0))&amp;"-"&amp;INDIRECT(OFFSET(element5,MATCH($C536,resources,0)-1,0))&amp;IF(OFFSET(element6,MATCH($C536,resources,0)-1,0)="","","-"&amp;INDIRECT(OFFSET(element6,MATCH($C536,resources,0)-1,0)))&amp;IF(abbrAtEnd,"-"&amp;L536,"")</f>
        <v>#N/A</v>
      </c>
      <c r="N536" s="4" t="str">
        <f t="shared" si="57"/>
        <v>-000</v>
      </c>
      <c r="O536" s="4">
        <f ca="1">IF(totalElements+COUNTIF(Entities!$C$10,"*")+COUNTIF(B536:C536,"*")+COUNTIF(E536:F536,"*")=9,1,0)</f>
        <v>0</v>
      </c>
      <c r="P536" s="4">
        <f>COUNTIF($C$6:C536,C536)</f>
        <v>0</v>
      </c>
      <c r="Q536" s="4">
        <f ca="1">IF(ISNA(M536),0,COUNTIF($M$6:M536,M536))</f>
        <v>0</v>
      </c>
      <c r="R536" s="4" t="e">
        <f t="shared" ca="1" si="56"/>
        <v>#N/A</v>
      </c>
      <c r="S536" s="4">
        <f ca="1">IF(ISNA(M536),0,COUNTIF($R$6:R536,R536))</f>
        <v>0</v>
      </c>
      <c r="T536" s="4" t="e">
        <f t="shared" ca="1" si="55"/>
        <v>#N/A</v>
      </c>
    </row>
    <row r="537" spans="2:20" x14ac:dyDescent="0.3">
      <c r="B537" s="48"/>
      <c r="C537" s="48"/>
      <c r="D537" s="10" t="str">
        <f t="shared" ca="1" si="52"/>
        <v/>
      </c>
      <c r="E537" s="48"/>
      <c r="F537" s="48"/>
      <c r="G537" s="10" t="str">
        <f t="shared" ca="1" si="58"/>
        <v/>
      </c>
      <c r="I537" s="10" t="str">
        <f t="shared" ca="1" si="53"/>
        <v/>
      </c>
      <c r="K537" s="4" t="e">
        <f t="shared" ca="1" si="54"/>
        <v>#N/A</v>
      </c>
      <c r="L537" s="4" t="e">
        <f>VLOOKUP(C537,_resources!B:D,3,0)</f>
        <v>#N/A</v>
      </c>
      <c r="M537" s="4" t="e" cm="1">
        <f t="array" aca="1" ref="M537" ca="1">IF(abbrAtEnd,"",L537&amp;"-")&amp;E537&amp;"-"&amp;INDIRECT(OFFSET(element3,MATCH($C537,resources,0)-1,0))&amp;"-"&amp;INDIRECT(OFFSET(element4,MATCH($C537,resources,0)-1,0))&amp;"-"&amp;INDIRECT(OFFSET(element5,MATCH($C537,resources,0)-1,0))&amp;IF(OFFSET(element6,MATCH($C537,resources,0)-1,0)="","","-"&amp;INDIRECT(OFFSET(element6,MATCH($C537,resources,0)-1,0)))&amp;IF(abbrAtEnd,"-"&amp;L537,"")</f>
        <v>#N/A</v>
      </c>
      <c r="N537" s="4" t="str">
        <f t="shared" si="57"/>
        <v>-000</v>
      </c>
      <c r="O537" s="4">
        <f ca="1">IF(totalElements+COUNTIF(Entities!$C$10,"*")+COUNTIF(B537:C537,"*")+COUNTIF(E537:F537,"*")=9,1,0)</f>
        <v>0</v>
      </c>
      <c r="P537" s="4">
        <f>COUNTIF($C$6:C537,C537)</f>
        <v>0</v>
      </c>
      <c r="Q537" s="4">
        <f ca="1">IF(ISNA(M537),0,COUNTIF($M$6:M537,M537))</f>
        <v>0</v>
      </c>
      <c r="R537" s="4" t="e">
        <f t="shared" ca="1" si="56"/>
        <v>#N/A</v>
      </c>
      <c r="S537" s="4">
        <f ca="1">IF(ISNA(M537),0,COUNTIF($R$6:R537,R537))</f>
        <v>0</v>
      </c>
      <c r="T537" s="4" t="e">
        <f t="shared" ca="1" si="55"/>
        <v>#N/A</v>
      </c>
    </row>
    <row r="538" spans="2:20" x14ac:dyDescent="0.3">
      <c r="B538" s="48"/>
      <c r="C538" s="48"/>
      <c r="D538" s="10" t="str">
        <f t="shared" ca="1" si="52"/>
        <v/>
      </c>
      <c r="E538" s="48"/>
      <c r="F538" s="48"/>
      <c r="G538" s="10" t="str">
        <f t="shared" ca="1" si="58"/>
        <v/>
      </c>
      <c r="I538" s="10" t="str">
        <f t="shared" ca="1" si="53"/>
        <v/>
      </c>
      <c r="K538" s="4" t="e">
        <f t="shared" ca="1" si="54"/>
        <v>#N/A</v>
      </c>
      <c r="L538" s="4" t="e">
        <f>VLOOKUP(C538,_resources!B:D,3,0)</f>
        <v>#N/A</v>
      </c>
      <c r="M538" s="4" t="e" cm="1">
        <f t="array" aca="1" ref="M538" ca="1">IF(abbrAtEnd,"",L538&amp;"-")&amp;E538&amp;"-"&amp;INDIRECT(OFFSET(element3,MATCH($C538,resources,0)-1,0))&amp;"-"&amp;INDIRECT(OFFSET(element4,MATCH($C538,resources,0)-1,0))&amp;"-"&amp;INDIRECT(OFFSET(element5,MATCH($C538,resources,0)-1,0))&amp;IF(OFFSET(element6,MATCH($C538,resources,0)-1,0)="","","-"&amp;INDIRECT(OFFSET(element6,MATCH($C538,resources,0)-1,0)))&amp;IF(abbrAtEnd,"-"&amp;L538,"")</f>
        <v>#N/A</v>
      </c>
      <c r="N538" s="4" t="str">
        <f t="shared" si="57"/>
        <v>-000</v>
      </c>
      <c r="O538" s="4">
        <f ca="1">IF(totalElements+COUNTIF(Entities!$C$10,"*")+COUNTIF(B538:C538,"*")+COUNTIF(E538:F538,"*")=9,1,0)</f>
        <v>0</v>
      </c>
      <c r="P538" s="4">
        <f>COUNTIF($C$6:C538,C538)</f>
        <v>0</v>
      </c>
      <c r="Q538" s="4">
        <f ca="1">IF(ISNA(M538),0,COUNTIF($M$6:M538,M538))</f>
        <v>0</v>
      </c>
      <c r="R538" s="4" t="e">
        <f t="shared" ca="1" si="56"/>
        <v>#N/A</v>
      </c>
      <c r="S538" s="4">
        <f ca="1">IF(ISNA(M538),0,COUNTIF($R$6:R538,R538))</f>
        <v>0</v>
      </c>
      <c r="T538" s="4" t="e">
        <f t="shared" ca="1" si="55"/>
        <v>#N/A</v>
      </c>
    </row>
    <row r="539" spans="2:20" x14ac:dyDescent="0.3">
      <c r="B539" s="48"/>
      <c r="C539" s="48"/>
      <c r="D539" s="10" t="str">
        <f t="shared" ca="1" si="52"/>
        <v/>
      </c>
      <c r="E539" s="48"/>
      <c r="F539" s="48"/>
      <c r="G539" s="10" t="str">
        <f t="shared" ca="1" si="58"/>
        <v/>
      </c>
      <c r="I539" s="10" t="str">
        <f t="shared" ca="1" si="53"/>
        <v/>
      </c>
      <c r="K539" s="4" t="e">
        <f t="shared" ca="1" si="54"/>
        <v>#N/A</v>
      </c>
      <c r="L539" s="4" t="e">
        <f>VLOOKUP(C539,_resources!B:D,3,0)</f>
        <v>#N/A</v>
      </c>
      <c r="M539" s="4" t="e" cm="1">
        <f t="array" aca="1" ref="M539" ca="1">IF(abbrAtEnd,"",L539&amp;"-")&amp;E539&amp;"-"&amp;INDIRECT(OFFSET(element3,MATCH($C539,resources,0)-1,0))&amp;"-"&amp;INDIRECT(OFFSET(element4,MATCH($C539,resources,0)-1,0))&amp;"-"&amp;INDIRECT(OFFSET(element5,MATCH($C539,resources,0)-1,0))&amp;IF(OFFSET(element6,MATCH($C539,resources,0)-1,0)="","","-"&amp;INDIRECT(OFFSET(element6,MATCH($C539,resources,0)-1,0)))&amp;IF(abbrAtEnd,"-"&amp;L539,"")</f>
        <v>#N/A</v>
      </c>
      <c r="N539" s="4" t="str">
        <f t="shared" si="57"/>
        <v>-000</v>
      </c>
      <c r="O539" s="4">
        <f ca="1">IF(totalElements+COUNTIF(Entities!$C$10,"*")+COUNTIF(B539:C539,"*")+COUNTIF(E539:F539,"*")=9,1,0)</f>
        <v>0</v>
      </c>
      <c r="P539" s="4">
        <f>COUNTIF($C$6:C539,C539)</f>
        <v>0</v>
      </c>
      <c r="Q539" s="4">
        <f ca="1">IF(ISNA(M539),0,COUNTIF($M$6:M539,M539))</f>
        <v>0</v>
      </c>
      <c r="R539" s="4" t="e">
        <f t="shared" ca="1" si="56"/>
        <v>#N/A</v>
      </c>
      <c r="S539" s="4">
        <f ca="1">IF(ISNA(M539),0,COUNTIF($R$6:R539,R539))</f>
        <v>0</v>
      </c>
      <c r="T539" s="4" t="e">
        <f t="shared" ca="1" si="55"/>
        <v>#N/A</v>
      </c>
    </row>
    <row r="540" spans="2:20" x14ac:dyDescent="0.3">
      <c r="B540" s="48"/>
      <c r="C540" s="48"/>
      <c r="D540" s="10" t="str">
        <f t="shared" ca="1" si="52"/>
        <v/>
      </c>
      <c r="E540" s="48"/>
      <c r="F540" s="48"/>
      <c r="G540" s="10" t="str">
        <f t="shared" ca="1" si="58"/>
        <v/>
      </c>
      <c r="I540" s="10" t="str">
        <f t="shared" ca="1" si="53"/>
        <v/>
      </c>
      <c r="K540" s="4" t="e">
        <f t="shared" ca="1" si="54"/>
        <v>#N/A</v>
      </c>
      <c r="L540" s="4" t="e">
        <f>VLOOKUP(C540,_resources!B:D,3,0)</f>
        <v>#N/A</v>
      </c>
      <c r="M540" s="4" t="e" cm="1">
        <f t="array" aca="1" ref="M540" ca="1">IF(abbrAtEnd,"",L540&amp;"-")&amp;E540&amp;"-"&amp;INDIRECT(OFFSET(element3,MATCH($C540,resources,0)-1,0))&amp;"-"&amp;INDIRECT(OFFSET(element4,MATCH($C540,resources,0)-1,0))&amp;"-"&amp;INDIRECT(OFFSET(element5,MATCH($C540,resources,0)-1,0))&amp;IF(OFFSET(element6,MATCH($C540,resources,0)-1,0)="","","-"&amp;INDIRECT(OFFSET(element6,MATCH($C540,resources,0)-1,0)))&amp;IF(abbrAtEnd,"-"&amp;L540,"")</f>
        <v>#N/A</v>
      </c>
      <c r="N540" s="4" t="str">
        <f t="shared" si="57"/>
        <v>-000</v>
      </c>
      <c r="O540" s="4">
        <f ca="1">IF(totalElements+COUNTIF(Entities!$C$10,"*")+COUNTIF(B540:C540,"*")+COUNTIF(E540:F540,"*")=9,1,0)</f>
        <v>0</v>
      </c>
      <c r="P540" s="4">
        <f>COUNTIF($C$6:C540,C540)</f>
        <v>0</v>
      </c>
      <c r="Q540" s="4">
        <f ca="1">IF(ISNA(M540),0,COUNTIF($M$6:M540,M540))</f>
        <v>0</v>
      </c>
      <c r="R540" s="4" t="e">
        <f t="shared" ca="1" si="56"/>
        <v>#N/A</v>
      </c>
      <c r="S540" s="4">
        <f ca="1">IF(ISNA(M540),0,COUNTIF($R$6:R540,R540))</f>
        <v>0</v>
      </c>
      <c r="T540" s="4" t="e">
        <f t="shared" ca="1" si="55"/>
        <v>#N/A</v>
      </c>
    </row>
    <row r="541" spans="2:20" x14ac:dyDescent="0.3">
      <c r="B541" s="48"/>
      <c r="C541" s="48"/>
      <c r="D541" s="10" t="str">
        <f t="shared" ca="1" si="52"/>
        <v/>
      </c>
      <c r="E541" s="48"/>
      <c r="F541" s="48"/>
      <c r="G541" s="10" t="str">
        <f t="shared" ca="1" si="58"/>
        <v/>
      </c>
      <c r="I541" s="10" t="str">
        <f t="shared" ca="1" si="53"/>
        <v/>
      </c>
      <c r="K541" s="4" t="e">
        <f t="shared" ca="1" si="54"/>
        <v>#N/A</v>
      </c>
      <c r="L541" s="4" t="e">
        <f>VLOOKUP(C541,_resources!B:D,3,0)</f>
        <v>#N/A</v>
      </c>
      <c r="M541" s="4" t="e" cm="1">
        <f t="array" aca="1" ref="M541" ca="1">IF(abbrAtEnd,"",L541&amp;"-")&amp;E541&amp;"-"&amp;INDIRECT(OFFSET(element3,MATCH($C541,resources,0)-1,0))&amp;"-"&amp;INDIRECT(OFFSET(element4,MATCH($C541,resources,0)-1,0))&amp;"-"&amp;INDIRECT(OFFSET(element5,MATCH($C541,resources,0)-1,0))&amp;IF(OFFSET(element6,MATCH($C541,resources,0)-1,0)="","","-"&amp;INDIRECT(OFFSET(element6,MATCH($C541,resources,0)-1,0)))&amp;IF(abbrAtEnd,"-"&amp;L541,"")</f>
        <v>#N/A</v>
      </c>
      <c r="N541" s="4" t="str">
        <f t="shared" si="57"/>
        <v>-000</v>
      </c>
      <c r="O541" s="4">
        <f ca="1">IF(totalElements+COUNTIF(Entities!$C$10,"*")+COUNTIF(B541:C541,"*")+COUNTIF(E541:F541,"*")=9,1,0)</f>
        <v>0</v>
      </c>
      <c r="P541" s="4">
        <f>COUNTIF($C$6:C541,C541)</f>
        <v>0</v>
      </c>
      <c r="Q541" s="4">
        <f ca="1">IF(ISNA(M541),0,COUNTIF($M$6:M541,M541))</f>
        <v>0</v>
      </c>
      <c r="R541" s="4" t="e">
        <f t="shared" ca="1" si="56"/>
        <v>#N/A</v>
      </c>
      <c r="S541" s="4">
        <f ca="1">IF(ISNA(M541),0,COUNTIF($R$6:R541,R541))</f>
        <v>0</v>
      </c>
      <c r="T541" s="4" t="e">
        <f t="shared" ca="1" si="55"/>
        <v>#N/A</v>
      </c>
    </row>
    <row r="542" spans="2:20" x14ac:dyDescent="0.3">
      <c r="B542" s="48"/>
      <c r="C542" s="48"/>
      <c r="D542" s="10" t="str">
        <f t="shared" ca="1" si="52"/>
        <v/>
      </c>
      <c r="E542" s="48"/>
      <c r="F542" s="48"/>
      <c r="G542" s="10" t="str">
        <f t="shared" ca="1" si="58"/>
        <v/>
      </c>
      <c r="I542" s="10" t="str">
        <f t="shared" ca="1" si="53"/>
        <v/>
      </c>
      <c r="K542" s="4" t="e">
        <f t="shared" ca="1" si="54"/>
        <v>#N/A</v>
      </c>
      <c r="L542" s="4" t="e">
        <f>VLOOKUP(C542,_resources!B:D,3,0)</f>
        <v>#N/A</v>
      </c>
      <c r="M542" s="4" t="e" cm="1">
        <f t="array" aca="1" ref="M542" ca="1">IF(abbrAtEnd,"",L542&amp;"-")&amp;E542&amp;"-"&amp;INDIRECT(OFFSET(element3,MATCH($C542,resources,0)-1,0))&amp;"-"&amp;INDIRECT(OFFSET(element4,MATCH($C542,resources,0)-1,0))&amp;"-"&amp;INDIRECT(OFFSET(element5,MATCH($C542,resources,0)-1,0))&amp;IF(OFFSET(element6,MATCH($C542,resources,0)-1,0)="","","-"&amp;INDIRECT(OFFSET(element6,MATCH($C542,resources,0)-1,0)))&amp;IF(abbrAtEnd,"-"&amp;L542,"")</f>
        <v>#N/A</v>
      </c>
      <c r="N542" s="4" t="str">
        <f t="shared" si="57"/>
        <v>-000</v>
      </c>
      <c r="O542" s="4">
        <f ca="1">IF(totalElements+COUNTIF(Entities!$C$10,"*")+COUNTIF(B542:C542,"*")+COUNTIF(E542:F542,"*")=9,1,0)</f>
        <v>0</v>
      </c>
      <c r="P542" s="4">
        <f>COUNTIF($C$6:C542,C542)</f>
        <v>0</v>
      </c>
      <c r="Q542" s="4">
        <f ca="1">IF(ISNA(M542),0,COUNTIF($M$6:M542,M542))</f>
        <v>0</v>
      </c>
      <c r="R542" s="4" t="e">
        <f t="shared" ca="1" si="56"/>
        <v>#N/A</v>
      </c>
      <c r="S542" s="4">
        <f ca="1">IF(ISNA(M542),0,COUNTIF($R$6:R542,R542))</f>
        <v>0</v>
      </c>
      <c r="T542" s="4" t="e">
        <f t="shared" ca="1" si="55"/>
        <v>#N/A</v>
      </c>
    </row>
    <row r="543" spans="2:20" x14ac:dyDescent="0.3">
      <c r="B543" s="48"/>
      <c r="C543" s="48"/>
      <c r="D543" s="10" t="str">
        <f t="shared" ca="1" si="52"/>
        <v/>
      </c>
      <c r="E543" s="48"/>
      <c r="F543" s="48"/>
      <c r="G543" s="10" t="str">
        <f t="shared" ca="1" si="58"/>
        <v/>
      </c>
      <c r="I543" s="10" t="str">
        <f t="shared" ca="1" si="53"/>
        <v/>
      </c>
      <c r="K543" s="4" t="e">
        <f t="shared" ca="1" si="54"/>
        <v>#N/A</v>
      </c>
      <c r="L543" s="4" t="e">
        <f>VLOOKUP(C543,_resources!B:D,3,0)</f>
        <v>#N/A</v>
      </c>
      <c r="M543" s="4" t="e" cm="1">
        <f t="array" aca="1" ref="M543" ca="1">IF(abbrAtEnd,"",L543&amp;"-")&amp;E543&amp;"-"&amp;INDIRECT(OFFSET(element3,MATCH($C543,resources,0)-1,0))&amp;"-"&amp;INDIRECT(OFFSET(element4,MATCH($C543,resources,0)-1,0))&amp;"-"&amp;INDIRECT(OFFSET(element5,MATCH($C543,resources,0)-1,0))&amp;IF(OFFSET(element6,MATCH($C543,resources,0)-1,0)="","","-"&amp;INDIRECT(OFFSET(element6,MATCH($C543,resources,0)-1,0)))&amp;IF(abbrAtEnd,"-"&amp;L543,"")</f>
        <v>#N/A</v>
      </c>
      <c r="N543" s="4" t="str">
        <f t="shared" si="57"/>
        <v>-000</v>
      </c>
      <c r="O543" s="4">
        <f ca="1">IF(totalElements+COUNTIF(Entities!$C$10,"*")+COUNTIF(B543:C543,"*")+COUNTIF(E543:F543,"*")=9,1,0)</f>
        <v>0</v>
      </c>
      <c r="P543" s="4">
        <f>COUNTIF($C$6:C543,C543)</f>
        <v>0</v>
      </c>
      <c r="Q543" s="4">
        <f ca="1">IF(ISNA(M543),0,COUNTIF($M$6:M543,M543))</f>
        <v>0</v>
      </c>
      <c r="R543" s="4" t="e">
        <f t="shared" ca="1" si="56"/>
        <v>#N/A</v>
      </c>
      <c r="S543" s="4">
        <f ca="1">IF(ISNA(M543),0,COUNTIF($R$6:R543,R543))</f>
        <v>0</v>
      </c>
      <c r="T543" s="4" t="e">
        <f t="shared" ca="1" si="55"/>
        <v>#N/A</v>
      </c>
    </row>
    <row r="544" spans="2:20" x14ac:dyDescent="0.3">
      <c r="B544" s="48"/>
      <c r="C544" s="48"/>
      <c r="D544" s="10" t="str">
        <f t="shared" ca="1" si="52"/>
        <v/>
      </c>
      <c r="E544" s="48"/>
      <c r="F544" s="48"/>
      <c r="G544" s="10" t="str">
        <f t="shared" ca="1" si="58"/>
        <v/>
      </c>
      <c r="I544" s="10" t="str">
        <f t="shared" ca="1" si="53"/>
        <v/>
      </c>
      <c r="K544" s="4" t="e">
        <f t="shared" ca="1" si="54"/>
        <v>#N/A</v>
      </c>
      <c r="L544" s="4" t="e">
        <f>VLOOKUP(C544,_resources!B:D,3,0)</f>
        <v>#N/A</v>
      </c>
      <c r="M544" s="4" t="e" cm="1">
        <f t="array" aca="1" ref="M544" ca="1">IF(abbrAtEnd,"",L544&amp;"-")&amp;E544&amp;"-"&amp;INDIRECT(OFFSET(element3,MATCH($C544,resources,0)-1,0))&amp;"-"&amp;INDIRECT(OFFSET(element4,MATCH($C544,resources,0)-1,0))&amp;"-"&amp;INDIRECT(OFFSET(element5,MATCH($C544,resources,0)-1,0))&amp;IF(OFFSET(element6,MATCH($C544,resources,0)-1,0)="","","-"&amp;INDIRECT(OFFSET(element6,MATCH($C544,resources,0)-1,0)))&amp;IF(abbrAtEnd,"-"&amp;L544,"")</f>
        <v>#N/A</v>
      </c>
      <c r="N544" s="4" t="str">
        <f t="shared" si="57"/>
        <v>-000</v>
      </c>
      <c r="O544" s="4">
        <f ca="1">IF(totalElements+COUNTIF(Entities!$C$10,"*")+COUNTIF(B544:C544,"*")+COUNTIF(E544:F544,"*")=9,1,0)</f>
        <v>0</v>
      </c>
      <c r="P544" s="4">
        <f>COUNTIF($C$6:C544,C544)</f>
        <v>0</v>
      </c>
      <c r="Q544" s="4">
        <f ca="1">IF(ISNA(M544),0,COUNTIF($M$6:M544,M544))</f>
        <v>0</v>
      </c>
      <c r="R544" s="4" t="e">
        <f t="shared" ca="1" si="56"/>
        <v>#N/A</v>
      </c>
      <c r="S544" s="4">
        <f ca="1">IF(ISNA(M544),0,COUNTIF($R$6:R544,R544))</f>
        <v>0</v>
      </c>
      <c r="T544" s="4" t="e">
        <f t="shared" ca="1" si="55"/>
        <v>#N/A</v>
      </c>
    </row>
    <row r="545" spans="2:20" x14ac:dyDescent="0.3">
      <c r="B545" s="48"/>
      <c r="C545" s="48"/>
      <c r="D545" s="10" t="str">
        <f t="shared" ca="1" si="52"/>
        <v/>
      </c>
      <c r="E545" s="48"/>
      <c r="F545" s="48"/>
      <c r="G545" s="10" t="str">
        <f t="shared" ca="1" si="58"/>
        <v/>
      </c>
      <c r="I545" s="10" t="str">
        <f t="shared" ca="1" si="53"/>
        <v/>
      </c>
      <c r="K545" s="4" t="e">
        <f t="shared" ca="1" si="54"/>
        <v>#N/A</v>
      </c>
      <c r="L545" s="4" t="e">
        <f>VLOOKUP(C545,_resources!B:D,3,0)</f>
        <v>#N/A</v>
      </c>
      <c r="M545" s="4" t="e" cm="1">
        <f t="array" aca="1" ref="M545" ca="1">IF(abbrAtEnd,"",L545&amp;"-")&amp;E545&amp;"-"&amp;INDIRECT(OFFSET(element3,MATCH($C545,resources,0)-1,0))&amp;"-"&amp;INDIRECT(OFFSET(element4,MATCH($C545,resources,0)-1,0))&amp;"-"&amp;INDIRECT(OFFSET(element5,MATCH($C545,resources,0)-1,0))&amp;IF(OFFSET(element6,MATCH($C545,resources,0)-1,0)="","","-"&amp;INDIRECT(OFFSET(element6,MATCH($C545,resources,0)-1,0)))&amp;IF(abbrAtEnd,"-"&amp;L545,"")</f>
        <v>#N/A</v>
      </c>
      <c r="N545" s="4" t="str">
        <f t="shared" si="57"/>
        <v>-000</v>
      </c>
      <c r="O545" s="4">
        <f ca="1">IF(totalElements+COUNTIF(Entities!$C$10,"*")+COUNTIF(B545:C545,"*")+COUNTIF(E545:F545,"*")=9,1,0)</f>
        <v>0</v>
      </c>
      <c r="P545" s="4">
        <f>COUNTIF($C$6:C545,C545)</f>
        <v>0</v>
      </c>
      <c r="Q545" s="4">
        <f ca="1">IF(ISNA(M545),0,COUNTIF($M$6:M545,M545))</f>
        <v>0</v>
      </c>
      <c r="R545" s="4" t="e">
        <f t="shared" ca="1" si="56"/>
        <v>#N/A</v>
      </c>
      <c r="S545" s="4">
        <f ca="1">IF(ISNA(M545),0,COUNTIF($R$6:R545,R545))</f>
        <v>0</v>
      </c>
      <c r="T545" s="4" t="e">
        <f t="shared" ca="1" si="55"/>
        <v>#N/A</v>
      </c>
    </row>
    <row r="546" spans="2:20" x14ac:dyDescent="0.3">
      <c r="B546" s="48"/>
      <c r="C546" s="48"/>
      <c r="D546" s="10" t="str">
        <f t="shared" ca="1" si="52"/>
        <v/>
      </c>
      <c r="E546" s="48"/>
      <c r="F546" s="48"/>
      <c r="G546" s="10" t="str">
        <f t="shared" ca="1" si="58"/>
        <v/>
      </c>
      <c r="I546" s="10" t="str">
        <f t="shared" ca="1" si="53"/>
        <v/>
      </c>
      <c r="K546" s="4" t="e">
        <f t="shared" ca="1" si="54"/>
        <v>#N/A</v>
      </c>
      <c r="L546" s="4" t="e">
        <f>VLOOKUP(C546,_resources!B:D,3,0)</f>
        <v>#N/A</v>
      </c>
      <c r="M546" s="4" t="e" cm="1">
        <f t="array" aca="1" ref="M546" ca="1">IF(abbrAtEnd,"",L546&amp;"-")&amp;E546&amp;"-"&amp;INDIRECT(OFFSET(element3,MATCH($C546,resources,0)-1,0))&amp;"-"&amp;INDIRECT(OFFSET(element4,MATCH($C546,resources,0)-1,0))&amp;"-"&amp;INDIRECT(OFFSET(element5,MATCH($C546,resources,0)-1,0))&amp;IF(OFFSET(element6,MATCH($C546,resources,0)-1,0)="","","-"&amp;INDIRECT(OFFSET(element6,MATCH($C546,resources,0)-1,0)))&amp;IF(abbrAtEnd,"-"&amp;L546,"")</f>
        <v>#N/A</v>
      </c>
      <c r="N546" s="4" t="str">
        <f t="shared" si="57"/>
        <v>-000</v>
      </c>
      <c r="O546" s="4">
        <f ca="1">IF(totalElements+COUNTIF(Entities!$C$10,"*")+COUNTIF(B546:C546,"*")+COUNTIF(E546:F546,"*")=9,1,0)</f>
        <v>0</v>
      </c>
      <c r="P546" s="4">
        <f>COUNTIF($C$6:C546,C546)</f>
        <v>0</v>
      </c>
      <c r="Q546" s="4">
        <f ca="1">IF(ISNA(M546),0,COUNTIF($M$6:M546,M546))</f>
        <v>0</v>
      </c>
      <c r="R546" s="4" t="e">
        <f t="shared" ca="1" si="56"/>
        <v>#N/A</v>
      </c>
      <c r="S546" s="4">
        <f ca="1">IF(ISNA(M546),0,COUNTIF($R$6:R546,R546))</f>
        <v>0</v>
      </c>
      <c r="T546" s="4" t="e">
        <f t="shared" ca="1" si="55"/>
        <v>#N/A</v>
      </c>
    </row>
    <row r="547" spans="2:20" x14ac:dyDescent="0.3">
      <c r="B547" s="48"/>
      <c r="C547" s="48"/>
      <c r="D547" s="10" t="str">
        <f t="shared" ca="1" si="52"/>
        <v/>
      </c>
      <c r="E547" s="48"/>
      <c r="F547" s="48"/>
      <c r="G547" s="10" t="str">
        <f t="shared" ca="1" si="58"/>
        <v/>
      </c>
      <c r="I547" s="10" t="str">
        <f t="shared" ca="1" si="53"/>
        <v/>
      </c>
      <c r="K547" s="4" t="e">
        <f t="shared" ca="1" si="54"/>
        <v>#N/A</v>
      </c>
      <c r="L547" s="4" t="e">
        <f>VLOOKUP(C547,_resources!B:D,3,0)</f>
        <v>#N/A</v>
      </c>
      <c r="M547" s="4" t="e" cm="1">
        <f t="array" aca="1" ref="M547" ca="1">IF(abbrAtEnd,"",L547&amp;"-")&amp;E547&amp;"-"&amp;INDIRECT(OFFSET(element3,MATCH($C547,resources,0)-1,0))&amp;"-"&amp;INDIRECT(OFFSET(element4,MATCH($C547,resources,0)-1,0))&amp;"-"&amp;INDIRECT(OFFSET(element5,MATCH($C547,resources,0)-1,0))&amp;IF(OFFSET(element6,MATCH($C547,resources,0)-1,0)="","","-"&amp;INDIRECT(OFFSET(element6,MATCH($C547,resources,0)-1,0)))&amp;IF(abbrAtEnd,"-"&amp;L547,"")</f>
        <v>#N/A</v>
      </c>
      <c r="N547" s="4" t="str">
        <f t="shared" si="57"/>
        <v>-000</v>
      </c>
      <c r="O547" s="4">
        <f ca="1">IF(totalElements+COUNTIF(Entities!$C$10,"*")+COUNTIF(B547:C547,"*")+COUNTIF(E547:F547,"*")=9,1,0)</f>
        <v>0</v>
      </c>
      <c r="P547" s="4">
        <f>COUNTIF($C$6:C547,C547)</f>
        <v>0</v>
      </c>
      <c r="Q547" s="4">
        <f ca="1">IF(ISNA(M547),0,COUNTIF($M$6:M547,M547))</f>
        <v>0</v>
      </c>
      <c r="R547" s="4" t="e">
        <f t="shared" ca="1" si="56"/>
        <v>#N/A</v>
      </c>
      <c r="S547" s="4">
        <f ca="1">IF(ISNA(M547),0,COUNTIF($R$6:R547,R547))</f>
        <v>0</v>
      </c>
      <c r="T547" s="4" t="e">
        <f t="shared" ca="1" si="55"/>
        <v>#N/A</v>
      </c>
    </row>
    <row r="548" spans="2:20" x14ac:dyDescent="0.3">
      <c r="B548" s="48"/>
      <c r="C548" s="48"/>
      <c r="D548" s="10" t="str">
        <f t="shared" ca="1" si="52"/>
        <v/>
      </c>
      <c r="E548" s="48"/>
      <c r="F548" s="48"/>
      <c r="G548" s="10" t="str">
        <f t="shared" ca="1" si="58"/>
        <v/>
      </c>
      <c r="I548" s="10" t="str">
        <f t="shared" ca="1" si="53"/>
        <v/>
      </c>
      <c r="K548" s="4" t="e">
        <f t="shared" ca="1" si="54"/>
        <v>#N/A</v>
      </c>
      <c r="L548" s="4" t="e">
        <f>VLOOKUP(C548,_resources!B:D,3,0)</f>
        <v>#N/A</v>
      </c>
      <c r="M548" s="4" t="e" cm="1">
        <f t="array" aca="1" ref="M548" ca="1">IF(abbrAtEnd,"",L548&amp;"-")&amp;E548&amp;"-"&amp;INDIRECT(OFFSET(element3,MATCH($C548,resources,0)-1,0))&amp;"-"&amp;INDIRECT(OFFSET(element4,MATCH($C548,resources,0)-1,0))&amp;"-"&amp;INDIRECT(OFFSET(element5,MATCH($C548,resources,0)-1,0))&amp;IF(OFFSET(element6,MATCH($C548,resources,0)-1,0)="","","-"&amp;INDIRECT(OFFSET(element6,MATCH($C548,resources,0)-1,0)))&amp;IF(abbrAtEnd,"-"&amp;L548,"")</f>
        <v>#N/A</v>
      </c>
      <c r="N548" s="4" t="str">
        <f t="shared" si="57"/>
        <v>-000</v>
      </c>
      <c r="O548" s="4">
        <f ca="1">IF(totalElements+COUNTIF(Entities!$C$10,"*")+COUNTIF(B548:C548,"*")+COUNTIF(E548:F548,"*")=9,1,0)</f>
        <v>0</v>
      </c>
      <c r="P548" s="4">
        <f>COUNTIF($C$6:C548,C548)</f>
        <v>0</v>
      </c>
      <c r="Q548" s="4">
        <f ca="1">IF(ISNA(M548),0,COUNTIF($M$6:M548,M548))</f>
        <v>0</v>
      </c>
      <c r="R548" s="4" t="e">
        <f t="shared" ca="1" si="56"/>
        <v>#N/A</v>
      </c>
      <c r="S548" s="4">
        <f ca="1">IF(ISNA(M548),0,COUNTIF($R$6:R548,R548))</f>
        <v>0</v>
      </c>
      <c r="T548" s="4" t="e">
        <f t="shared" ca="1" si="55"/>
        <v>#N/A</v>
      </c>
    </row>
    <row r="549" spans="2:20" x14ac:dyDescent="0.3">
      <c r="B549" s="48"/>
      <c r="C549" s="48"/>
      <c r="D549" s="10" t="str">
        <f t="shared" ca="1" si="52"/>
        <v/>
      </c>
      <c r="E549" s="48"/>
      <c r="F549" s="48"/>
      <c r="G549" s="10" t="str">
        <f t="shared" ca="1" si="58"/>
        <v/>
      </c>
      <c r="I549" s="10" t="str">
        <f t="shared" ca="1" si="53"/>
        <v/>
      </c>
      <c r="K549" s="4" t="e">
        <f t="shared" ca="1" si="54"/>
        <v>#N/A</v>
      </c>
      <c r="L549" s="4" t="e">
        <f>VLOOKUP(C549,_resources!B:D,3,0)</f>
        <v>#N/A</v>
      </c>
      <c r="M549" s="4" t="e" cm="1">
        <f t="array" aca="1" ref="M549" ca="1">IF(abbrAtEnd,"",L549&amp;"-")&amp;E549&amp;"-"&amp;INDIRECT(OFFSET(element3,MATCH($C549,resources,0)-1,0))&amp;"-"&amp;INDIRECT(OFFSET(element4,MATCH($C549,resources,0)-1,0))&amp;"-"&amp;INDIRECT(OFFSET(element5,MATCH($C549,resources,0)-1,0))&amp;IF(OFFSET(element6,MATCH($C549,resources,0)-1,0)="","","-"&amp;INDIRECT(OFFSET(element6,MATCH($C549,resources,0)-1,0)))&amp;IF(abbrAtEnd,"-"&amp;L549,"")</f>
        <v>#N/A</v>
      </c>
      <c r="N549" s="4" t="str">
        <f t="shared" si="57"/>
        <v>-000</v>
      </c>
      <c r="O549" s="4">
        <f ca="1">IF(totalElements+COUNTIF(Entities!$C$10,"*")+COUNTIF(B549:C549,"*")+COUNTIF(E549:F549,"*")=9,1,0)</f>
        <v>0</v>
      </c>
      <c r="P549" s="4">
        <f>COUNTIF($C$6:C549,C549)</f>
        <v>0</v>
      </c>
      <c r="Q549" s="4">
        <f ca="1">IF(ISNA(M549),0,COUNTIF($M$6:M549,M549))</f>
        <v>0</v>
      </c>
      <c r="R549" s="4" t="e">
        <f t="shared" ca="1" si="56"/>
        <v>#N/A</v>
      </c>
      <c r="S549" s="4">
        <f ca="1">IF(ISNA(M549),0,COUNTIF($R$6:R549,R549))</f>
        <v>0</v>
      </c>
      <c r="T549" s="4" t="e">
        <f t="shared" ca="1" si="55"/>
        <v>#N/A</v>
      </c>
    </row>
    <row r="550" spans="2:20" x14ac:dyDescent="0.3">
      <c r="B550" s="48"/>
      <c r="C550" s="48"/>
      <c r="D550" s="10" t="str">
        <f t="shared" ca="1" si="52"/>
        <v/>
      </c>
      <c r="E550" s="48"/>
      <c r="F550" s="48"/>
      <c r="G550" s="10" t="str">
        <f t="shared" ca="1" si="58"/>
        <v/>
      </c>
      <c r="I550" s="10" t="str">
        <f t="shared" ca="1" si="53"/>
        <v/>
      </c>
      <c r="K550" s="4" t="e">
        <f t="shared" ca="1" si="54"/>
        <v>#N/A</v>
      </c>
      <c r="L550" s="4" t="e">
        <f>VLOOKUP(C550,_resources!B:D,3,0)</f>
        <v>#N/A</v>
      </c>
      <c r="M550" s="4" t="e" cm="1">
        <f t="array" aca="1" ref="M550" ca="1">IF(abbrAtEnd,"",L550&amp;"-")&amp;E550&amp;"-"&amp;INDIRECT(OFFSET(element3,MATCH($C550,resources,0)-1,0))&amp;"-"&amp;INDIRECT(OFFSET(element4,MATCH($C550,resources,0)-1,0))&amp;"-"&amp;INDIRECT(OFFSET(element5,MATCH($C550,resources,0)-1,0))&amp;IF(OFFSET(element6,MATCH($C550,resources,0)-1,0)="","","-"&amp;INDIRECT(OFFSET(element6,MATCH($C550,resources,0)-1,0)))&amp;IF(abbrAtEnd,"-"&amp;L550,"")</f>
        <v>#N/A</v>
      </c>
      <c r="N550" s="4" t="str">
        <f t="shared" si="57"/>
        <v>-000</v>
      </c>
      <c r="O550" s="4">
        <f ca="1">IF(totalElements+COUNTIF(Entities!$C$10,"*")+COUNTIF(B550:C550,"*")+COUNTIF(E550:F550,"*")=9,1,0)</f>
        <v>0</v>
      </c>
      <c r="P550" s="4">
        <f>COUNTIF($C$6:C550,C550)</f>
        <v>0</v>
      </c>
      <c r="Q550" s="4">
        <f ca="1">IF(ISNA(M550),0,COUNTIF($M$6:M550,M550))</f>
        <v>0</v>
      </c>
      <c r="R550" s="4" t="e">
        <f t="shared" ca="1" si="56"/>
        <v>#N/A</v>
      </c>
      <c r="S550" s="4">
        <f ca="1">IF(ISNA(M550),0,COUNTIF($R$6:R550,R550))</f>
        <v>0</v>
      </c>
      <c r="T550" s="4" t="e">
        <f t="shared" ca="1" si="55"/>
        <v>#N/A</v>
      </c>
    </row>
    <row r="551" spans="2:20" x14ac:dyDescent="0.3">
      <c r="B551" s="48"/>
      <c r="C551" s="48"/>
      <c r="D551" s="10" t="str">
        <f t="shared" ca="1" si="52"/>
        <v/>
      </c>
      <c r="E551" s="48"/>
      <c r="F551" s="48"/>
      <c r="G551" s="10" t="str">
        <f t="shared" ca="1" si="58"/>
        <v/>
      </c>
      <c r="I551" s="10" t="str">
        <f t="shared" ca="1" si="53"/>
        <v/>
      </c>
      <c r="K551" s="4" t="e">
        <f t="shared" ca="1" si="54"/>
        <v>#N/A</v>
      </c>
      <c r="L551" s="4" t="e">
        <f>VLOOKUP(C551,_resources!B:D,3,0)</f>
        <v>#N/A</v>
      </c>
      <c r="M551" s="4" t="e" cm="1">
        <f t="array" aca="1" ref="M551" ca="1">IF(abbrAtEnd,"",L551&amp;"-")&amp;E551&amp;"-"&amp;INDIRECT(OFFSET(element3,MATCH($C551,resources,0)-1,0))&amp;"-"&amp;INDIRECT(OFFSET(element4,MATCH($C551,resources,0)-1,0))&amp;"-"&amp;INDIRECT(OFFSET(element5,MATCH($C551,resources,0)-1,0))&amp;IF(OFFSET(element6,MATCH($C551,resources,0)-1,0)="","","-"&amp;INDIRECT(OFFSET(element6,MATCH($C551,resources,0)-1,0)))&amp;IF(abbrAtEnd,"-"&amp;L551,"")</f>
        <v>#N/A</v>
      </c>
      <c r="N551" s="4" t="str">
        <f t="shared" si="57"/>
        <v>-000</v>
      </c>
      <c r="O551" s="4">
        <f ca="1">IF(totalElements+COUNTIF(Entities!$C$10,"*")+COUNTIF(B551:C551,"*")+COUNTIF(E551:F551,"*")=9,1,0)</f>
        <v>0</v>
      </c>
      <c r="P551" s="4">
        <f>COUNTIF($C$6:C551,C551)</f>
        <v>0</v>
      </c>
      <c r="Q551" s="4">
        <f ca="1">IF(ISNA(M551),0,COUNTIF($M$6:M551,M551))</f>
        <v>0</v>
      </c>
      <c r="R551" s="4" t="e">
        <f t="shared" ca="1" si="56"/>
        <v>#N/A</v>
      </c>
      <c r="S551" s="4">
        <f ca="1">IF(ISNA(M551),0,COUNTIF($R$6:R551,R551))</f>
        <v>0</v>
      </c>
      <c r="T551" s="4" t="e">
        <f t="shared" ca="1" si="55"/>
        <v>#N/A</v>
      </c>
    </row>
    <row r="552" spans="2:20" x14ac:dyDescent="0.3">
      <c r="B552" s="48"/>
      <c r="C552" s="48"/>
      <c r="D552" s="10" t="str">
        <f t="shared" ca="1" si="52"/>
        <v/>
      </c>
      <c r="E552" s="48"/>
      <c r="F552" s="48"/>
      <c r="G552" s="10" t="str">
        <f t="shared" ca="1" si="58"/>
        <v/>
      </c>
      <c r="I552" s="10" t="str">
        <f t="shared" ca="1" si="53"/>
        <v/>
      </c>
      <c r="K552" s="4" t="e">
        <f t="shared" ca="1" si="54"/>
        <v>#N/A</v>
      </c>
      <c r="L552" s="4" t="e">
        <f>VLOOKUP(C552,_resources!B:D,3,0)</f>
        <v>#N/A</v>
      </c>
      <c r="M552" s="4" t="e" cm="1">
        <f t="array" aca="1" ref="M552" ca="1">IF(abbrAtEnd,"",L552&amp;"-")&amp;E552&amp;"-"&amp;INDIRECT(OFFSET(element3,MATCH($C552,resources,0)-1,0))&amp;"-"&amp;INDIRECT(OFFSET(element4,MATCH($C552,resources,0)-1,0))&amp;"-"&amp;INDIRECT(OFFSET(element5,MATCH($C552,resources,0)-1,0))&amp;IF(OFFSET(element6,MATCH($C552,resources,0)-1,0)="","","-"&amp;INDIRECT(OFFSET(element6,MATCH($C552,resources,0)-1,0)))&amp;IF(abbrAtEnd,"-"&amp;L552,"")</f>
        <v>#N/A</v>
      </c>
      <c r="N552" s="4" t="str">
        <f t="shared" si="57"/>
        <v>-000</v>
      </c>
      <c r="O552" s="4">
        <f ca="1">IF(totalElements+COUNTIF(Entities!$C$10,"*")+COUNTIF(B552:C552,"*")+COUNTIF(E552:F552,"*")=9,1,0)</f>
        <v>0</v>
      </c>
      <c r="P552" s="4">
        <f>COUNTIF($C$6:C552,C552)</f>
        <v>0</v>
      </c>
      <c r="Q552" s="4">
        <f ca="1">IF(ISNA(M552),0,COUNTIF($M$6:M552,M552))</f>
        <v>0</v>
      </c>
      <c r="R552" s="4" t="e">
        <f t="shared" ca="1" si="56"/>
        <v>#N/A</v>
      </c>
      <c r="S552" s="4">
        <f ca="1">IF(ISNA(M552),0,COUNTIF($R$6:R552,R552))</f>
        <v>0</v>
      </c>
      <c r="T552" s="4" t="e">
        <f t="shared" ca="1" si="55"/>
        <v>#N/A</v>
      </c>
    </row>
    <row r="553" spans="2:20" x14ac:dyDescent="0.3">
      <c r="B553" s="48"/>
      <c r="C553" s="48"/>
      <c r="D553" s="10" t="str">
        <f t="shared" ca="1" si="52"/>
        <v/>
      </c>
      <c r="E553" s="48"/>
      <c r="F553" s="48"/>
      <c r="G553" s="10" t="str">
        <f t="shared" ca="1" si="58"/>
        <v/>
      </c>
      <c r="I553" s="10" t="str">
        <f t="shared" ca="1" si="53"/>
        <v/>
      </c>
      <c r="K553" s="4" t="e">
        <f t="shared" ca="1" si="54"/>
        <v>#N/A</v>
      </c>
      <c r="L553" s="4" t="e">
        <f>VLOOKUP(C553,_resources!B:D,3,0)</f>
        <v>#N/A</v>
      </c>
      <c r="M553" s="4" t="e" cm="1">
        <f t="array" aca="1" ref="M553" ca="1">IF(abbrAtEnd,"",L553&amp;"-")&amp;E553&amp;"-"&amp;INDIRECT(OFFSET(element3,MATCH($C553,resources,0)-1,0))&amp;"-"&amp;INDIRECT(OFFSET(element4,MATCH($C553,resources,0)-1,0))&amp;"-"&amp;INDIRECT(OFFSET(element5,MATCH($C553,resources,0)-1,0))&amp;IF(OFFSET(element6,MATCH($C553,resources,0)-1,0)="","","-"&amp;INDIRECT(OFFSET(element6,MATCH($C553,resources,0)-1,0)))&amp;IF(abbrAtEnd,"-"&amp;L553,"")</f>
        <v>#N/A</v>
      </c>
      <c r="N553" s="4" t="str">
        <f t="shared" si="57"/>
        <v>-000</v>
      </c>
      <c r="O553" s="4">
        <f ca="1">IF(totalElements+COUNTIF(Entities!$C$10,"*")+COUNTIF(B553:C553,"*")+COUNTIF(E553:F553,"*")=9,1,0)</f>
        <v>0</v>
      </c>
      <c r="P553" s="4">
        <f>COUNTIF($C$6:C553,C553)</f>
        <v>0</v>
      </c>
      <c r="Q553" s="4">
        <f ca="1">IF(ISNA(M553),0,COUNTIF($M$6:M553,M553))</f>
        <v>0</v>
      </c>
      <c r="R553" s="4" t="e">
        <f t="shared" ca="1" si="56"/>
        <v>#N/A</v>
      </c>
      <c r="S553" s="4">
        <f ca="1">IF(ISNA(M553),0,COUNTIF($R$6:R553,R553))</f>
        <v>0</v>
      </c>
      <c r="T553" s="4" t="e">
        <f t="shared" ca="1" si="55"/>
        <v>#N/A</v>
      </c>
    </row>
    <row r="554" spans="2:20" x14ac:dyDescent="0.3">
      <c r="B554" s="48"/>
      <c r="C554" s="48"/>
      <c r="D554" s="10" t="str">
        <f t="shared" ca="1" si="52"/>
        <v/>
      </c>
      <c r="E554" s="48"/>
      <c r="F554" s="48"/>
      <c r="G554" s="10" t="str">
        <f t="shared" ca="1" si="58"/>
        <v/>
      </c>
      <c r="I554" s="10" t="str">
        <f t="shared" ca="1" si="53"/>
        <v/>
      </c>
      <c r="K554" s="4" t="e">
        <f t="shared" ca="1" si="54"/>
        <v>#N/A</v>
      </c>
      <c r="L554" s="4" t="e">
        <f>VLOOKUP(C554,_resources!B:D,3,0)</f>
        <v>#N/A</v>
      </c>
      <c r="M554" s="4" t="e" cm="1">
        <f t="array" aca="1" ref="M554" ca="1">IF(abbrAtEnd,"",L554&amp;"-")&amp;E554&amp;"-"&amp;INDIRECT(OFFSET(element3,MATCH($C554,resources,0)-1,0))&amp;"-"&amp;INDIRECT(OFFSET(element4,MATCH($C554,resources,0)-1,0))&amp;"-"&amp;INDIRECT(OFFSET(element5,MATCH($C554,resources,0)-1,0))&amp;IF(OFFSET(element6,MATCH($C554,resources,0)-1,0)="","","-"&amp;INDIRECT(OFFSET(element6,MATCH($C554,resources,0)-1,0)))&amp;IF(abbrAtEnd,"-"&amp;L554,"")</f>
        <v>#N/A</v>
      </c>
      <c r="N554" s="4" t="str">
        <f t="shared" si="57"/>
        <v>-000</v>
      </c>
      <c r="O554" s="4">
        <f ca="1">IF(totalElements+COUNTIF(Entities!$C$10,"*")+COUNTIF(B554:C554,"*")+COUNTIF(E554:F554,"*")=9,1,0)</f>
        <v>0</v>
      </c>
      <c r="P554" s="4">
        <f>COUNTIF($C$6:C554,C554)</f>
        <v>0</v>
      </c>
      <c r="Q554" s="4">
        <f ca="1">IF(ISNA(M554),0,COUNTIF($M$6:M554,M554))</f>
        <v>0</v>
      </c>
      <c r="R554" s="4" t="e">
        <f t="shared" ca="1" si="56"/>
        <v>#N/A</v>
      </c>
      <c r="S554" s="4">
        <f ca="1">IF(ISNA(M554),0,COUNTIF($R$6:R554,R554))</f>
        <v>0</v>
      </c>
      <c r="T554" s="4" t="e">
        <f t="shared" ca="1" si="55"/>
        <v>#N/A</v>
      </c>
    </row>
    <row r="555" spans="2:20" x14ac:dyDescent="0.3">
      <c r="B555" s="48"/>
      <c r="C555" s="48"/>
      <c r="D555" s="10" t="str">
        <f t="shared" ca="1" si="52"/>
        <v/>
      </c>
      <c r="E555" s="48"/>
      <c r="F555" s="48"/>
      <c r="G555" s="10" t="str">
        <f t="shared" ca="1" si="58"/>
        <v/>
      </c>
      <c r="I555" s="10" t="str">
        <f t="shared" ca="1" si="53"/>
        <v/>
      </c>
      <c r="K555" s="4" t="e">
        <f t="shared" ca="1" si="54"/>
        <v>#N/A</v>
      </c>
      <c r="L555" s="4" t="e">
        <f>VLOOKUP(C555,_resources!B:D,3,0)</f>
        <v>#N/A</v>
      </c>
      <c r="M555" s="4" t="e" cm="1">
        <f t="array" aca="1" ref="M555" ca="1">IF(abbrAtEnd,"",L555&amp;"-")&amp;E555&amp;"-"&amp;INDIRECT(OFFSET(element3,MATCH($C555,resources,0)-1,0))&amp;"-"&amp;INDIRECT(OFFSET(element4,MATCH($C555,resources,0)-1,0))&amp;"-"&amp;INDIRECT(OFFSET(element5,MATCH($C555,resources,0)-1,0))&amp;IF(OFFSET(element6,MATCH($C555,resources,0)-1,0)="","","-"&amp;INDIRECT(OFFSET(element6,MATCH($C555,resources,0)-1,0)))&amp;IF(abbrAtEnd,"-"&amp;L555,"")</f>
        <v>#N/A</v>
      </c>
      <c r="N555" s="4" t="str">
        <f t="shared" si="57"/>
        <v>-000</v>
      </c>
      <c r="O555" s="4">
        <f ca="1">IF(totalElements+COUNTIF(Entities!$C$10,"*")+COUNTIF(B555:C555,"*")+COUNTIF(E555:F555,"*")=9,1,0)</f>
        <v>0</v>
      </c>
      <c r="P555" s="4">
        <f>COUNTIF($C$6:C555,C555)</f>
        <v>0</v>
      </c>
      <c r="Q555" s="4">
        <f ca="1">IF(ISNA(M555),0,COUNTIF($M$6:M555,M555))</f>
        <v>0</v>
      </c>
      <c r="R555" s="4" t="e">
        <f t="shared" ca="1" si="56"/>
        <v>#N/A</v>
      </c>
      <c r="S555" s="4">
        <f ca="1">IF(ISNA(M555),0,COUNTIF($R$6:R555,R555))</f>
        <v>0</v>
      </c>
      <c r="T555" s="4" t="e">
        <f t="shared" ca="1" si="55"/>
        <v>#N/A</v>
      </c>
    </row>
    <row r="556" spans="2:20" x14ac:dyDescent="0.3">
      <c r="B556" s="48"/>
      <c r="C556" s="48"/>
      <c r="D556" s="10" t="str">
        <f t="shared" ca="1" si="52"/>
        <v/>
      </c>
      <c r="E556" s="48"/>
      <c r="F556" s="48"/>
      <c r="G556" s="10" t="str">
        <f t="shared" ca="1" si="58"/>
        <v/>
      </c>
      <c r="I556" s="10" t="str">
        <f t="shared" ca="1" si="53"/>
        <v/>
      </c>
      <c r="K556" s="4" t="e">
        <f t="shared" ca="1" si="54"/>
        <v>#N/A</v>
      </c>
      <c r="L556" s="4" t="e">
        <f>VLOOKUP(C556,_resources!B:D,3,0)</f>
        <v>#N/A</v>
      </c>
      <c r="M556" s="4" t="e" cm="1">
        <f t="array" aca="1" ref="M556" ca="1">IF(abbrAtEnd,"",L556&amp;"-")&amp;E556&amp;"-"&amp;INDIRECT(OFFSET(element3,MATCH($C556,resources,0)-1,0))&amp;"-"&amp;INDIRECT(OFFSET(element4,MATCH($C556,resources,0)-1,0))&amp;"-"&amp;INDIRECT(OFFSET(element5,MATCH($C556,resources,0)-1,0))&amp;IF(OFFSET(element6,MATCH($C556,resources,0)-1,0)="","","-"&amp;INDIRECT(OFFSET(element6,MATCH($C556,resources,0)-1,0)))&amp;IF(abbrAtEnd,"-"&amp;L556,"")</f>
        <v>#N/A</v>
      </c>
      <c r="N556" s="4" t="str">
        <f t="shared" si="57"/>
        <v>-000</v>
      </c>
      <c r="O556" s="4">
        <f ca="1">IF(totalElements+COUNTIF(Entities!$C$10,"*")+COUNTIF(B556:C556,"*")+COUNTIF(E556:F556,"*")=9,1,0)</f>
        <v>0</v>
      </c>
      <c r="P556" s="4">
        <f>COUNTIF($C$6:C556,C556)</f>
        <v>0</v>
      </c>
      <c r="Q556" s="4">
        <f ca="1">IF(ISNA(M556),0,COUNTIF($M$6:M556,M556))</f>
        <v>0</v>
      </c>
      <c r="R556" s="4" t="e">
        <f t="shared" ca="1" si="56"/>
        <v>#N/A</v>
      </c>
      <c r="S556" s="4">
        <f ca="1">IF(ISNA(M556),0,COUNTIF($R$6:R556,R556))</f>
        <v>0</v>
      </c>
      <c r="T556" s="4" t="e">
        <f t="shared" ca="1" si="55"/>
        <v>#N/A</v>
      </c>
    </row>
    <row r="557" spans="2:20" x14ac:dyDescent="0.3">
      <c r="B557" s="48"/>
      <c r="C557" s="48"/>
      <c r="D557" s="10" t="str">
        <f t="shared" ca="1" si="52"/>
        <v/>
      </c>
      <c r="E557" s="48"/>
      <c r="F557" s="48"/>
      <c r="G557" s="10" t="str">
        <f t="shared" ca="1" si="58"/>
        <v/>
      </c>
      <c r="I557" s="10" t="str">
        <f t="shared" ca="1" si="53"/>
        <v/>
      </c>
      <c r="K557" s="4" t="e">
        <f t="shared" ca="1" si="54"/>
        <v>#N/A</v>
      </c>
      <c r="L557" s="4" t="e">
        <f>VLOOKUP(C557,_resources!B:D,3,0)</f>
        <v>#N/A</v>
      </c>
      <c r="M557" s="4" t="e" cm="1">
        <f t="array" aca="1" ref="M557" ca="1">IF(abbrAtEnd,"",L557&amp;"-")&amp;E557&amp;"-"&amp;INDIRECT(OFFSET(element3,MATCH($C557,resources,0)-1,0))&amp;"-"&amp;INDIRECT(OFFSET(element4,MATCH($C557,resources,0)-1,0))&amp;"-"&amp;INDIRECT(OFFSET(element5,MATCH($C557,resources,0)-1,0))&amp;IF(OFFSET(element6,MATCH($C557,resources,0)-1,0)="","","-"&amp;INDIRECT(OFFSET(element6,MATCH($C557,resources,0)-1,0)))&amp;IF(abbrAtEnd,"-"&amp;L557,"")</f>
        <v>#N/A</v>
      </c>
      <c r="N557" s="4" t="str">
        <f t="shared" si="57"/>
        <v>-000</v>
      </c>
      <c r="O557" s="4">
        <f ca="1">IF(totalElements+COUNTIF(Entities!$C$10,"*")+COUNTIF(B557:C557,"*")+COUNTIF(E557:F557,"*")=9,1,0)</f>
        <v>0</v>
      </c>
      <c r="P557" s="4">
        <f>COUNTIF($C$6:C557,C557)</f>
        <v>0</v>
      </c>
      <c r="Q557" s="4">
        <f ca="1">IF(ISNA(M557),0,COUNTIF($M$6:M557,M557))</f>
        <v>0</v>
      </c>
      <c r="R557" s="4" t="e">
        <f t="shared" ca="1" si="56"/>
        <v>#N/A</v>
      </c>
      <c r="S557" s="4">
        <f ca="1">IF(ISNA(M557),0,COUNTIF($R$6:R557,R557))</f>
        <v>0</v>
      </c>
      <c r="T557" s="4" t="e">
        <f t="shared" ca="1" si="55"/>
        <v>#N/A</v>
      </c>
    </row>
    <row r="558" spans="2:20" x14ac:dyDescent="0.3">
      <c r="B558" s="48"/>
      <c r="C558" s="48"/>
      <c r="D558" s="10" t="str">
        <f t="shared" ca="1" si="52"/>
        <v/>
      </c>
      <c r="E558" s="48"/>
      <c r="F558" s="48"/>
      <c r="G558" s="10" t="str">
        <f t="shared" ca="1" si="58"/>
        <v/>
      </c>
      <c r="I558" s="10" t="str">
        <f t="shared" ca="1" si="53"/>
        <v/>
      </c>
      <c r="K558" s="4" t="e">
        <f t="shared" ca="1" si="54"/>
        <v>#N/A</v>
      </c>
      <c r="L558" s="4" t="e">
        <f>VLOOKUP(C558,_resources!B:D,3,0)</f>
        <v>#N/A</v>
      </c>
      <c r="M558" s="4" t="e" cm="1">
        <f t="array" aca="1" ref="M558" ca="1">IF(abbrAtEnd,"",L558&amp;"-")&amp;E558&amp;"-"&amp;INDIRECT(OFFSET(element3,MATCH($C558,resources,0)-1,0))&amp;"-"&amp;INDIRECT(OFFSET(element4,MATCH($C558,resources,0)-1,0))&amp;"-"&amp;INDIRECT(OFFSET(element5,MATCH($C558,resources,0)-1,0))&amp;IF(OFFSET(element6,MATCH($C558,resources,0)-1,0)="","","-"&amp;INDIRECT(OFFSET(element6,MATCH($C558,resources,0)-1,0)))&amp;IF(abbrAtEnd,"-"&amp;L558,"")</f>
        <v>#N/A</v>
      </c>
      <c r="N558" s="4" t="str">
        <f t="shared" si="57"/>
        <v>-000</v>
      </c>
      <c r="O558" s="4">
        <f ca="1">IF(totalElements+COUNTIF(Entities!$C$10,"*")+COUNTIF(B558:C558,"*")+COUNTIF(E558:F558,"*")=9,1,0)</f>
        <v>0</v>
      </c>
      <c r="P558" s="4">
        <f>COUNTIF($C$6:C558,C558)</f>
        <v>0</v>
      </c>
      <c r="Q558" s="4">
        <f ca="1">IF(ISNA(M558),0,COUNTIF($M$6:M558,M558))</f>
        <v>0</v>
      </c>
      <c r="R558" s="4" t="e">
        <f t="shared" ca="1" si="56"/>
        <v>#N/A</v>
      </c>
      <c r="S558" s="4">
        <f ca="1">IF(ISNA(M558),0,COUNTIF($R$6:R558,R558))</f>
        <v>0</v>
      </c>
      <c r="T558" s="4" t="e">
        <f t="shared" ca="1" si="55"/>
        <v>#N/A</v>
      </c>
    </row>
    <row r="559" spans="2:20" x14ac:dyDescent="0.3">
      <c r="B559" s="48"/>
      <c r="C559" s="48"/>
      <c r="D559" s="10" t="str">
        <f t="shared" ca="1" si="52"/>
        <v/>
      </c>
      <c r="E559" s="48"/>
      <c r="F559" s="48"/>
      <c r="G559" s="10" t="str">
        <f t="shared" ca="1" si="58"/>
        <v/>
      </c>
      <c r="I559" s="10" t="str">
        <f t="shared" ca="1" si="53"/>
        <v/>
      </c>
      <c r="K559" s="4" t="e">
        <f t="shared" ca="1" si="54"/>
        <v>#N/A</v>
      </c>
      <c r="L559" s="4" t="e">
        <f>VLOOKUP(C559,_resources!B:D,3,0)</f>
        <v>#N/A</v>
      </c>
      <c r="M559" s="4" t="e" cm="1">
        <f t="array" aca="1" ref="M559" ca="1">IF(abbrAtEnd,"",L559&amp;"-")&amp;E559&amp;"-"&amp;INDIRECT(OFFSET(element3,MATCH($C559,resources,0)-1,0))&amp;"-"&amp;INDIRECT(OFFSET(element4,MATCH($C559,resources,0)-1,0))&amp;"-"&amp;INDIRECT(OFFSET(element5,MATCH($C559,resources,0)-1,0))&amp;IF(OFFSET(element6,MATCH($C559,resources,0)-1,0)="","","-"&amp;INDIRECT(OFFSET(element6,MATCH($C559,resources,0)-1,0)))&amp;IF(abbrAtEnd,"-"&amp;L559,"")</f>
        <v>#N/A</v>
      </c>
      <c r="N559" s="4" t="str">
        <f t="shared" si="57"/>
        <v>-000</v>
      </c>
      <c r="O559" s="4">
        <f ca="1">IF(totalElements+COUNTIF(Entities!$C$10,"*")+COUNTIF(B559:C559,"*")+COUNTIF(E559:F559,"*")=9,1,0)</f>
        <v>0</v>
      </c>
      <c r="P559" s="4">
        <f>COUNTIF($C$6:C559,C559)</f>
        <v>0</v>
      </c>
      <c r="Q559" s="4">
        <f ca="1">IF(ISNA(M559),0,COUNTIF($M$6:M559,M559))</f>
        <v>0</v>
      </c>
      <c r="R559" s="4" t="e">
        <f t="shared" ca="1" si="56"/>
        <v>#N/A</v>
      </c>
      <c r="S559" s="4">
        <f ca="1">IF(ISNA(M559),0,COUNTIF($R$6:R559,R559))</f>
        <v>0</v>
      </c>
      <c r="T559" s="4" t="e">
        <f t="shared" ca="1" si="55"/>
        <v>#N/A</v>
      </c>
    </row>
    <row r="560" spans="2:20" x14ac:dyDescent="0.3">
      <c r="B560" s="48"/>
      <c r="C560" s="48"/>
      <c r="D560" s="10" t="str">
        <f t="shared" ca="1" si="52"/>
        <v/>
      </c>
      <c r="E560" s="48"/>
      <c r="F560" s="48"/>
      <c r="G560" s="10" t="str">
        <f t="shared" ca="1" si="58"/>
        <v/>
      </c>
      <c r="I560" s="10" t="str">
        <f t="shared" ca="1" si="53"/>
        <v/>
      </c>
      <c r="K560" s="4" t="e">
        <f t="shared" ca="1" si="54"/>
        <v>#N/A</v>
      </c>
      <c r="L560" s="4" t="e">
        <f>VLOOKUP(C560,_resources!B:D,3,0)</f>
        <v>#N/A</v>
      </c>
      <c r="M560" s="4" t="e" cm="1">
        <f t="array" aca="1" ref="M560" ca="1">IF(abbrAtEnd,"",L560&amp;"-")&amp;E560&amp;"-"&amp;INDIRECT(OFFSET(element3,MATCH($C560,resources,0)-1,0))&amp;"-"&amp;INDIRECT(OFFSET(element4,MATCH($C560,resources,0)-1,0))&amp;"-"&amp;INDIRECT(OFFSET(element5,MATCH($C560,resources,0)-1,0))&amp;IF(OFFSET(element6,MATCH($C560,resources,0)-1,0)="","","-"&amp;INDIRECT(OFFSET(element6,MATCH($C560,resources,0)-1,0)))&amp;IF(abbrAtEnd,"-"&amp;L560,"")</f>
        <v>#N/A</v>
      </c>
      <c r="N560" s="4" t="str">
        <f t="shared" si="57"/>
        <v>-000</v>
      </c>
      <c r="O560" s="4">
        <f ca="1">IF(totalElements+COUNTIF(Entities!$C$10,"*")+COUNTIF(B560:C560,"*")+COUNTIF(E560:F560,"*")=9,1,0)</f>
        <v>0</v>
      </c>
      <c r="P560" s="4">
        <f>COUNTIF($C$6:C560,C560)</f>
        <v>0</v>
      </c>
      <c r="Q560" s="4">
        <f ca="1">IF(ISNA(M560),0,COUNTIF($M$6:M560,M560))</f>
        <v>0</v>
      </c>
      <c r="R560" s="4" t="e">
        <f t="shared" ca="1" si="56"/>
        <v>#N/A</v>
      </c>
      <c r="S560" s="4">
        <f ca="1">IF(ISNA(M560),0,COUNTIF($R$6:R560,R560))</f>
        <v>0</v>
      </c>
      <c r="T560" s="4" t="e">
        <f t="shared" ca="1" si="55"/>
        <v>#N/A</v>
      </c>
    </row>
    <row r="561" spans="2:20" x14ac:dyDescent="0.3">
      <c r="B561" s="48"/>
      <c r="C561" s="48"/>
      <c r="D561" s="10" t="str">
        <f t="shared" ref="D561:D624" ca="1" si="59">IF(ISBLANK(C561),"",OFFSET(element2,MATCH($C561,resources,0)-1,0))</f>
        <v/>
      </c>
      <c r="E561" s="48"/>
      <c r="F561" s="48"/>
      <c r="G561" s="10" t="str">
        <f t="shared" ca="1" si="58"/>
        <v/>
      </c>
      <c r="I561" s="10" t="str">
        <f t="shared" ref="I561:I624" ca="1" si="60">IF(O561,IF(LEN(G561)&gt;T561,"Name too Long (length: "&amp;LEN(G561)&amp;", max. "&amp;T561&amp;")","None"),"")</f>
        <v/>
      </c>
      <c r="K561" s="4" t="e">
        <f t="shared" ca="1" si="54"/>
        <v>#N/A</v>
      </c>
      <c r="L561" s="4" t="e">
        <f>VLOOKUP(C561,_resources!B:D,3,0)</f>
        <v>#N/A</v>
      </c>
      <c r="M561" s="4" t="e" cm="1">
        <f t="array" aca="1" ref="M561" ca="1">IF(abbrAtEnd,"",L561&amp;"-")&amp;E561&amp;"-"&amp;INDIRECT(OFFSET(element3,MATCH($C561,resources,0)-1,0))&amp;"-"&amp;INDIRECT(OFFSET(element4,MATCH($C561,resources,0)-1,0))&amp;"-"&amp;INDIRECT(OFFSET(element5,MATCH($C561,resources,0)-1,0))&amp;IF(OFFSET(element6,MATCH($C561,resources,0)-1,0)="","","-"&amp;INDIRECT(OFFSET(element6,MATCH($C561,resources,0)-1,0)))&amp;IF(abbrAtEnd,"-"&amp;L561,"")</f>
        <v>#N/A</v>
      </c>
      <c r="N561" s="4" t="str">
        <f t="shared" si="57"/>
        <v>-000</v>
      </c>
      <c r="O561" s="4">
        <f ca="1">IF(totalElements+COUNTIF(Entities!$C$10,"*")+COUNTIF(B561:C561,"*")+COUNTIF(E561:F561,"*")=9,1,0)</f>
        <v>0</v>
      </c>
      <c r="P561" s="4">
        <f>COUNTIF($C$6:C561,C561)</f>
        <v>0</v>
      </c>
      <c r="Q561" s="4">
        <f ca="1">IF(ISNA(M561),0,COUNTIF($M$6:M561,M561))</f>
        <v>0</v>
      </c>
      <c r="R561" s="4" t="e">
        <f t="shared" ca="1" si="56"/>
        <v>#N/A</v>
      </c>
      <c r="S561" s="4">
        <f ca="1">IF(ISNA(M561),0,COUNTIF($R$6:R561,R561))</f>
        <v>0</v>
      </c>
      <c r="T561" s="4" t="e">
        <f t="shared" ca="1" si="55"/>
        <v>#N/A</v>
      </c>
    </row>
    <row r="562" spans="2:20" x14ac:dyDescent="0.3">
      <c r="B562" s="48"/>
      <c r="C562" s="48"/>
      <c r="D562" s="10" t="str">
        <f t="shared" ca="1" si="59"/>
        <v/>
      </c>
      <c r="E562" s="48"/>
      <c r="F562" s="48"/>
      <c r="G562" s="10" t="str">
        <f t="shared" ca="1" si="58"/>
        <v/>
      </c>
      <c r="I562" s="10" t="str">
        <f t="shared" ca="1" si="60"/>
        <v/>
      </c>
      <c r="K562" s="4" t="e">
        <f t="shared" ca="1" si="54"/>
        <v>#N/A</v>
      </c>
      <c r="L562" s="4" t="e">
        <f>VLOOKUP(C562,_resources!B:D,3,0)</f>
        <v>#N/A</v>
      </c>
      <c r="M562" s="4" t="e" cm="1">
        <f t="array" aca="1" ref="M562" ca="1">IF(abbrAtEnd,"",L562&amp;"-")&amp;E562&amp;"-"&amp;INDIRECT(OFFSET(element3,MATCH($C562,resources,0)-1,0))&amp;"-"&amp;INDIRECT(OFFSET(element4,MATCH($C562,resources,0)-1,0))&amp;"-"&amp;INDIRECT(OFFSET(element5,MATCH($C562,resources,0)-1,0))&amp;IF(OFFSET(element6,MATCH($C562,resources,0)-1,0)="","","-"&amp;INDIRECT(OFFSET(element6,MATCH($C562,resources,0)-1,0)))&amp;IF(abbrAtEnd,"-"&amp;L562,"")</f>
        <v>#N/A</v>
      </c>
      <c r="N562" s="4" t="str">
        <f t="shared" si="57"/>
        <v>-000</v>
      </c>
      <c r="O562" s="4">
        <f ca="1">IF(totalElements+COUNTIF(Entities!$C$10,"*")+COUNTIF(B562:C562,"*")+COUNTIF(E562:F562,"*")=9,1,0)</f>
        <v>0</v>
      </c>
      <c r="P562" s="4">
        <f>COUNTIF($C$6:C562,C562)</f>
        <v>0</v>
      </c>
      <c r="Q562" s="4">
        <f ca="1">IF(ISNA(M562),0,COUNTIF($M$6:M562,M562))</f>
        <v>0</v>
      </c>
      <c r="R562" s="4" t="e">
        <f t="shared" ca="1" si="56"/>
        <v>#N/A</v>
      </c>
      <c r="S562" s="4">
        <f ca="1">IF(ISNA(M562),0,COUNTIF($R$6:R562,R562))</f>
        <v>0</v>
      </c>
      <c r="T562" s="4" t="e">
        <f t="shared" ca="1" si="55"/>
        <v>#N/A</v>
      </c>
    </row>
    <row r="563" spans="2:20" x14ac:dyDescent="0.3">
      <c r="B563" s="48"/>
      <c r="C563" s="48"/>
      <c r="D563" s="10" t="str">
        <f t="shared" ca="1" si="59"/>
        <v/>
      </c>
      <c r="E563" s="48"/>
      <c r="F563" s="48"/>
      <c r="G563" s="10" t="str">
        <f t="shared" ca="1" si="58"/>
        <v/>
      </c>
      <c r="I563" s="10" t="str">
        <f t="shared" ca="1" si="60"/>
        <v/>
      </c>
      <c r="K563" s="4" t="e">
        <f t="shared" ca="1" si="54"/>
        <v>#N/A</v>
      </c>
      <c r="L563" s="4" t="e">
        <f>VLOOKUP(C563,_resources!B:D,3,0)</f>
        <v>#N/A</v>
      </c>
      <c r="M563" s="4" t="e" cm="1">
        <f t="array" aca="1" ref="M563" ca="1">IF(abbrAtEnd,"",L563&amp;"-")&amp;E563&amp;"-"&amp;INDIRECT(OFFSET(element3,MATCH($C563,resources,0)-1,0))&amp;"-"&amp;INDIRECT(OFFSET(element4,MATCH($C563,resources,0)-1,0))&amp;"-"&amp;INDIRECT(OFFSET(element5,MATCH($C563,resources,0)-1,0))&amp;IF(OFFSET(element6,MATCH($C563,resources,0)-1,0)="","","-"&amp;INDIRECT(OFFSET(element6,MATCH($C563,resources,0)-1,0)))&amp;IF(abbrAtEnd,"-"&amp;L563,"")</f>
        <v>#N/A</v>
      </c>
      <c r="N563" s="4" t="str">
        <f t="shared" si="57"/>
        <v>-000</v>
      </c>
      <c r="O563" s="4">
        <f ca="1">IF(totalElements+COUNTIF(Entities!$C$10,"*")+COUNTIF(B563:C563,"*")+COUNTIF(E563:F563,"*")=9,1,0)</f>
        <v>0</v>
      </c>
      <c r="P563" s="4">
        <f>COUNTIF($C$6:C563,C563)</f>
        <v>0</v>
      </c>
      <c r="Q563" s="4">
        <f ca="1">IF(ISNA(M563),0,COUNTIF($M$6:M563,M563))</f>
        <v>0</v>
      </c>
      <c r="R563" s="4" t="e">
        <f t="shared" ca="1" si="56"/>
        <v>#N/A</v>
      </c>
      <c r="S563" s="4">
        <f ca="1">IF(ISNA(M563),0,COUNTIF($R$6:R563,R563))</f>
        <v>0</v>
      </c>
      <c r="T563" s="4" t="e">
        <f t="shared" ca="1" si="55"/>
        <v>#N/A</v>
      </c>
    </row>
    <row r="564" spans="2:20" x14ac:dyDescent="0.3">
      <c r="B564" s="48"/>
      <c r="C564" s="48"/>
      <c r="D564" s="10" t="str">
        <f t="shared" ca="1" si="59"/>
        <v/>
      </c>
      <c r="E564" s="48"/>
      <c r="F564" s="48"/>
      <c r="G564" s="10" t="str">
        <f t="shared" ca="1" si="58"/>
        <v/>
      </c>
      <c r="I564" s="10" t="str">
        <f t="shared" ca="1" si="60"/>
        <v/>
      </c>
      <c r="K564" s="4" t="e">
        <f t="shared" ca="1" si="54"/>
        <v>#N/A</v>
      </c>
      <c r="L564" s="4" t="e">
        <f>VLOOKUP(C564,_resources!B:D,3,0)</f>
        <v>#N/A</v>
      </c>
      <c r="M564" s="4" t="e" cm="1">
        <f t="array" aca="1" ref="M564" ca="1">IF(abbrAtEnd,"",L564&amp;"-")&amp;E564&amp;"-"&amp;INDIRECT(OFFSET(element3,MATCH($C564,resources,0)-1,0))&amp;"-"&amp;INDIRECT(OFFSET(element4,MATCH($C564,resources,0)-1,0))&amp;"-"&amp;INDIRECT(OFFSET(element5,MATCH($C564,resources,0)-1,0))&amp;IF(OFFSET(element6,MATCH($C564,resources,0)-1,0)="","","-"&amp;INDIRECT(OFFSET(element6,MATCH($C564,resources,0)-1,0)))&amp;IF(abbrAtEnd,"-"&amp;L564,"")</f>
        <v>#N/A</v>
      </c>
      <c r="N564" s="4" t="str">
        <f t="shared" si="57"/>
        <v>-000</v>
      </c>
      <c r="O564" s="4">
        <f ca="1">IF(totalElements+COUNTIF(Entities!$C$10,"*")+COUNTIF(B564:C564,"*")+COUNTIF(E564:F564,"*")=9,1,0)</f>
        <v>0</v>
      </c>
      <c r="P564" s="4">
        <f>COUNTIF($C$6:C564,C564)</f>
        <v>0</v>
      </c>
      <c r="Q564" s="4">
        <f ca="1">IF(ISNA(M564),0,COUNTIF($M$6:M564,M564))</f>
        <v>0</v>
      </c>
      <c r="R564" s="4" t="e">
        <f t="shared" ca="1" si="56"/>
        <v>#N/A</v>
      </c>
      <c r="S564" s="4">
        <f ca="1">IF(ISNA(M564),0,COUNTIF($R$6:R564,R564))</f>
        <v>0</v>
      </c>
      <c r="T564" s="4" t="e">
        <f t="shared" ca="1" si="55"/>
        <v>#N/A</v>
      </c>
    </row>
    <row r="565" spans="2:20" x14ac:dyDescent="0.3">
      <c r="B565" s="48"/>
      <c r="C565" s="48"/>
      <c r="D565" s="10" t="str">
        <f t="shared" ca="1" si="59"/>
        <v/>
      </c>
      <c r="E565" s="48"/>
      <c r="F565" s="48"/>
      <c r="G565" s="10" t="str">
        <f t="shared" ca="1" si="58"/>
        <v/>
      </c>
      <c r="I565" s="10" t="str">
        <f t="shared" ca="1" si="60"/>
        <v/>
      </c>
      <c r="K565" s="4" t="e">
        <f t="shared" ca="1" si="54"/>
        <v>#N/A</v>
      </c>
      <c r="L565" s="4" t="e">
        <f>VLOOKUP(C565,_resources!B:D,3,0)</f>
        <v>#N/A</v>
      </c>
      <c r="M565" s="4" t="e" cm="1">
        <f t="array" aca="1" ref="M565" ca="1">IF(abbrAtEnd,"",L565&amp;"-")&amp;E565&amp;"-"&amp;INDIRECT(OFFSET(element3,MATCH($C565,resources,0)-1,0))&amp;"-"&amp;INDIRECT(OFFSET(element4,MATCH($C565,resources,0)-1,0))&amp;"-"&amp;INDIRECT(OFFSET(element5,MATCH($C565,resources,0)-1,0))&amp;IF(OFFSET(element6,MATCH($C565,resources,0)-1,0)="","","-"&amp;INDIRECT(OFFSET(element6,MATCH($C565,resources,0)-1,0)))&amp;IF(abbrAtEnd,"-"&amp;L565,"")</f>
        <v>#N/A</v>
      </c>
      <c r="N565" s="4" t="str">
        <f t="shared" si="57"/>
        <v>-000</v>
      </c>
      <c r="O565" s="4">
        <f ca="1">IF(totalElements+COUNTIF(Entities!$C$10,"*")+COUNTIF(B565:C565,"*")+COUNTIF(E565:F565,"*")=9,1,0)</f>
        <v>0</v>
      </c>
      <c r="P565" s="4">
        <f>COUNTIF($C$6:C565,C565)</f>
        <v>0</v>
      </c>
      <c r="Q565" s="4">
        <f ca="1">IF(ISNA(M565),0,COUNTIF($M$6:M565,M565))</f>
        <v>0</v>
      </c>
      <c r="R565" s="4" t="e">
        <f t="shared" ca="1" si="56"/>
        <v>#N/A</v>
      </c>
      <c r="S565" s="4">
        <f ca="1">IF(ISNA(M565),0,COUNTIF($R$6:R565,R565))</f>
        <v>0</v>
      </c>
      <c r="T565" s="4" t="e">
        <f t="shared" ca="1" si="55"/>
        <v>#N/A</v>
      </c>
    </row>
    <row r="566" spans="2:20" x14ac:dyDescent="0.3">
      <c r="B566" s="48"/>
      <c r="C566" s="48"/>
      <c r="D566" s="10" t="str">
        <f t="shared" ca="1" si="59"/>
        <v/>
      </c>
      <c r="E566" s="48"/>
      <c r="F566" s="48"/>
      <c r="G566" s="10" t="str">
        <f t="shared" ca="1" si="58"/>
        <v/>
      </c>
      <c r="I566" s="10" t="str">
        <f t="shared" ca="1" si="60"/>
        <v/>
      </c>
      <c r="K566" s="4" t="e">
        <f t="shared" ca="1" si="54"/>
        <v>#N/A</v>
      </c>
      <c r="L566" s="4" t="e">
        <f>VLOOKUP(C566,_resources!B:D,3,0)</f>
        <v>#N/A</v>
      </c>
      <c r="M566" s="4" t="e" cm="1">
        <f t="array" aca="1" ref="M566" ca="1">IF(abbrAtEnd,"",L566&amp;"-")&amp;E566&amp;"-"&amp;INDIRECT(OFFSET(element3,MATCH($C566,resources,0)-1,0))&amp;"-"&amp;INDIRECT(OFFSET(element4,MATCH($C566,resources,0)-1,0))&amp;"-"&amp;INDIRECT(OFFSET(element5,MATCH($C566,resources,0)-1,0))&amp;IF(OFFSET(element6,MATCH($C566,resources,0)-1,0)="","","-"&amp;INDIRECT(OFFSET(element6,MATCH($C566,resources,0)-1,0)))&amp;IF(abbrAtEnd,"-"&amp;L566,"")</f>
        <v>#N/A</v>
      </c>
      <c r="N566" s="4" t="str">
        <f t="shared" si="57"/>
        <v>-000</v>
      </c>
      <c r="O566" s="4">
        <f ca="1">IF(totalElements+COUNTIF(Entities!$C$10,"*")+COUNTIF(B566:C566,"*")+COUNTIF(E566:F566,"*")=9,1,0)</f>
        <v>0</v>
      </c>
      <c r="P566" s="4">
        <f>COUNTIF($C$6:C566,C566)</f>
        <v>0</v>
      </c>
      <c r="Q566" s="4">
        <f ca="1">IF(ISNA(M566),0,COUNTIF($M$6:M566,M566))</f>
        <v>0</v>
      </c>
      <c r="R566" s="4" t="e">
        <f t="shared" ca="1" si="56"/>
        <v>#N/A</v>
      </c>
      <c r="S566" s="4">
        <f ca="1">IF(ISNA(M566),0,COUNTIF($R$6:R566,R566))</f>
        <v>0</v>
      </c>
      <c r="T566" s="4" t="e">
        <f t="shared" ca="1" si="55"/>
        <v>#N/A</v>
      </c>
    </row>
    <row r="567" spans="2:20" x14ac:dyDescent="0.3">
      <c r="B567" s="48"/>
      <c r="C567" s="48"/>
      <c r="D567" s="10" t="str">
        <f t="shared" ca="1" si="59"/>
        <v/>
      </c>
      <c r="E567" s="48"/>
      <c r="F567" s="48"/>
      <c r="G567" s="10" t="str">
        <f t="shared" ca="1" si="58"/>
        <v/>
      </c>
      <c r="I567" s="10" t="str">
        <f t="shared" ca="1" si="60"/>
        <v/>
      </c>
      <c r="K567" s="4" t="e">
        <f t="shared" ca="1" si="54"/>
        <v>#N/A</v>
      </c>
      <c r="L567" s="4" t="e">
        <f>VLOOKUP(C567,_resources!B:D,3,0)</f>
        <v>#N/A</v>
      </c>
      <c r="M567" s="4" t="e" cm="1">
        <f t="array" aca="1" ref="M567" ca="1">IF(abbrAtEnd,"",L567&amp;"-")&amp;E567&amp;"-"&amp;INDIRECT(OFFSET(element3,MATCH($C567,resources,0)-1,0))&amp;"-"&amp;INDIRECT(OFFSET(element4,MATCH($C567,resources,0)-1,0))&amp;"-"&amp;INDIRECT(OFFSET(element5,MATCH($C567,resources,0)-1,0))&amp;IF(OFFSET(element6,MATCH($C567,resources,0)-1,0)="","","-"&amp;INDIRECT(OFFSET(element6,MATCH($C567,resources,0)-1,0)))&amp;IF(abbrAtEnd,"-"&amp;L567,"")</f>
        <v>#N/A</v>
      </c>
      <c r="N567" s="4" t="str">
        <f t="shared" si="57"/>
        <v>-000</v>
      </c>
      <c r="O567" s="4">
        <f ca="1">IF(totalElements+COUNTIF(Entities!$C$10,"*")+COUNTIF(B567:C567,"*")+COUNTIF(E567:F567,"*")=9,1,0)</f>
        <v>0</v>
      </c>
      <c r="P567" s="4">
        <f>COUNTIF($C$6:C567,C567)</f>
        <v>0</v>
      </c>
      <c r="Q567" s="4">
        <f ca="1">IF(ISNA(M567),0,COUNTIF($M$6:M567,M567))</f>
        <v>0</v>
      </c>
      <c r="R567" s="4" t="e">
        <f t="shared" ca="1" si="56"/>
        <v>#N/A</v>
      </c>
      <c r="S567" s="4">
        <f ca="1">IF(ISNA(M567),0,COUNTIF($R$6:R567,R567))</f>
        <v>0</v>
      </c>
      <c r="T567" s="4" t="e">
        <f t="shared" ca="1" si="55"/>
        <v>#N/A</v>
      </c>
    </row>
    <row r="568" spans="2:20" x14ac:dyDescent="0.3">
      <c r="B568" s="48"/>
      <c r="C568" s="48"/>
      <c r="D568" s="10" t="str">
        <f t="shared" ca="1" si="59"/>
        <v/>
      </c>
      <c r="E568" s="48"/>
      <c r="F568" s="48"/>
      <c r="G568" s="10" t="str">
        <f t="shared" ca="1" si="58"/>
        <v/>
      </c>
      <c r="I568" s="10" t="str">
        <f t="shared" ca="1" si="60"/>
        <v/>
      </c>
      <c r="K568" s="4" t="e">
        <f t="shared" ca="1" si="54"/>
        <v>#N/A</v>
      </c>
      <c r="L568" s="4" t="e">
        <f>VLOOKUP(C568,_resources!B:D,3,0)</f>
        <v>#N/A</v>
      </c>
      <c r="M568" s="4" t="e" cm="1">
        <f t="array" aca="1" ref="M568" ca="1">IF(abbrAtEnd,"",L568&amp;"-")&amp;E568&amp;"-"&amp;INDIRECT(OFFSET(element3,MATCH($C568,resources,0)-1,0))&amp;"-"&amp;INDIRECT(OFFSET(element4,MATCH($C568,resources,0)-1,0))&amp;"-"&amp;INDIRECT(OFFSET(element5,MATCH($C568,resources,0)-1,0))&amp;IF(OFFSET(element6,MATCH($C568,resources,0)-1,0)="","","-"&amp;INDIRECT(OFFSET(element6,MATCH($C568,resources,0)-1,0)))&amp;IF(abbrAtEnd,"-"&amp;L568,"")</f>
        <v>#N/A</v>
      </c>
      <c r="N568" s="4" t="str">
        <f t="shared" si="57"/>
        <v>-000</v>
      </c>
      <c r="O568" s="4">
        <f ca="1">IF(totalElements+COUNTIF(Entities!$C$10,"*")+COUNTIF(B568:C568,"*")+COUNTIF(E568:F568,"*")=9,1,0)</f>
        <v>0</v>
      </c>
      <c r="P568" s="4">
        <f>COUNTIF($C$6:C568,C568)</f>
        <v>0</v>
      </c>
      <c r="Q568" s="4">
        <f ca="1">IF(ISNA(M568),0,COUNTIF($M$6:M568,M568))</f>
        <v>0</v>
      </c>
      <c r="R568" s="4" t="e">
        <f t="shared" ca="1" si="56"/>
        <v>#N/A</v>
      </c>
      <c r="S568" s="4">
        <f ca="1">IF(ISNA(M568),0,COUNTIF($R$6:R568,R568))</f>
        <v>0</v>
      </c>
      <c r="T568" s="4" t="e">
        <f t="shared" ca="1" si="55"/>
        <v>#N/A</v>
      </c>
    </row>
    <row r="569" spans="2:20" x14ac:dyDescent="0.3">
      <c r="B569" s="48"/>
      <c r="C569" s="48"/>
      <c r="D569" s="10" t="str">
        <f t="shared" ca="1" si="59"/>
        <v/>
      </c>
      <c r="E569" s="48"/>
      <c r="F569" s="48"/>
      <c r="G569" s="10" t="str">
        <f t="shared" ca="1" si="58"/>
        <v/>
      </c>
      <c r="I569" s="10" t="str">
        <f t="shared" ca="1" si="60"/>
        <v/>
      </c>
      <c r="K569" s="4" t="e">
        <f t="shared" ca="1" si="54"/>
        <v>#N/A</v>
      </c>
      <c r="L569" s="4" t="e">
        <f>VLOOKUP(C569,_resources!B:D,3,0)</f>
        <v>#N/A</v>
      </c>
      <c r="M569" s="4" t="e" cm="1">
        <f t="array" aca="1" ref="M569" ca="1">IF(abbrAtEnd,"",L569&amp;"-")&amp;E569&amp;"-"&amp;INDIRECT(OFFSET(element3,MATCH($C569,resources,0)-1,0))&amp;"-"&amp;INDIRECT(OFFSET(element4,MATCH($C569,resources,0)-1,0))&amp;"-"&amp;INDIRECT(OFFSET(element5,MATCH($C569,resources,0)-1,0))&amp;IF(OFFSET(element6,MATCH($C569,resources,0)-1,0)="","","-"&amp;INDIRECT(OFFSET(element6,MATCH($C569,resources,0)-1,0)))&amp;IF(abbrAtEnd,"-"&amp;L569,"")</f>
        <v>#N/A</v>
      </c>
      <c r="N569" s="4" t="str">
        <f t="shared" si="57"/>
        <v>-000</v>
      </c>
      <c r="O569" s="4">
        <f ca="1">IF(totalElements+COUNTIF(Entities!$C$10,"*")+COUNTIF(B569:C569,"*")+COUNTIF(E569:F569,"*")=9,1,0)</f>
        <v>0</v>
      </c>
      <c r="P569" s="4">
        <f>COUNTIF($C$6:C569,C569)</f>
        <v>0</v>
      </c>
      <c r="Q569" s="4">
        <f ca="1">IF(ISNA(M569),0,COUNTIF($M$6:M569,M569))</f>
        <v>0</v>
      </c>
      <c r="R569" s="4" t="e">
        <f t="shared" ca="1" si="56"/>
        <v>#N/A</v>
      </c>
      <c r="S569" s="4">
        <f ca="1">IF(ISNA(M569),0,COUNTIF($R$6:R569,R569))</f>
        <v>0</v>
      </c>
      <c r="T569" s="4" t="e">
        <f t="shared" ca="1" si="55"/>
        <v>#N/A</v>
      </c>
    </row>
    <row r="570" spans="2:20" x14ac:dyDescent="0.3">
      <c r="B570" s="48"/>
      <c r="C570" s="48"/>
      <c r="D570" s="10" t="str">
        <f t="shared" ca="1" si="59"/>
        <v/>
      </c>
      <c r="E570" s="48"/>
      <c r="F570" s="48"/>
      <c r="G570" s="10" t="str">
        <f t="shared" ca="1" si="58"/>
        <v/>
      </c>
      <c r="I570" s="10" t="str">
        <f t="shared" ca="1" si="60"/>
        <v/>
      </c>
      <c r="K570" s="4" t="e">
        <f t="shared" ca="1" si="54"/>
        <v>#N/A</v>
      </c>
      <c r="L570" s="4" t="e">
        <f>VLOOKUP(C570,_resources!B:D,3,0)</f>
        <v>#N/A</v>
      </c>
      <c r="M570" s="4" t="e" cm="1">
        <f t="array" aca="1" ref="M570" ca="1">IF(abbrAtEnd,"",L570&amp;"-")&amp;E570&amp;"-"&amp;INDIRECT(OFFSET(element3,MATCH($C570,resources,0)-1,0))&amp;"-"&amp;INDIRECT(OFFSET(element4,MATCH($C570,resources,0)-1,0))&amp;"-"&amp;INDIRECT(OFFSET(element5,MATCH($C570,resources,0)-1,0))&amp;IF(OFFSET(element6,MATCH($C570,resources,0)-1,0)="","","-"&amp;INDIRECT(OFFSET(element6,MATCH($C570,resources,0)-1,0)))&amp;IF(abbrAtEnd,"-"&amp;L570,"")</f>
        <v>#N/A</v>
      </c>
      <c r="N570" s="4" t="str">
        <f t="shared" si="57"/>
        <v>-000</v>
      </c>
      <c r="O570" s="4">
        <f ca="1">IF(totalElements+COUNTIF(Entities!$C$10,"*")+COUNTIF(B570:C570,"*")+COUNTIF(E570:F570,"*")=9,1,0)</f>
        <v>0</v>
      </c>
      <c r="P570" s="4">
        <f>COUNTIF($C$6:C570,C570)</f>
        <v>0</v>
      </c>
      <c r="Q570" s="4">
        <f ca="1">IF(ISNA(M570),0,COUNTIF($M$6:M570,M570))</f>
        <v>0</v>
      </c>
      <c r="R570" s="4" t="e">
        <f t="shared" ca="1" si="56"/>
        <v>#N/A</v>
      </c>
      <c r="S570" s="4">
        <f ca="1">IF(ISNA(M570),0,COUNTIF($R$6:R570,R570))</f>
        <v>0</v>
      </c>
      <c r="T570" s="4" t="e">
        <f t="shared" ca="1" si="55"/>
        <v>#N/A</v>
      </c>
    </row>
    <row r="571" spans="2:20" x14ac:dyDescent="0.3">
      <c r="B571" s="48"/>
      <c r="C571" s="48"/>
      <c r="D571" s="10" t="str">
        <f t="shared" ca="1" si="59"/>
        <v/>
      </c>
      <c r="E571" s="48"/>
      <c r="F571" s="48"/>
      <c r="G571" s="10" t="str">
        <f t="shared" ca="1" si="58"/>
        <v/>
      </c>
      <c r="I571" s="10" t="str">
        <f t="shared" ca="1" si="60"/>
        <v/>
      </c>
      <c r="K571" s="4" t="e">
        <f t="shared" ca="1" si="54"/>
        <v>#N/A</v>
      </c>
      <c r="L571" s="4" t="e">
        <f>VLOOKUP(C571,_resources!B:D,3,0)</f>
        <v>#N/A</v>
      </c>
      <c r="M571" s="4" t="e" cm="1">
        <f t="array" aca="1" ref="M571" ca="1">IF(abbrAtEnd,"",L571&amp;"-")&amp;E571&amp;"-"&amp;INDIRECT(OFFSET(element3,MATCH($C571,resources,0)-1,0))&amp;"-"&amp;INDIRECT(OFFSET(element4,MATCH($C571,resources,0)-1,0))&amp;"-"&amp;INDIRECT(OFFSET(element5,MATCH($C571,resources,0)-1,0))&amp;IF(OFFSET(element6,MATCH($C571,resources,0)-1,0)="","","-"&amp;INDIRECT(OFFSET(element6,MATCH($C571,resources,0)-1,0)))&amp;IF(abbrAtEnd,"-"&amp;L571,"")</f>
        <v>#N/A</v>
      </c>
      <c r="N571" s="4" t="str">
        <f t="shared" si="57"/>
        <v>-000</v>
      </c>
      <c r="O571" s="4">
        <f ca="1">IF(totalElements+COUNTIF(Entities!$C$10,"*")+COUNTIF(B571:C571,"*")+COUNTIF(E571:F571,"*")=9,1,0)</f>
        <v>0</v>
      </c>
      <c r="P571" s="4">
        <f>COUNTIF($C$6:C571,C571)</f>
        <v>0</v>
      </c>
      <c r="Q571" s="4">
        <f ca="1">IF(ISNA(M571),0,COUNTIF($M$6:M571,M571))</f>
        <v>0</v>
      </c>
      <c r="R571" s="4" t="e">
        <f t="shared" ca="1" si="56"/>
        <v>#N/A</v>
      </c>
      <c r="S571" s="4">
        <f ca="1">IF(ISNA(M571),0,COUNTIF($R$6:R571,R571))</f>
        <v>0</v>
      </c>
      <c r="T571" s="4" t="e">
        <f t="shared" ca="1" si="55"/>
        <v>#N/A</v>
      </c>
    </row>
    <row r="572" spans="2:20" x14ac:dyDescent="0.3">
      <c r="B572" s="48"/>
      <c r="C572" s="48"/>
      <c r="D572" s="10" t="str">
        <f t="shared" ca="1" si="59"/>
        <v/>
      </c>
      <c r="E572" s="48"/>
      <c r="F572" s="48"/>
      <c r="G572" s="10" t="str">
        <f t="shared" ca="1" si="58"/>
        <v/>
      </c>
      <c r="I572" s="10" t="str">
        <f t="shared" ca="1" si="60"/>
        <v/>
      </c>
      <c r="K572" s="4" t="e">
        <f t="shared" ca="1" si="54"/>
        <v>#N/A</v>
      </c>
      <c r="L572" s="4" t="e">
        <f>VLOOKUP(C572,_resources!B:D,3,0)</f>
        <v>#N/A</v>
      </c>
      <c r="M572" s="4" t="e" cm="1">
        <f t="array" aca="1" ref="M572" ca="1">IF(abbrAtEnd,"",L572&amp;"-")&amp;E572&amp;"-"&amp;INDIRECT(OFFSET(element3,MATCH($C572,resources,0)-1,0))&amp;"-"&amp;INDIRECT(OFFSET(element4,MATCH($C572,resources,0)-1,0))&amp;"-"&amp;INDIRECT(OFFSET(element5,MATCH($C572,resources,0)-1,0))&amp;IF(OFFSET(element6,MATCH($C572,resources,0)-1,0)="","","-"&amp;INDIRECT(OFFSET(element6,MATCH($C572,resources,0)-1,0)))&amp;IF(abbrAtEnd,"-"&amp;L572,"")</f>
        <v>#N/A</v>
      </c>
      <c r="N572" s="4" t="str">
        <f t="shared" si="57"/>
        <v>-000</v>
      </c>
      <c r="O572" s="4">
        <f ca="1">IF(totalElements+COUNTIF(Entities!$C$10,"*")+COUNTIF(B572:C572,"*")+COUNTIF(E572:F572,"*")=9,1,0)</f>
        <v>0</v>
      </c>
      <c r="P572" s="4">
        <f>COUNTIF($C$6:C572,C572)</f>
        <v>0</v>
      </c>
      <c r="Q572" s="4">
        <f ca="1">IF(ISNA(M572),0,COUNTIF($M$6:M572,M572))</f>
        <v>0</v>
      </c>
      <c r="R572" s="4" t="e">
        <f t="shared" ca="1" si="56"/>
        <v>#N/A</v>
      </c>
      <c r="S572" s="4">
        <f ca="1">IF(ISNA(M572),0,COUNTIF($R$6:R572,R572))</f>
        <v>0</v>
      </c>
      <c r="T572" s="4" t="e">
        <f t="shared" ca="1" si="55"/>
        <v>#N/A</v>
      </c>
    </row>
    <row r="573" spans="2:20" x14ac:dyDescent="0.3">
      <c r="B573" s="48"/>
      <c r="C573" s="48"/>
      <c r="D573" s="10" t="str">
        <f t="shared" ca="1" si="59"/>
        <v/>
      </c>
      <c r="E573" s="48"/>
      <c r="F573" s="48"/>
      <c r="G573" s="10" t="str">
        <f t="shared" ca="1" si="58"/>
        <v/>
      </c>
      <c r="I573" s="10" t="str">
        <f t="shared" ca="1" si="60"/>
        <v/>
      </c>
      <c r="K573" s="4" t="e">
        <f t="shared" ca="1" si="54"/>
        <v>#N/A</v>
      </c>
      <c r="L573" s="4" t="e">
        <f>VLOOKUP(C573,_resources!B:D,3,0)</f>
        <v>#N/A</v>
      </c>
      <c r="M573" s="4" t="e" cm="1">
        <f t="array" aca="1" ref="M573" ca="1">IF(abbrAtEnd,"",L573&amp;"-")&amp;E573&amp;"-"&amp;INDIRECT(OFFSET(element3,MATCH($C573,resources,0)-1,0))&amp;"-"&amp;INDIRECT(OFFSET(element4,MATCH($C573,resources,0)-1,0))&amp;"-"&amp;INDIRECT(OFFSET(element5,MATCH($C573,resources,0)-1,0))&amp;IF(OFFSET(element6,MATCH($C573,resources,0)-1,0)="","","-"&amp;INDIRECT(OFFSET(element6,MATCH($C573,resources,0)-1,0)))&amp;IF(abbrAtEnd,"-"&amp;L573,"")</f>
        <v>#N/A</v>
      </c>
      <c r="N573" s="4" t="str">
        <f t="shared" si="57"/>
        <v>-000</v>
      </c>
      <c r="O573" s="4">
        <f ca="1">IF(totalElements+COUNTIF(Entities!$C$10,"*")+COUNTIF(B573:C573,"*")+COUNTIF(E573:F573,"*")=9,1,0)</f>
        <v>0</v>
      </c>
      <c r="P573" s="4">
        <f>COUNTIF($C$6:C573,C573)</f>
        <v>0</v>
      </c>
      <c r="Q573" s="4">
        <f ca="1">IF(ISNA(M573),0,COUNTIF($M$6:M573,M573))</f>
        <v>0</v>
      </c>
      <c r="R573" s="4" t="e">
        <f t="shared" ca="1" si="56"/>
        <v>#N/A</v>
      </c>
      <c r="S573" s="4">
        <f ca="1">IF(ISNA(M573),0,COUNTIF($R$6:R573,R573))</f>
        <v>0</v>
      </c>
      <c r="T573" s="4" t="e">
        <f t="shared" ca="1" si="55"/>
        <v>#N/A</v>
      </c>
    </row>
    <row r="574" spans="2:20" x14ac:dyDescent="0.3">
      <c r="B574" s="48"/>
      <c r="C574" s="48"/>
      <c r="D574" s="10" t="str">
        <f t="shared" ca="1" si="59"/>
        <v/>
      </c>
      <c r="E574" s="48"/>
      <c r="F574" s="48"/>
      <c r="G574" s="10" t="str">
        <f t="shared" ca="1" si="58"/>
        <v/>
      </c>
      <c r="I574" s="10" t="str">
        <f t="shared" ca="1" si="60"/>
        <v/>
      </c>
      <c r="K574" s="4" t="e">
        <f t="shared" ca="1" si="54"/>
        <v>#N/A</v>
      </c>
      <c r="L574" s="4" t="e">
        <f>VLOOKUP(C574,_resources!B:D,3,0)</f>
        <v>#N/A</v>
      </c>
      <c r="M574" s="4" t="e" cm="1">
        <f t="array" aca="1" ref="M574" ca="1">IF(abbrAtEnd,"",L574&amp;"-")&amp;E574&amp;"-"&amp;INDIRECT(OFFSET(element3,MATCH($C574,resources,0)-1,0))&amp;"-"&amp;INDIRECT(OFFSET(element4,MATCH($C574,resources,0)-1,0))&amp;"-"&amp;INDIRECT(OFFSET(element5,MATCH($C574,resources,0)-1,0))&amp;IF(OFFSET(element6,MATCH($C574,resources,0)-1,0)="","","-"&amp;INDIRECT(OFFSET(element6,MATCH($C574,resources,0)-1,0)))&amp;IF(abbrAtEnd,"-"&amp;L574,"")</f>
        <v>#N/A</v>
      </c>
      <c r="N574" s="4" t="str">
        <f t="shared" si="57"/>
        <v>-000</v>
      </c>
      <c r="O574" s="4">
        <f ca="1">IF(totalElements+COUNTIF(Entities!$C$10,"*")+COUNTIF(B574:C574,"*")+COUNTIF(E574:F574,"*")=9,1,0)</f>
        <v>0</v>
      </c>
      <c r="P574" s="4">
        <f>COUNTIF($C$6:C574,C574)</f>
        <v>0</v>
      </c>
      <c r="Q574" s="4">
        <f ca="1">IF(ISNA(M574),0,COUNTIF($M$6:M574,M574))</f>
        <v>0</v>
      </c>
      <c r="R574" s="4" t="e">
        <f t="shared" ca="1" si="56"/>
        <v>#N/A</v>
      </c>
      <c r="S574" s="4">
        <f ca="1">IF(ISNA(M574),0,COUNTIF($R$6:R574,R574))</f>
        <v>0</v>
      </c>
      <c r="T574" s="4" t="e">
        <f t="shared" ca="1" si="55"/>
        <v>#N/A</v>
      </c>
    </row>
    <row r="575" spans="2:20" x14ac:dyDescent="0.3">
      <c r="B575" s="48"/>
      <c r="C575" s="48"/>
      <c r="D575" s="10" t="str">
        <f t="shared" ca="1" si="59"/>
        <v/>
      </c>
      <c r="E575" s="48"/>
      <c r="F575" s="48"/>
      <c r="G575" s="10" t="str">
        <f t="shared" ca="1" si="58"/>
        <v/>
      </c>
      <c r="I575" s="10" t="str">
        <f t="shared" ca="1" si="60"/>
        <v/>
      </c>
      <c r="K575" s="4" t="e">
        <f t="shared" ca="1" si="54"/>
        <v>#N/A</v>
      </c>
      <c r="L575" s="4" t="e">
        <f>VLOOKUP(C575,_resources!B:D,3,0)</f>
        <v>#N/A</v>
      </c>
      <c r="M575" s="4" t="e" cm="1">
        <f t="array" aca="1" ref="M575" ca="1">IF(abbrAtEnd,"",L575&amp;"-")&amp;E575&amp;"-"&amp;INDIRECT(OFFSET(element3,MATCH($C575,resources,0)-1,0))&amp;"-"&amp;INDIRECT(OFFSET(element4,MATCH($C575,resources,0)-1,0))&amp;"-"&amp;INDIRECT(OFFSET(element5,MATCH($C575,resources,0)-1,0))&amp;IF(OFFSET(element6,MATCH($C575,resources,0)-1,0)="","","-"&amp;INDIRECT(OFFSET(element6,MATCH($C575,resources,0)-1,0)))&amp;IF(abbrAtEnd,"-"&amp;L575,"")</f>
        <v>#N/A</v>
      </c>
      <c r="N575" s="4" t="str">
        <f t="shared" si="57"/>
        <v>-000</v>
      </c>
      <c r="O575" s="4">
        <f ca="1">IF(totalElements+COUNTIF(Entities!$C$10,"*")+COUNTIF(B575:C575,"*")+COUNTIF(E575:F575,"*")=9,1,0)</f>
        <v>0</v>
      </c>
      <c r="P575" s="4">
        <f>COUNTIF($C$6:C575,C575)</f>
        <v>0</v>
      </c>
      <c r="Q575" s="4">
        <f ca="1">IF(ISNA(M575),0,COUNTIF($M$6:M575,M575))</f>
        <v>0</v>
      </c>
      <c r="R575" s="4" t="e">
        <f t="shared" ca="1" si="56"/>
        <v>#N/A</v>
      </c>
      <c r="S575" s="4">
        <f ca="1">IF(ISNA(M575),0,COUNTIF($R$6:R575,R575))</f>
        <v>0</v>
      </c>
      <c r="T575" s="4" t="e">
        <f t="shared" ca="1" si="55"/>
        <v>#N/A</v>
      </c>
    </row>
    <row r="576" spans="2:20" x14ac:dyDescent="0.3">
      <c r="B576" s="48"/>
      <c r="C576" s="48"/>
      <c r="D576" s="10" t="str">
        <f t="shared" ca="1" si="59"/>
        <v/>
      </c>
      <c r="E576" s="48"/>
      <c r="F576" s="48"/>
      <c r="G576" s="10" t="str">
        <f t="shared" ca="1" si="58"/>
        <v/>
      </c>
      <c r="I576" s="10" t="str">
        <f t="shared" ca="1" si="60"/>
        <v/>
      </c>
      <c r="K576" s="4" t="e">
        <f t="shared" ca="1" si="54"/>
        <v>#N/A</v>
      </c>
      <c r="L576" s="4" t="e">
        <f>VLOOKUP(C576,_resources!B:D,3,0)</f>
        <v>#N/A</v>
      </c>
      <c r="M576" s="4" t="e" cm="1">
        <f t="array" aca="1" ref="M576" ca="1">IF(abbrAtEnd,"",L576&amp;"-")&amp;E576&amp;"-"&amp;INDIRECT(OFFSET(element3,MATCH($C576,resources,0)-1,0))&amp;"-"&amp;INDIRECT(OFFSET(element4,MATCH($C576,resources,0)-1,0))&amp;"-"&amp;INDIRECT(OFFSET(element5,MATCH($C576,resources,0)-1,0))&amp;IF(OFFSET(element6,MATCH($C576,resources,0)-1,0)="","","-"&amp;INDIRECT(OFFSET(element6,MATCH($C576,resources,0)-1,0)))&amp;IF(abbrAtEnd,"-"&amp;L576,"")</f>
        <v>#N/A</v>
      </c>
      <c r="N576" s="4" t="str">
        <f t="shared" si="57"/>
        <v>-000</v>
      </c>
      <c r="O576" s="4">
        <f ca="1">IF(totalElements+COUNTIF(Entities!$C$10,"*")+COUNTIF(B576:C576,"*")+COUNTIF(E576:F576,"*")=9,1,0)</f>
        <v>0</v>
      </c>
      <c r="P576" s="4">
        <f>COUNTIF($C$6:C576,C576)</f>
        <v>0</v>
      </c>
      <c r="Q576" s="4">
        <f ca="1">IF(ISNA(M576),0,COUNTIF($M$6:M576,M576))</f>
        <v>0</v>
      </c>
      <c r="R576" s="4" t="e">
        <f t="shared" ca="1" si="56"/>
        <v>#N/A</v>
      </c>
      <c r="S576" s="4">
        <f ca="1">IF(ISNA(M576),0,COUNTIF($R$6:R576,R576))</f>
        <v>0</v>
      </c>
      <c r="T576" s="4" t="e">
        <f t="shared" ca="1" si="55"/>
        <v>#N/A</v>
      </c>
    </row>
    <row r="577" spans="2:20" x14ac:dyDescent="0.3">
      <c r="B577" s="48"/>
      <c r="C577" s="48"/>
      <c r="D577" s="10" t="str">
        <f t="shared" ca="1" si="59"/>
        <v/>
      </c>
      <c r="E577" s="48"/>
      <c r="F577" s="48"/>
      <c r="G577" s="10" t="str">
        <f t="shared" ca="1" si="58"/>
        <v/>
      </c>
      <c r="I577" s="10" t="str">
        <f t="shared" ca="1" si="60"/>
        <v/>
      </c>
      <c r="K577" s="4" t="e">
        <f t="shared" ca="1" si="54"/>
        <v>#N/A</v>
      </c>
      <c r="L577" s="4" t="e">
        <f>VLOOKUP(C577,_resources!B:D,3,0)</f>
        <v>#N/A</v>
      </c>
      <c r="M577" s="4" t="e" cm="1">
        <f t="array" aca="1" ref="M577" ca="1">IF(abbrAtEnd,"",L577&amp;"-")&amp;E577&amp;"-"&amp;INDIRECT(OFFSET(element3,MATCH($C577,resources,0)-1,0))&amp;"-"&amp;INDIRECT(OFFSET(element4,MATCH($C577,resources,0)-1,0))&amp;"-"&amp;INDIRECT(OFFSET(element5,MATCH($C577,resources,0)-1,0))&amp;IF(OFFSET(element6,MATCH($C577,resources,0)-1,0)="","","-"&amp;INDIRECT(OFFSET(element6,MATCH($C577,resources,0)-1,0)))&amp;IF(abbrAtEnd,"-"&amp;L577,"")</f>
        <v>#N/A</v>
      </c>
      <c r="N577" s="4" t="str">
        <f t="shared" si="57"/>
        <v>-000</v>
      </c>
      <c r="O577" s="4">
        <f ca="1">IF(totalElements+COUNTIF(Entities!$C$10,"*")+COUNTIF(B577:C577,"*")+COUNTIF(E577:F577,"*")=9,1,0)</f>
        <v>0</v>
      </c>
      <c r="P577" s="4">
        <f>COUNTIF($C$6:C577,C577)</f>
        <v>0</v>
      </c>
      <c r="Q577" s="4">
        <f ca="1">IF(ISNA(M577),0,COUNTIF($M$6:M577,M577))</f>
        <v>0</v>
      </c>
      <c r="R577" s="4" t="e">
        <f t="shared" ca="1" si="56"/>
        <v>#N/A</v>
      </c>
      <c r="S577" s="4">
        <f ca="1">IF(ISNA(M577),0,COUNTIF($R$6:R577,R577))</f>
        <v>0</v>
      </c>
      <c r="T577" s="4" t="e">
        <f t="shared" ca="1" si="55"/>
        <v>#N/A</v>
      </c>
    </row>
    <row r="578" spans="2:20" x14ac:dyDescent="0.3">
      <c r="B578" s="48"/>
      <c r="C578" s="48"/>
      <c r="D578" s="10" t="str">
        <f t="shared" ca="1" si="59"/>
        <v/>
      </c>
      <c r="E578" s="48"/>
      <c r="F578" s="48"/>
      <c r="G578" s="10" t="str">
        <f t="shared" ca="1" si="58"/>
        <v/>
      </c>
      <c r="I578" s="10" t="str">
        <f t="shared" ca="1" si="60"/>
        <v/>
      </c>
      <c r="K578" s="4" t="e">
        <f t="shared" ca="1" si="54"/>
        <v>#N/A</v>
      </c>
      <c r="L578" s="4" t="e">
        <f>VLOOKUP(C578,_resources!B:D,3,0)</f>
        <v>#N/A</v>
      </c>
      <c r="M578" s="4" t="e" cm="1">
        <f t="array" aca="1" ref="M578" ca="1">IF(abbrAtEnd,"",L578&amp;"-")&amp;E578&amp;"-"&amp;INDIRECT(OFFSET(element3,MATCH($C578,resources,0)-1,0))&amp;"-"&amp;INDIRECT(OFFSET(element4,MATCH($C578,resources,0)-1,0))&amp;"-"&amp;INDIRECT(OFFSET(element5,MATCH($C578,resources,0)-1,0))&amp;IF(OFFSET(element6,MATCH($C578,resources,0)-1,0)="","","-"&amp;INDIRECT(OFFSET(element6,MATCH($C578,resources,0)-1,0)))&amp;IF(abbrAtEnd,"-"&amp;L578,"")</f>
        <v>#N/A</v>
      </c>
      <c r="N578" s="4" t="str">
        <f t="shared" si="57"/>
        <v>-000</v>
      </c>
      <c r="O578" s="4">
        <f ca="1">IF(totalElements+COUNTIF(Entities!$C$10,"*")+COUNTIF(B578:C578,"*")+COUNTIF(E578:F578,"*")=9,1,0)</f>
        <v>0</v>
      </c>
      <c r="P578" s="4">
        <f>COUNTIF($C$6:C578,C578)</f>
        <v>0</v>
      </c>
      <c r="Q578" s="4">
        <f ca="1">IF(ISNA(M578),0,COUNTIF($M$6:M578,M578))</f>
        <v>0</v>
      </c>
      <c r="R578" s="4" t="e">
        <f t="shared" ca="1" si="56"/>
        <v>#N/A</v>
      </c>
      <c r="S578" s="4">
        <f ca="1">IF(ISNA(M578),0,COUNTIF($R$6:R578,R578))</f>
        <v>0</v>
      </c>
      <c r="T578" s="4" t="e">
        <f t="shared" ca="1" si="55"/>
        <v>#N/A</v>
      </c>
    </row>
    <row r="579" spans="2:20" x14ac:dyDescent="0.3">
      <c r="B579" s="48"/>
      <c r="C579" s="48"/>
      <c r="D579" s="10" t="str">
        <f t="shared" ca="1" si="59"/>
        <v/>
      </c>
      <c r="E579" s="48"/>
      <c r="F579" s="48"/>
      <c r="G579" s="10" t="str">
        <f t="shared" ca="1" si="58"/>
        <v/>
      </c>
      <c r="I579" s="10" t="str">
        <f t="shared" ca="1" si="60"/>
        <v/>
      </c>
      <c r="K579" s="4" t="e">
        <f t="shared" ca="1" si="54"/>
        <v>#N/A</v>
      </c>
      <c r="L579" s="4" t="e">
        <f>VLOOKUP(C579,_resources!B:D,3,0)</f>
        <v>#N/A</v>
      </c>
      <c r="M579" s="4" t="e" cm="1">
        <f t="array" aca="1" ref="M579" ca="1">IF(abbrAtEnd,"",L579&amp;"-")&amp;E579&amp;"-"&amp;INDIRECT(OFFSET(element3,MATCH($C579,resources,0)-1,0))&amp;"-"&amp;INDIRECT(OFFSET(element4,MATCH($C579,resources,0)-1,0))&amp;"-"&amp;INDIRECT(OFFSET(element5,MATCH($C579,resources,0)-1,0))&amp;IF(OFFSET(element6,MATCH($C579,resources,0)-1,0)="","","-"&amp;INDIRECT(OFFSET(element6,MATCH($C579,resources,0)-1,0)))&amp;IF(abbrAtEnd,"-"&amp;L579,"")</f>
        <v>#N/A</v>
      </c>
      <c r="N579" s="4" t="str">
        <f t="shared" si="57"/>
        <v>-000</v>
      </c>
      <c r="O579" s="4">
        <f ca="1">IF(totalElements+COUNTIF(Entities!$C$10,"*")+COUNTIF(B579:C579,"*")+COUNTIF(E579:F579,"*")=9,1,0)</f>
        <v>0</v>
      </c>
      <c r="P579" s="4">
        <f>COUNTIF($C$6:C579,C579)</f>
        <v>0</v>
      </c>
      <c r="Q579" s="4">
        <f ca="1">IF(ISNA(M579),0,COUNTIF($M$6:M579,M579))</f>
        <v>0</v>
      </c>
      <c r="R579" s="4" t="e">
        <f t="shared" ca="1" si="56"/>
        <v>#N/A</v>
      </c>
      <c r="S579" s="4">
        <f ca="1">IF(ISNA(M579),0,COUNTIF($R$6:R579,R579))</f>
        <v>0</v>
      </c>
      <c r="T579" s="4" t="e">
        <f t="shared" ca="1" si="55"/>
        <v>#N/A</v>
      </c>
    </row>
    <row r="580" spans="2:20" x14ac:dyDescent="0.3">
      <c r="B580" s="48"/>
      <c r="C580" s="48"/>
      <c r="D580" s="10" t="str">
        <f t="shared" ca="1" si="59"/>
        <v/>
      </c>
      <c r="E580" s="48"/>
      <c r="F580" s="48"/>
      <c r="G580" s="10" t="str">
        <f t="shared" ca="1" si="58"/>
        <v/>
      </c>
      <c r="I580" s="10" t="str">
        <f t="shared" ca="1" si="60"/>
        <v/>
      </c>
      <c r="K580" s="4" t="e">
        <f t="shared" ca="1" si="54"/>
        <v>#N/A</v>
      </c>
      <c r="L580" s="4" t="e">
        <f>VLOOKUP(C580,_resources!B:D,3,0)</f>
        <v>#N/A</v>
      </c>
      <c r="M580" s="4" t="e" cm="1">
        <f t="array" aca="1" ref="M580" ca="1">IF(abbrAtEnd,"",L580&amp;"-")&amp;E580&amp;"-"&amp;INDIRECT(OFFSET(element3,MATCH($C580,resources,0)-1,0))&amp;"-"&amp;INDIRECT(OFFSET(element4,MATCH($C580,resources,0)-1,0))&amp;"-"&amp;INDIRECT(OFFSET(element5,MATCH($C580,resources,0)-1,0))&amp;IF(OFFSET(element6,MATCH($C580,resources,0)-1,0)="","","-"&amp;INDIRECT(OFFSET(element6,MATCH($C580,resources,0)-1,0)))&amp;IF(abbrAtEnd,"-"&amp;L580,"")</f>
        <v>#N/A</v>
      </c>
      <c r="N580" s="4" t="str">
        <f t="shared" si="57"/>
        <v>-000</v>
      </c>
      <c r="O580" s="4">
        <f ca="1">IF(totalElements+COUNTIF(Entities!$C$10,"*")+COUNTIF(B580:C580,"*")+COUNTIF(E580:F580,"*")=9,1,0)</f>
        <v>0</v>
      </c>
      <c r="P580" s="4">
        <f>COUNTIF($C$6:C580,C580)</f>
        <v>0</v>
      </c>
      <c r="Q580" s="4">
        <f ca="1">IF(ISNA(M580),0,COUNTIF($M$6:M580,M580))</f>
        <v>0</v>
      </c>
      <c r="R580" s="4" t="e">
        <f t="shared" ca="1" si="56"/>
        <v>#N/A</v>
      </c>
      <c r="S580" s="4">
        <f ca="1">IF(ISNA(M580),0,COUNTIF($R$6:R580,R580))</f>
        <v>0</v>
      </c>
      <c r="T580" s="4" t="e">
        <f t="shared" ca="1" si="55"/>
        <v>#N/A</v>
      </c>
    </row>
    <row r="581" spans="2:20" x14ac:dyDescent="0.3">
      <c r="B581" s="48"/>
      <c r="C581" s="48"/>
      <c r="D581" s="10" t="str">
        <f t="shared" ca="1" si="59"/>
        <v/>
      </c>
      <c r="E581" s="48"/>
      <c r="F581" s="48"/>
      <c r="G581" s="10" t="str">
        <f t="shared" ca="1" si="58"/>
        <v/>
      </c>
      <c r="I581" s="10" t="str">
        <f t="shared" ca="1" si="60"/>
        <v/>
      </c>
      <c r="K581" s="4" t="e">
        <f t="shared" ca="1" si="54"/>
        <v>#N/A</v>
      </c>
      <c r="L581" s="4" t="e">
        <f>VLOOKUP(C581,_resources!B:D,3,0)</f>
        <v>#N/A</v>
      </c>
      <c r="M581" s="4" t="e" cm="1">
        <f t="array" aca="1" ref="M581" ca="1">IF(abbrAtEnd,"",L581&amp;"-")&amp;E581&amp;"-"&amp;INDIRECT(OFFSET(element3,MATCH($C581,resources,0)-1,0))&amp;"-"&amp;INDIRECT(OFFSET(element4,MATCH($C581,resources,0)-1,0))&amp;"-"&amp;INDIRECT(OFFSET(element5,MATCH($C581,resources,0)-1,0))&amp;IF(OFFSET(element6,MATCH($C581,resources,0)-1,0)="","","-"&amp;INDIRECT(OFFSET(element6,MATCH($C581,resources,0)-1,0)))&amp;IF(abbrAtEnd,"-"&amp;L581,"")</f>
        <v>#N/A</v>
      </c>
      <c r="N581" s="4" t="str">
        <f t="shared" si="57"/>
        <v>-000</v>
      </c>
      <c r="O581" s="4">
        <f ca="1">IF(totalElements+COUNTIF(Entities!$C$10,"*")+COUNTIF(B581:C581,"*")+COUNTIF(E581:F581,"*")=9,1,0)</f>
        <v>0</v>
      </c>
      <c r="P581" s="4">
        <f>COUNTIF($C$6:C581,C581)</f>
        <v>0</v>
      </c>
      <c r="Q581" s="4">
        <f ca="1">IF(ISNA(M581),0,COUNTIF($M$6:M581,M581))</f>
        <v>0</v>
      </c>
      <c r="R581" s="4" t="e">
        <f t="shared" ca="1" si="56"/>
        <v>#N/A</v>
      </c>
      <c r="S581" s="4">
        <f ca="1">IF(ISNA(M581),0,COUNTIF($R$6:R581,R581))</f>
        <v>0</v>
      </c>
      <c r="T581" s="4" t="e">
        <f t="shared" ca="1" si="55"/>
        <v>#N/A</v>
      </c>
    </row>
    <row r="582" spans="2:20" x14ac:dyDescent="0.3">
      <c r="B582" s="48"/>
      <c r="C582" s="48"/>
      <c r="D582" s="10" t="str">
        <f t="shared" ca="1" si="59"/>
        <v/>
      </c>
      <c r="E582" s="48"/>
      <c r="F582" s="48"/>
      <c r="G582" s="10" t="str">
        <f t="shared" ca="1" si="58"/>
        <v/>
      </c>
      <c r="I582" s="10" t="str">
        <f t="shared" ca="1" si="60"/>
        <v/>
      </c>
      <c r="K582" s="4" t="e">
        <f t="shared" ref="K582:K645" ca="1" si="61">OFFSET(structure,MATCH($C582,resources,0)-1,0)</f>
        <v>#N/A</v>
      </c>
      <c r="L582" s="4" t="e">
        <f>VLOOKUP(C582,_resources!B:D,3,0)</f>
        <v>#N/A</v>
      </c>
      <c r="M582" s="4" t="e" cm="1">
        <f t="array" aca="1" ref="M582" ca="1">IF(abbrAtEnd,"",L582&amp;"-")&amp;E582&amp;"-"&amp;INDIRECT(OFFSET(element3,MATCH($C582,resources,0)-1,0))&amp;"-"&amp;INDIRECT(OFFSET(element4,MATCH($C582,resources,0)-1,0))&amp;"-"&amp;INDIRECT(OFFSET(element5,MATCH($C582,resources,0)-1,0))&amp;IF(OFFSET(element6,MATCH($C582,resources,0)-1,0)="","","-"&amp;INDIRECT(OFFSET(element6,MATCH($C582,resources,0)-1,0)))&amp;IF(abbrAtEnd,"-"&amp;L582,"")</f>
        <v>#N/A</v>
      </c>
      <c r="N582" s="4" t="str">
        <f t="shared" si="57"/>
        <v>-000</v>
      </c>
      <c r="O582" s="4">
        <f ca="1">IF(totalElements+COUNTIF(Entities!$C$10,"*")+COUNTIF(B582:C582,"*")+COUNTIF(E582:F582,"*")=9,1,0)</f>
        <v>0</v>
      </c>
      <c r="P582" s="4">
        <f>COUNTIF($C$6:C582,C582)</f>
        <v>0</v>
      </c>
      <c r="Q582" s="4">
        <f ca="1">IF(ISNA(M582),0,COUNTIF($M$6:M582,M582))</f>
        <v>0</v>
      </c>
      <c r="R582" s="4" t="e">
        <f t="shared" ca="1" si="56"/>
        <v>#N/A</v>
      </c>
      <c r="S582" s="4">
        <f ca="1">IF(ISNA(M582),0,COUNTIF($R$6:R582,R582))</f>
        <v>0</v>
      </c>
      <c r="T582" s="4" t="e">
        <f t="shared" ref="T582:T645" ca="1" si="62">OFFSET(maxLength,MATCH($C582,resources,0)-1,0)</f>
        <v>#N/A</v>
      </c>
    </row>
    <row r="583" spans="2:20" x14ac:dyDescent="0.3">
      <c r="B583" s="48"/>
      <c r="C583" s="48"/>
      <c r="D583" s="10" t="str">
        <f t="shared" ca="1" si="59"/>
        <v/>
      </c>
      <c r="E583" s="48"/>
      <c r="F583" s="48"/>
      <c r="G583" s="10" t="str">
        <f t="shared" ca="1" si="58"/>
        <v/>
      </c>
      <c r="I583" s="10" t="str">
        <f t="shared" ca="1" si="60"/>
        <v/>
      </c>
      <c r="K583" s="4" t="e">
        <f t="shared" ca="1" si="61"/>
        <v>#N/A</v>
      </c>
      <c r="L583" s="4" t="e">
        <f>VLOOKUP(C583,_resources!B:D,3,0)</f>
        <v>#N/A</v>
      </c>
      <c r="M583" s="4" t="e" cm="1">
        <f t="array" aca="1" ref="M583" ca="1">IF(abbrAtEnd,"",L583&amp;"-")&amp;E583&amp;"-"&amp;INDIRECT(OFFSET(element3,MATCH($C583,resources,0)-1,0))&amp;"-"&amp;INDIRECT(OFFSET(element4,MATCH($C583,resources,0)-1,0))&amp;"-"&amp;INDIRECT(OFFSET(element5,MATCH($C583,resources,0)-1,0))&amp;IF(OFFSET(element6,MATCH($C583,resources,0)-1,0)="","","-"&amp;INDIRECT(OFFSET(element6,MATCH($C583,resources,0)-1,0)))&amp;IF(abbrAtEnd,"-"&amp;L583,"")</f>
        <v>#N/A</v>
      </c>
      <c r="N583" s="4" t="str">
        <f t="shared" si="57"/>
        <v>-000</v>
      </c>
      <c r="O583" s="4">
        <f ca="1">IF(totalElements+COUNTIF(Entities!$C$10,"*")+COUNTIF(B583:C583,"*")+COUNTIF(E583:F583,"*")=9,1,0)</f>
        <v>0</v>
      </c>
      <c r="P583" s="4">
        <f>COUNTIF($C$6:C583,C583)</f>
        <v>0</v>
      </c>
      <c r="Q583" s="4">
        <f ca="1">IF(ISNA(M583),0,COUNTIF($M$6:M583,M583))</f>
        <v>0</v>
      </c>
      <c r="R583" s="4" t="e">
        <f t="shared" ref="R583:R646" ca="1" si="63">F583&amp;"__"&amp;M583</f>
        <v>#N/A</v>
      </c>
      <c r="S583" s="4">
        <f ca="1">IF(ISNA(M583),0,COUNTIF($R$6:R583,R583))</f>
        <v>0</v>
      </c>
      <c r="T583" s="4" t="e">
        <f t="shared" ca="1" si="62"/>
        <v>#N/A</v>
      </c>
    </row>
    <row r="584" spans="2:20" x14ac:dyDescent="0.3">
      <c r="B584" s="48"/>
      <c r="C584" s="48"/>
      <c r="D584" s="10" t="str">
        <f t="shared" ca="1" si="59"/>
        <v/>
      </c>
      <c r="E584" s="48"/>
      <c r="F584" s="48"/>
      <c r="G584" s="10" t="str">
        <f t="shared" ca="1" si="58"/>
        <v/>
      </c>
      <c r="I584" s="10" t="str">
        <f t="shared" ca="1" si="60"/>
        <v/>
      </c>
      <c r="K584" s="4" t="e">
        <f t="shared" ca="1" si="61"/>
        <v>#N/A</v>
      </c>
      <c r="L584" s="4" t="e">
        <f>VLOOKUP(C584,_resources!B:D,3,0)</f>
        <v>#N/A</v>
      </c>
      <c r="M584" s="4" t="e" cm="1">
        <f t="array" aca="1" ref="M584" ca="1">IF(abbrAtEnd,"",L584&amp;"-")&amp;E584&amp;"-"&amp;INDIRECT(OFFSET(element3,MATCH($C584,resources,0)-1,0))&amp;"-"&amp;INDIRECT(OFFSET(element4,MATCH($C584,resources,0)-1,0))&amp;"-"&amp;INDIRECT(OFFSET(element5,MATCH($C584,resources,0)-1,0))&amp;IF(OFFSET(element6,MATCH($C584,resources,0)-1,0)="","","-"&amp;INDIRECT(OFFSET(element6,MATCH($C584,resources,0)-1,0)))&amp;IF(abbrAtEnd,"-"&amp;L584,"")</f>
        <v>#N/A</v>
      </c>
      <c r="N584" s="4" t="str">
        <f t="shared" si="57"/>
        <v>-000</v>
      </c>
      <c r="O584" s="4">
        <f ca="1">IF(totalElements+COUNTIF(Entities!$C$10,"*")+COUNTIF(B584:C584,"*")+COUNTIF(E584:F584,"*")=9,1,0)</f>
        <v>0</v>
      </c>
      <c r="P584" s="4">
        <f>COUNTIF($C$6:C584,C584)</f>
        <v>0</v>
      </c>
      <c r="Q584" s="4">
        <f ca="1">IF(ISNA(M584),0,COUNTIF($M$6:M584,M584))</f>
        <v>0</v>
      </c>
      <c r="R584" s="4" t="e">
        <f t="shared" ca="1" si="63"/>
        <v>#N/A</v>
      </c>
      <c r="S584" s="4">
        <f ca="1">IF(ISNA(M584),0,COUNTIF($R$6:R584,R584))</f>
        <v>0</v>
      </c>
      <c r="T584" s="4" t="e">
        <f t="shared" ca="1" si="62"/>
        <v>#N/A</v>
      </c>
    </row>
    <row r="585" spans="2:20" x14ac:dyDescent="0.3">
      <c r="B585" s="48"/>
      <c r="C585" s="48"/>
      <c r="D585" s="10" t="str">
        <f t="shared" ca="1" si="59"/>
        <v/>
      </c>
      <c r="E585" s="48"/>
      <c r="F585" s="48"/>
      <c r="G585" s="10" t="str">
        <f t="shared" ca="1" si="58"/>
        <v/>
      </c>
      <c r="I585" s="10" t="str">
        <f t="shared" ca="1" si="60"/>
        <v/>
      </c>
      <c r="K585" s="4" t="e">
        <f t="shared" ca="1" si="61"/>
        <v>#N/A</v>
      </c>
      <c r="L585" s="4" t="e">
        <f>VLOOKUP(C585,_resources!B:D,3,0)</f>
        <v>#N/A</v>
      </c>
      <c r="M585" s="4" t="e" cm="1">
        <f t="array" aca="1" ref="M585" ca="1">IF(abbrAtEnd,"",L585&amp;"-")&amp;E585&amp;"-"&amp;INDIRECT(OFFSET(element3,MATCH($C585,resources,0)-1,0))&amp;"-"&amp;INDIRECT(OFFSET(element4,MATCH($C585,resources,0)-1,0))&amp;"-"&amp;INDIRECT(OFFSET(element5,MATCH($C585,resources,0)-1,0))&amp;IF(OFFSET(element6,MATCH($C585,resources,0)-1,0)="","","-"&amp;INDIRECT(OFFSET(element6,MATCH($C585,resources,0)-1,0)))&amp;IF(abbrAtEnd,"-"&amp;L585,"")</f>
        <v>#N/A</v>
      </c>
      <c r="N585" s="4" t="str">
        <f t="shared" si="57"/>
        <v>-000</v>
      </c>
      <c r="O585" s="4">
        <f ca="1">IF(totalElements+COUNTIF(Entities!$C$10,"*")+COUNTIF(B585:C585,"*")+COUNTIF(E585:F585,"*")=9,1,0)</f>
        <v>0</v>
      </c>
      <c r="P585" s="4">
        <f>COUNTIF($C$6:C585,C585)</f>
        <v>0</v>
      </c>
      <c r="Q585" s="4">
        <f ca="1">IF(ISNA(M585),0,COUNTIF($M$6:M585,M585))</f>
        <v>0</v>
      </c>
      <c r="R585" s="4" t="e">
        <f t="shared" ca="1" si="63"/>
        <v>#N/A</v>
      </c>
      <c r="S585" s="4">
        <f ca="1">IF(ISNA(M585),0,COUNTIF($R$6:R585,R585))</f>
        <v>0</v>
      </c>
      <c r="T585" s="4" t="e">
        <f t="shared" ca="1" si="62"/>
        <v>#N/A</v>
      </c>
    </row>
    <row r="586" spans="2:20" x14ac:dyDescent="0.3">
      <c r="B586" s="48"/>
      <c r="C586" s="48"/>
      <c r="D586" s="10" t="str">
        <f t="shared" ca="1" si="59"/>
        <v/>
      </c>
      <c r="E586" s="48"/>
      <c r="F586" s="48"/>
      <c r="G586" s="10" t="str">
        <f t="shared" ca="1" si="58"/>
        <v/>
      </c>
      <c r="I586" s="10" t="str">
        <f t="shared" ca="1" si="60"/>
        <v/>
      </c>
      <c r="K586" s="4" t="e">
        <f t="shared" ca="1" si="61"/>
        <v>#N/A</v>
      </c>
      <c r="L586" s="4" t="e">
        <f>VLOOKUP(C586,_resources!B:D,3,0)</f>
        <v>#N/A</v>
      </c>
      <c r="M586" s="4" t="e" cm="1">
        <f t="array" aca="1" ref="M586" ca="1">IF(abbrAtEnd,"",L586&amp;"-")&amp;E586&amp;"-"&amp;INDIRECT(OFFSET(element3,MATCH($C586,resources,0)-1,0))&amp;"-"&amp;INDIRECT(OFFSET(element4,MATCH($C586,resources,0)-1,0))&amp;"-"&amp;INDIRECT(OFFSET(element5,MATCH($C586,resources,0)-1,0))&amp;IF(OFFSET(element6,MATCH($C586,resources,0)-1,0)="","","-"&amp;INDIRECT(OFFSET(element6,MATCH($C586,resources,0)-1,0)))&amp;IF(abbrAtEnd,"-"&amp;L586,"")</f>
        <v>#N/A</v>
      </c>
      <c r="N586" s="4" t="str">
        <f t="shared" si="57"/>
        <v>-000</v>
      </c>
      <c r="O586" s="4">
        <f ca="1">IF(totalElements+COUNTIF(Entities!$C$10,"*")+COUNTIF(B586:C586,"*")+COUNTIF(E586:F586,"*")=9,1,0)</f>
        <v>0</v>
      </c>
      <c r="P586" s="4">
        <f>COUNTIF($C$6:C586,C586)</f>
        <v>0</v>
      </c>
      <c r="Q586" s="4">
        <f ca="1">IF(ISNA(M586),0,COUNTIF($M$6:M586,M586))</f>
        <v>0</v>
      </c>
      <c r="R586" s="4" t="e">
        <f t="shared" ca="1" si="63"/>
        <v>#N/A</v>
      </c>
      <c r="S586" s="4">
        <f ca="1">IF(ISNA(M586),0,COUNTIF($R$6:R586,R586))</f>
        <v>0</v>
      </c>
      <c r="T586" s="4" t="e">
        <f t="shared" ca="1" si="62"/>
        <v>#N/A</v>
      </c>
    </row>
    <row r="587" spans="2:20" x14ac:dyDescent="0.3">
      <c r="B587" s="48"/>
      <c r="C587" s="48"/>
      <c r="D587" s="10" t="str">
        <f t="shared" ca="1" si="59"/>
        <v/>
      </c>
      <c r="E587" s="48"/>
      <c r="F587" s="48"/>
      <c r="G587" s="10" t="str">
        <f t="shared" ca="1" si="58"/>
        <v/>
      </c>
      <c r="I587" s="10" t="str">
        <f t="shared" ca="1" si="60"/>
        <v/>
      </c>
      <c r="K587" s="4" t="e">
        <f t="shared" ca="1" si="61"/>
        <v>#N/A</v>
      </c>
      <c r="L587" s="4" t="e">
        <f>VLOOKUP(C587,_resources!B:D,3,0)</f>
        <v>#N/A</v>
      </c>
      <c r="M587" s="4" t="e" cm="1">
        <f t="array" aca="1" ref="M587" ca="1">IF(abbrAtEnd,"",L587&amp;"-")&amp;E587&amp;"-"&amp;INDIRECT(OFFSET(element3,MATCH($C587,resources,0)-1,0))&amp;"-"&amp;INDIRECT(OFFSET(element4,MATCH($C587,resources,0)-1,0))&amp;"-"&amp;INDIRECT(OFFSET(element5,MATCH($C587,resources,0)-1,0))&amp;IF(OFFSET(element6,MATCH($C587,resources,0)-1,0)="","","-"&amp;INDIRECT(OFFSET(element6,MATCH($C587,resources,0)-1,0)))&amp;IF(abbrAtEnd,"-"&amp;L587,"")</f>
        <v>#N/A</v>
      </c>
      <c r="N587" s="4" t="str">
        <f t="shared" si="57"/>
        <v>-000</v>
      </c>
      <c r="O587" s="4">
        <f ca="1">IF(totalElements+COUNTIF(Entities!$C$10,"*")+COUNTIF(B587:C587,"*")+COUNTIF(E587:F587,"*")=9,1,0)</f>
        <v>0</v>
      </c>
      <c r="P587" s="4">
        <f>COUNTIF($C$6:C587,C587)</f>
        <v>0</v>
      </c>
      <c r="Q587" s="4">
        <f ca="1">IF(ISNA(M587),0,COUNTIF($M$6:M587,M587))</f>
        <v>0</v>
      </c>
      <c r="R587" s="4" t="e">
        <f t="shared" ca="1" si="63"/>
        <v>#N/A</v>
      </c>
      <c r="S587" s="4">
        <f ca="1">IF(ISNA(M587),0,COUNTIF($R$6:R587,R587))</f>
        <v>0</v>
      </c>
      <c r="T587" s="4" t="e">
        <f t="shared" ca="1" si="62"/>
        <v>#N/A</v>
      </c>
    </row>
    <row r="588" spans="2:20" x14ac:dyDescent="0.3">
      <c r="B588" s="48"/>
      <c r="C588" s="48"/>
      <c r="D588" s="10" t="str">
        <f t="shared" ca="1" si="59"/>
        <v/>
      </c>
      <c r="E588" s="48"/>
      <c r="F588" s="48"/>
      <c r="G588" s="10" t="str">
        <f t="shared" ca="1" si="58"/>
        <v/>
      </c>
      <c r="I588" s="10" t="str">
        <f t="shared" ca="1" si="60"/>
        <v/>
      </c>
      <c r="K588" s="4" t="e">
        <f t="shared" ca="1" si="61"/>
        <v>#N/A</v>
      </c>
      <c r="L588" s="4" t="e">
        <f>VLOOKUP(C588,_resources!B:D,3,0)</f>
        <v>#N/A</v>
      </c>
      <c r="M588" s="4" t="e" cm="1">
        <f t="array" aca="1" ref="M588" ca="1">IF(abbrAtEnd,"",L588&amp;"-")&amp;E588&amp;"-"&amp;INDIRECT(OFFSET(element3,MATCH($C588,resources,0)-1,0))&amp;"-"&amp;INDIRECT(OFFSET(element4,MATCH($C588,resources,0)-1,0))&amp;"-"&amp;INDIRECT(OFFSET(element5,MATCH($C588,resources,0)-1,0))&amp;IF(OFFSET(element6,MATCH($C588,resources,0)-1,0)="","","-"&amp;INDIRECT(OFFSET(element6,MATCH($C588,resources,0)-1,0)))&amp;IF(abbrAtEnd,"-"&amp;L588,"")</f>
        <v>#N/A</v>
      </c>
      <c r="N588" s="4" t="str">
        <f t="shared" si="57"/>
        <v>-000</v>
      </c>
      <c r="O588" s="4">
        <f ca="1">IF(totalElements+COUNTIF(Entities!$C$10,"*")+COUNTIF(B588:C588,"*")+COUNTIF(E588:F588,"*")=9,1,0)</f>
        <v>0</v>
      </c>
      <c r="P588" s="4">
        <f>COUNTIF($C$6:C588,C588)</f>
        <v>0</v>
      </c>
      <c r="Q588" s="4">
        <f ca="1">IF(ISNA(M588),0,COUNTIF($M$6:M588,M588))</f>
        <v>0</v>
      </c>
      <c r="R588" s="4" t="e">
        <f t="shared" ca="1" si="63"/>
        <v>#N/A</v>
      </c>
      <c r="S588" s="4">
        <f ca="1">IF(ISNA(M588),0,COUNTIF($R$6:R588,R588))</f>
        <v>0</v>
      </c>
      <c r="T588" s="4" t="e">
        <f t="shared" ca="1" si="62"/>
        <v>#N/A</v>
      </c>
    </row>
    <row r="589" spans="2:20" x14ac:dyDescent="0.3">
      <c r="B589" s="48"/>
      <c r="C589" s="48"/>
      <c r="D589" s="10" t="str">
        <f t="shared" ca="1" si="59"/>
        <v/>
      </c>
      <c r="E589" s="48"/>
      <c r="F589" s="48"/>
      <c r="G589" s="10" t="str">
        <f t="shared" ca="1" si="58"/>
        <v/>
      </c>
      <c r="I589" s="10" t="str">
        <f t="shared" ca="1" si="60"/>
        <v/>
      </c>
      <c r="K589" s="4" t="e">
        <f t="shared" ca="1" si="61"/>
        <v>#N/A</v>
      </c>
      <c r="L589" s="4" t="e">
        <f>VLOOKUP(C589,_resources!B:D,3,0)</f>
        <v>#N/A</v>
      </c>
      <c r="M589" s="4" t="e" cm="1">
        <f t="array" aca="1" ref="M589" ca="1">IF(abbrAtEnd,"",L589&amp;"-")&amp;E589&amp;"-"&amp;INDIRECT(OFFSET(element3,MATCH($C589,resources,0)-1,0))&amp;"-"&amp;INDIRECT(OFFSET(element4,MATCH($C589,resources,0)-1,0))&amp;"-"&amp;INDIRECT(OFFSET(element5,MATCH($C589,resources,0)-1,0))&amp;IF(OFFSET(element6,MATCH($C589,resources,0)-1,0)="","","-"&amp;INDIRECT(OFFSET(element6,MATCH($C589,resources,0)-1,0)))&amp;IF(abbrAtEnd,"-"&amp;L589,"")</f>
        <v>#N/A</v>
      </c>
      <c r="N589" s="4" t="str">
        <f t="shared" si="57"/>
        <v>-000</v>
      </c>
      <c r="O589" s="4">
        <f ca="1">IF(totalElements+COUNTIF(Entities!$C$10,"*")+COUNTIF(B589:C589,"*")+COUNTIF(E589:F589,"*")=9,1,0)</f>
        <v>0</v>
      </c>
      <c r="P589" s="4">
        <f>COUNTIF($C$6:C589,C589)</f>
        <v>0</v>
      </c>
      <c r="Q589" s="4">
        <f ca="1">IF(ISNA(M589),0,COUNTIF($M$6:M589,M589))</f>
        <v>0</v>
      </c>
      <c r="R589" s="4" t="e">
        <f t="shared" ca="1" si="63"/>
        <v>#N/A</v>
      </c>
      <c r="S589" s="4">
        <f ca="1">IF(ISNA(M589),0,COUNTIF($R$6:R589,R589))</f>
        <v>0</v>
      </c>
      <c r="T589" s="4" t="e">
        <f t="shared" ca="1" si="62"/>
        <v>#N/A</v>
      </c>
    </row>
    <row r="590" spans="2:20" x14ac:dyDescent="0.3">
      <c r="B590" s="48"/>
      <c r="C590" s="48"/>
      <c r="D590" s="10" t="str">
        <f t="shared" ca="1" si="59"/>
        <v/>
      </c>
      <c r="E590" s="48"/>
      <c r="F590" s="48"/>
      <c r="G590" s="10" t="str">
        <f t="shared" ca="1" si="58"/>
        <v/>
      </c>
      <c r="I590" s="10" t="str">
        <f t="shared" ca="1" si="60"/>
        <v/>
      </c>
      <c r="K590" s="4" t="e">
        <f t="shared" ca="1" si="61"/>
        <v>#N/A</v>
      </c>
      <c r="L590" s="4" t="e">
        <f>VLOOKUP(C590,_resources!B:D,3,0)</f>
        <v>#N/A</v>
      </c>
      <c r="M590" s="4" t="e" cm="1">
        <f t="array" aca="1" ref="M590" ca="1">IF(abbrAtEnd,"",L590&amp;"-")&amp;E590&amp;"-"&amp;INDIRECT(OFFSET(element3,MATCH($C590,resources,0)-1,0))&amp;"-"&amp;INDIRECT(OFFSET(element4,MATCH($C590,resources,0)-1,0))&amp;"-"&amp;INDIRECT(OFFSET(element5,MATCH($C590,resources,0)-1,0))&amp;IF(OFFSET(element6,MATCH($C590,resources,0)-1,0)="","","-"&amp;INDIRECT(OFFSET(element6,MATCH($C590,resources,0)-1,0)))&amp;IF(abbrAtEnd,"-"&amp;L590,"")</f>
        <v>#N/A</v>
      </c>
      <c r="N590" s="4" t="str">
        <f t="shared" ref="N590:N653" si="64">IF($M$4,"-"&amp;TEXT(P590,"000"),"-"&amp;TEXT(Q590,"000"))</f>
        <v>-000</v>
      </c>
      <c r="O590" s="4">
        <f ca="1">IF(totalElements+COUNTIF(Entities!$C$10,"*")+COUNTIF(B590:C590,"*")+COUNTIF(E590:F590,"*")=9,1,0)</f>
        <v>0</v>
      </c>
      <c r="P590" s="4">
        <f>COUNTIF($C$6:C590,C590)</f>
        <v>0</v>
      </c>
      <c r="Q590" s="4">
        <f ca="1">IF(ISNA(M590),0,COUNTIF($M$6:M590,M590))</f>
        <v>0</v>
      </c>
      <c r="R590" s="4" t="e">
        <f t="shared" ca="1" si="63"/>
        <v>#N/A</v>
      </c>
      <c r="S590" s="4">
        <f ca="1">IF(ISNA(M590),0,COUNTIF($R$6:R590,R590))</f>
        <v>0</v>
      </c>
      <c r="T590" s="4" t="e">
        <f t="shared" ca="1" si="62"/>
        <v>#N/A</v>
      </c>
    </row>
    <row r="591" spans="2:20" x14ac:dyDescent="0.3">
      <c r="B591" s="48"/>
      <c r="C591" s="48"/>
      <c r="D591" s="10" t="str">
        <f t="shared" ca="1" si="59"/>
        <v/>
      </c>
      <c r="E591" s="48"/>
      <c r="F591" s="48"/>
      <c r="G591" s="10" t="str">
        <f t="shared" ca="1" si="58"/>
        <v/>
      </c>
      <c r="I591" s="10" t="str">
        <f t="shared" ca="1" si="60"/>
        <v/>
      </c>
      <c r="K591" s="4" t="e">
        <f t="shared" ca="1" si="61"/>
        <v>#N/A</v>
      </c>
      <c r="L591" s="4" t="e">
        <f>VLOOKUP(C591,_resources!B:D,3,0)</f>
        <v>#N/A</v>
      </c>
      <c r="M591" s="4" t="e" cm="1">
        <f t="array" aca="1" ref="M591" ca="1">IF(abbrAtEnd,"",L591&amp;"-")&amp;E591&amp;"-"&amp;INDIRECT(OFFSET(element3,MATCH($C591,resources,0)-1,0))&amp;"-"&amp;INDIRECT(OFFSET(element4,MATCH($C591,resources,0)-1,0))&amp;"-"&amp;INDIRECT(OFFSET(element5,MATCH($C591,resources,0)-1,0))&amp;IF(OFFSET(element6,MATCH($C591,resources,0)-1,0)="","","-"&amp;INDIRECT(OFFSET(element6,MATCH($C591,resources,0)-1,0)))&amp;IF(abbrAtEnd,"-"&amp;L591,"")</f>
        <v>#N/A</v>
      </c>
      <c r="N591" s="4" t="str">
        <f t="shared" si="64"/>
        <v>-000</v>
      </c>
      <c r="O591" s="4">
        <f ca="1">IF(totalElements+COUNTIF(Entities!$C$10,"*")+COUNTIF(B591:C591,"*")+COUNTIF(E591:F591,"*")=9,1,0)</f>
        <v>0</v>
      </c>
      <c r="P591" s="4">
        <f>COUNTIF($C$6:C591,C591)</f>
        <v>0</v>
      </c>
      <c r="Q591" s="4">
        <f ca="1">IF(ISNA(M591),0,COUNTIF($M$6:M591,M591))</f>
        <v>0</v>
      </c>
      <c r="R591" s="4" t="e">
        <f t="shared" ca="1" si="63"/>
        <v>#N/A</v>
      </c>
      <c r="S591" s="4">
        <f ca="1">IF(ISNA(M591),0,COUNTIF($R$6:R591,R591))</f>
        <v>0</v>
      </c>
      <c r="T591" s="4" t="e">
        <f t="shared" ca="1" si="62"/>
        <v>#N/A</v>
      </c>
    </row>
    <row r="592" spans="2:20" x14ac:dyDescent="0.3">
      <c r="B592" s="48"/>
      <c r="C592" s="48"/>
      <c r="D592" s="10" t="str">
        <f t="shared" ca="1" si="59"/>
        <v/>
      </c>
      <c r="E592" s="48"/>
      <c r="F592" s="48"/>
      <c r="G592" s="10" t="str">
        <f t="shared" ca="1" si="58"/>
        <v/>
      </c>
      <c r="I592" s="10" t="str">
        <f t="shared" ca="1" si="60"/>
        <v/>
      </c>
      <c r="K592" s="4" t="e">
        <f t="shared" ca="1" si="61"/>
        <v>#N/A</v>
      </c>
      <c r="L592" s="4" t="e">
        <f>VLOOKUP(C592,_resources!B:D,3,0)</f>
        <v>#N/A</v>
      </c>
      <c r="M592" s="4" t="e" cm="1">
        <f t="array" aca="1" ref="M592" ca="1">IF(abbrAtEnd,"",L592&amp;"-")&amp;E592&amp;"-"&amp;INDIRECT(OFFSET(element3,MATCH($C592,resources,0)-1,0))&amp;"-"&amp;INDIRECT(OFFSET(element4,MATCH($C592,resources,0)-1,0))&amp;"-"&amp;INDIRECT(OFFSET(element5,MATCH($C592,resources,0)-1,0))&amp;IF(OFFSET(element6,MATCH($C592,resources,0)-1,0)="","","-"&amp;INDIRECT(OFFSET(element6,MATCH($C592,resources,0)-1,0)))&amp;IF(abbrAtEnd,"-"&amp;L592,"")</f>
        <v>#N/A</v>
      </c>
      <c r="N592" s="4" t="str">
        <f t="shared" si="64"/>
        <v>-000</v>
      </c>
      <c r="O592" s="4">
        <f ca="1">IF(totalElements+COUNTIF(Entities!$C$10,"*")+COUNTIF(B592:C592,"*")+COUNTIF(E592:F592,"*")=9,1,0)</f>
        <v>0</v>
      </c>
      <c r="P592" s="4">
        <f>COUNTIF($C$6:C592,C592)</f>
        <v>0</v>
      </c>
      <c r="Q592" s="4">
        <f ca="1">IF(ISNA(M592),0,COUNTIF($M$6:M592,M592))</f>
        <v>0</v>
      </c>
      <c r="R592" s="4" t="e">
        <f t="shared" ca="1" si="63"/>
        <v>#N/A</v>
      </c>
      <c r="S592" s="4">
        <f ca="1">IF(ISNA(M592),0,COUNTIF($R$6:R592,R592))</f>
        <v>0</v>
      </c>
      <c r="T592" s="4" t="e">
        <f t="shared" ca="1" si="62"/>
        <v>#N/A</v>
      </c>
    </row>
    <row r="593" spans="2:20" x14ac:dyDescent="0.3">
      <c r="B593" s="48"/>
      <c r="C593" s="48"/>
      <c r="D593" s="10" t="str">
        <f t="shared" ca="1" si="59"/>
        <v/>
      </c>
      <c r="E593" s="48"/>
      <c r="F593" s="48"/>
      <c r="G593" s="10" t="str">
        <f t="shared" ca="1" si="58"/>
        <v/>
      </c>
      <c r="I593" s="10" t="str">
        <f t="shared" ca="1" si="60"/>
        <v/>
      </c>
      <c r="K593" s="4" t="e">
        <f t="shared" ca="1" si="61"/>
        <v>#N/A</v>
      </c>
      <c r="L593" s="4" t="e">
        <f>VLOOKUP(C593,_resources!B:D,3,0)</f>
        <v>#N/A</v>
      </c>
      <c r="M593" s="4" t="e" cm="1">
        <f t="array" aca="1" ref="M593" ca="1">IF(abbrAtEnd,"",L593&amp;"-")&amp;E593&amp;"-"&amp;INDIRECT(OFFSET(element3,MATCH($C593,resources,0)-1,0))&amp;"-"&amp;INDIRECT(OFFSET(element4,MATCH($C593,resources,0)-1,0))&amp;"-"&amp;INDIRECT(OFFSET(element5,MATCH($C593,resources,0)-1,0))&amp;IF(OFFSET(element6,MATCH($C593,resources,0)-1,0)="","","-"&amp;INDIRECT(OFFSET(element6,MATCH($C593,resources,0)-1,0)))&amp;IF(abbrAtEnd,"-"&amp;L593,"")</f>
        <v>#N/A</v>
      </c>
      <c r="N593" s="4" t="str">
        <f t="shared" si="64"/>
        <v>-000</v>
      </c>
      <c r="O593" s="4">
        <f ca="1">IF(totalElements+COUNTIF(Entities!$C$10,"*")+COUNTIF(B593:C593,"*")+COUNTIF(E593:F593,"*")=9,1,0)</f>
        <v>0</v>
      </c>
      <c r="P593" s="4">
        <f>COUNTIF($C$6:C593,C593)</f>
        <v>0</v>
      </c>
      <c r="Q593" s="4">
        <f ca="1">IF(ISNA(M593),0,COUNTIF($M$6:M593,M593))</f>
        <v>0</v>
      </c>
      <c r="R593" s="4" t="e">
        <f t="shared" ca="1" si="63"/>
        <v>#N/A</v>
      </c>
      <c r="S593" s="4">
        <f ca="1">IF(ISNA(M593),0,COUNTIF($R$6:R593,R593))</f>
        <v>0</v>
      </c>
      <c r="T593" s="4" t="e">
        <f t="shared" ca="1" si="62"/>
        <v>#N/A</v>
      </c>
    </row>
    <row r="594" spans="2:20" x14ac:dyDescent="0.3">
      <c r="B594" s="48"/>
      <c r="C594" s="48"/>
      <c r="D594" s="10" t="str">
        <f t="shared" ca="1" si="59"/>
        <v/>
      </c>
      <c r="E594" s="48"/>
      <c r="F594" s="48"/>
      <c r="G594" s="10" t="str">
        <f t="shared" ca="1" si="58"/>
        <v/>
      </c>
      <c r="I594" s="10" t="str">
        <f t="shared" ca="1" si="60"/>
        <v/>
      </c>
      <c r="K594" s="4" t="e">
        <f t="shared" ca="1" si="61"/>
        <v>#N/A</v>
      </c>
      <c r="L594" s="4" t="e">
        <f>VLOOKUP(C594,_resources!B:D,3,0)</f>
        <v>#N/A</v>
      </c>
      <c r="M594" s="4" t="e" cm="1">
        <f t="array" aca="1" ref="M594" ca="1">IF(abbrAtEnd,"",L594&amp;"-")&amp;E594&amp;"-"&amp;INDIRECT(OFFSET(element3,MATCH($C594,resources,0)-1,0))&amp;"-"&amp;INDIRECT(OFFSET(element4,MATCH($C594,resources,0)-1,0))&amp;"-"&amp;INDIRECT(OFFSET(element5,MATCH($C594,resources,0)-1,0))&amp;IF(OFFSET(element6,MATCH($C594,resources,0)-1,0)="","","-"&amp;INDIRECT(OFFSET(element6,MATCH($C594,resources,0)-1,0)))&amp;IF(abbrAtEnd,"-"&amp;L594,"")</f>
        <v>#N/A</v>
      </c>
      <c r="N594" s="4" t="str">
        <f t="shared" si="64"/>
        <v>-000</v>
      </c>
      <c r="O594" s="4">
        <f ca="1">IF(totalElements+COUNTIF(Entities!$C$10,"*")+COUNTIF(B594:C594,"*")+COUNTIF(E594:F594,"*")=9,1,0)</f>
        <v>0</v>
      </c>
      <c r="P594" s="4">
        <f>COUNTIF($C$6:C594,C594)</f>
        <v>0</v>
      </c>
      <c r="Q594" s="4">
        <f ca="1">IF(ISNA(M594),0,COUNTIF($M$6:M594,M594))</f>
        <v>0</v>
      </c>
      <c r="R594" s="4" t="e">
        <f t="shared" ca="1" si="63"/>
        <v>#N/A</v>
      </c>
      <c r="S594" s="4">
        <f ca="1">IF(ISNA(M594),0,COUNTIF($R$6:R594,R594))</f>
        <v>0</v>
      </c>
      <c r="T594" s="4" t="e">
        <f t="shared" ca="1" si="62"/>
        <v>#N/A</v>
      </c>
    </row>
    <row r="595" spans="2:20" x14ac:dyDescent="0.3">
      <c r="B595" s="48"/>
      <c r="C595" s="48"/>
      <c r="D595" s="10" t="str">
        <f t="shared" ca="1" si="59"/>
        <v/>
      </c>
      <c r="E595" s="48"/>
      <c r="F595" s="48"/>
      <c r="G595" s="10" t="str">
        <f t="shared" ref="G595:G658" ca="1" si="65">IF(O595,IF(K595="hyphenated",M595&amp;N595,IF(K595="dnsname",E595,IF(K595="alphanumeric",SUBSTITUTE(M595&amp;N595,"-",""),"unknown or missing resource structure"))),"")</f>
        <v/>
      </c>
      <c r="I595" s="10" t="str">
        <f t="shared" ca="1" si="60"/>
        <v/>
      </c>
      <c r="K595" s="4" t="e">
        <f t="shared" ca="1" si="61"/>
        <v>#N/A</v>
      </c>
      <c r="L595" s="4" t="e">
        <f>VLOOKUP(C595,_resources!B:D,3,0)</f>
        <v>#N/A</v>
      </c>
      <c r="M595" s="4" t="e" cm="1">
        <f t="array" aca="1" ref="M595" ca="1">IF(abbrAtEnd,"",L595&amp;"-")&amp;E595&amp;"-"&amp;INDIRECT(OFFSET(element3,MATCH($C595,resources,0)-1,0))&amp;"-"&amp;INDIRECT(OFFSET(element4,MATCH($C595,resources,0)-1,0))&amp;"-"&amp;INDIRECT(OFFSET(element5,MATCH($C595,resources,0)-1,0))&amp;IF(OFFSET(element6,MATCH($C595,resources,0)-1,0)="","","-"&amp;INDIRECT(OFFSET(element6,MATCH($C595,resources,0)-1,0)))&amp;IF(abbrAtEnd,"-"&amp;L595,"")</f>
        <v>#N/A</v>
      </c>
      <c r="N595" s="4" t="str">
        <f t="shared" si="64"/>
        <v>-000</v>
      </c>
      <c r="O595" s="4">
        <f ca="1">IF(totalElements+COUNTIF(Entities!$C$10,"*")+COUNTIF(B595:C595,"*")+COUNTIF(E595:F595,"*")=9,1,0)</f>
        <v>0</v>
      </c>
      <c r="P595" s="4">
        <f>COUNTIF($C$6:C595,C595)</f>
        <v>0</v>
      </c>
      <c r="Q595" s="4">
        <f ca="1">IF(ISNA(M595),0,COUNTIF($M$6:M595,M595))</f>
        <v>0</v>
      </c>
      <c r="R595" s="4" t="e">
        <f t="shared" ca="1" si="63"/>
        <v>#N/A</v>
      </c>
      <c r="S595" s="4">
        <f ca="1">IF(ISNA(M595),0,COUNTIF($R$6:R595,R595))</f>
        <v>0</v>
      </c>
      <c r="T595" s="4" t="e">
        <f t="shared" ca="1" si="62"/>
        <v>#N/A</v>
      </c>
    </row>
    <row r="596" spans="2:20" x14ac:dyDescent="0.3">
      <c r="B596" s="48"/>
      <c r="C596" s="48"/>
      <c r="D596" s="10" t="str">
        <f t="shared" ca="1" si="59"/>
        <v/>
      </c>
      <c r="E596" s="48"/>
      <c r="F596" s="48"/>
      <c r="G596" s="10" t="str">
        <f t="shared" ca="1" si="65"/>
        <v/>
      </c>
      <c r="I596" s="10" t="str">
        <f t="shared" ca="1" si="60"/>
        <v/>
      </c>
      <c r="K596" s="4" t="e">
        <f t="shared" ca="1" si="61"/>
        <v>#N/A</v>
      </c>
      <c r="L596" s="4" t="e">
        <f>VLOOKUP(C596,_resources!B:D,3,0)</f>
        <v>#N/A</v>
      </c>
      <c r="M596" s="4" t="e" cm="1">
        <f t="array" aca="1" ref="M596" ca="1">IF(abbrAtEnd,"",L596&amp;"-")&amp;E596&amp;"-"&amp;INDIRECT(OFFSET(element3,MATCH($C596,resources,0)-1,0))&amp;"-"&amp;INDIRECT(OFFSET(element4,MATCH($C596,resources,0)-1,0))&amp;"-"&amp;INDIRECT(OFFSET(element5,MATCH($C596,resources,0)-1,0))&amp;IF(OFFSET(element6,MATCH($C596,resources,0)-1,0)="","","-"&amp;INDIRECT(OFFSET(element6,MATCH($C596,resources,0)-1,0)))&amp;IF(abbrAtEnd,"-"&amp;L596,"")</f>
        <v>#N/A</v>
      </c>
      <c r="N596" s="4" t="str">
        <f t="shared" si="64"/>
        <v>-000</v>
      </c>
      <c r="O596" s="4">
        <f ca="1">IF(totalElements+COUNTIF(Entities!$C$10,"*")+COUNTIF(B596:C596,"*")+COUNTIF(E596:F596,"*")=9,1,0)</f>
        <v>0</v>
      </c>
      <c r="P596" s="4">
        <f>COUNTIF($C$6:C596,C596)</f>
        <v>0</v>
      </c>
      <c r="Q596" s="4">
        <f ca="1">IF(ISNA(M596),0,COUNTIF($M$6:M596,M596))</f>
        <v>0</v>
      </c>
      <c r="R596" s="4" t="e">
        <f t="shared" ca="1" si="63"/>
        <v>#N/A</v>
      </c>
      <c r="S596" s="4">
        <f ca="1">IF(ISNA(M596),0,COUNTIF($R$6:R596,R596))</f>
        <v>0</v>
      </c>
      <c r="T596" s="4" t="e">
        <f t="shared" ca="1" si="62"/>
        <v>#N/A</v>
      </c>
    </row>
    <row r="597" spans="2:20" x14ac:dyDescent="0.3">
      <c r="B597" s="48"/>
      <c r="C597" s="48"/>
      <c r="D597" s="10" t="str">
        <f t="shared" ca="1" si="59"/>
        <v/>
      </c>
      <c r="E597" s="48"/>
      <c r="F597" s="48"/>
      <c r="G597" s="10" t="str">
        <f t="shared" ca="1" si="65"/>
        <v/>
      </c>
      <c r="I597" s="10" t="str">
        <f t="shared" ca="1" si="60"/>
        <v/>
      </c>
      <c r="K597" s="4" t="e">
        <f t="shared" ca="1" si="61"/>
        <v>#N/A</v>
      </c>
      <c r="L597" s="4" t="e">
        <f>VLOOKUP(C597,_resources!B:D,3,0)</f>
        <v>#N/A</v>
      </c>
      <c r="M597" s="4" t="e" cm="1">
        <f t="array" aca="1" ref="M597" ca="1">IF(abbrAtEnd,"",L597&amp;"-")&amp;E597&amp;"-"&amp;INDIRECT(OFFSET(element3,MATCH($C597,resources,0)-1,0))&amp;"-"&amp;INDIRECT(OFFSET(element4,MATCH($C597,resources,0)-1,0))&amp;"-"&amp;INDIRECT(OFFSET(element5,MATCH($C597,resources,0)-1,0))&amp;IF(OFFSET(element6,MATCH($C597,resources,0)-1,0)="","","-"&amp;INDIRECT(OFFSET(element6,MATCH($C597,resources,0)-1,0)))&amp;IF(abbrAtEnd,"-"&amp;L597,"")</f>
        <v>#N/A</v>
      </c>
      <c r="N597" s="4" t="str">
        <f t="shared" si="64"/>
        <v>-000</v>
      </c>
      <c r="O597" s="4">
        <f ca="1">IF(totalElements+COUNTIF(Entities!$C$10,"*")+COUNTIF(B597:C597,"*")+COUNTIF(E597:F597,"*")=9,1,0)</f>
        <v>0</v>
      </c>
      <c r="P597" s="4">
        <f>COUNTIF($C$6:C597,C597)</f>
        <v>0</v>
      </c>
      <c r="Q597" s="4">
        <f ca="1">IF(ISNA(M597),0,COUNTIF($M$6:M597,M597))</f>
        <v>0</v>
      </c>
      <c r="R597" s="4" t="e">
        <f t="shared" ca="1" si="63"/>
        <v>#N/A</v>
      </c>
      <c r="S597" s="4">
        <f ca="1">IF(ISNA(M597),0,COUNTIF($R$6:R597,R597))</f>
        <v>0</v>
      </c>
      <c r="T597" s="4" t="e">
        <f t="shared" ca="1" si="62"/>
        <v>#N/A</v>
      </c>
    </row>
    <row r="598" spans="2:20" x14ac:dyDescent="0.3">
      <c r="B598" s="48"/>
      <c r="C598" s="48"/>
      <c r="D598" s="10" t="str">
        <f t="shared" ca="1" si="59"/>
        <v/>
      </c>
      <c r="E598" s="48"/>
      <c r="F598" s="48"/>
      <c r="G598" s="10" t="str">
        <f t="shared" ca="1" si="65"/>
        <v/>
      </c>
      <c r="I598" s="10" t="str">
        <f t="shared" ca="1" si="60"/>
        <v/>
      </c>
      <c r="K598" s="4" t="e">
        <f t="shared" ca="1" si="61"/>
        <v>#N/A</v>
      </c>
      <c r="L598" s="4" t="e">
        <f>VLOOKUP(C598,_resources!B:D,3,0)</f>
        <v>#N/A</v>
      </c>
      <c r="M598" s="4" t="e" cm="1">
        <f t="array" aca="1" ref="M598" ca="1">IF(abbrAtEnd,"",L598&amp;"-")&amp;E598&amp;"-"&amp;INDIRECT(OFFSET(element3,MATCH($C598,resources,0)-1,0))&amp;"-"&amp;INDIRECT(OFFSET(element4,MATCH($C598,resources,0)-1,0))&amp;"-"&amp;INDIRECT(OFFSET(element5,MATCH($C598,resources,0)-1,0))&amp;IF(OFFSET(element6,MATCH($C598,resources,0)-1,0)="","","-"&amp;INDIRECT(OFFSET(element6,MATCH($C598,resources,0)-1,0)))&amp;IF(abbrAtEnd,"-"&amp;L598,"")</f>
        <v>#N/A</v>
      </c>
      <c r="N598" s="4" t="str">
        <f t="shared" si="64"/>
        <v>-000</v>
      </c>
      <c r="O598" s="4">
        <f ca="1">IF(totalElements+COUNTIF(Entities!$C$10,"*")+COUNTIF(B598:C598,"*")+COUNTIF(E598:F598,"*")=9,1,0)</f>
        <v>0</v>
      </c>
      <c r="P598" s="4">
        <f>COUNTIF($C$6:C598,C598)</f>
        <v>0</v>
      </c>
      <c r="Q598" s="4">
        <f ca="1">IF(ISNA(M598),0,COUNTIF($M$6:M598,M598))</f>
        <v>0</v>
      </c>
      <c r="R598" s="4" t="e">
        <f t="shared" ca="1" si="63"/>
        <v>#N/A</v>
      </c>
      <c r="S598" s="4">
        <f ca="1">IF(ISNA(M598),0,COUNTIF($R$6:R598,R598))</f>
        <v>0</v>
      </c>
      <c r="T598" s="4" t="e">
        <f t="shared" ca="1" si="62"/>
        <v>#N/A</v>
      </c>
    </row>
    <row r="599" spans="2:20" x14ac:dyDescent="0.3">
      <c r="B599" s="48"/>
      <c r="C599" s="48"/>
      <c r="D599" s="10" t="str">
        <f t="shared" ca="1" si="59"/>
        <v/>
      </c>
      <c r="E599" s="48"/>
      <c r="F599" s="48"/>
      <c r="G599" s="10" t="str">
        <f t="shared" ca="1" si="65"/>
        <v/>
      </c>
      <c r="I599" s="10" t="str">
        <f t="shared" ca="1" si="60"/>
        <v/>
      </c>
      <c r="K599" s="4" t="e">
        <f t="shared" ca="1" si="61"/>
        <v>#N/A</v>
      </c>
      <c r="L599" s="4" t="e">
        <f>VLOOKUP(C599,_resources!B:D,3,0)</f>
        <v>#N/A</v>
      </c>
      <c r="M599" s="4" t="e" cm="1">
        <f t="array" aca="1" ref="M599" ca="1">IF(abbrAtEnd,"",L599&amp;"-")&amp;E599&amp;"-"&amp;INDIRECT(OFFSET(element3,MATCH($C599,resources,0)-1,0))&amp;"-"&amp;INDIRECT(OFFSET(element4,MATCH($C599,resources,0)-1,0))&amp;"-"&amp;INDIRECT(OFFSET(element5,MATCH($C599,resources,0)-1,0))&amp;IF(OFFSET(element6,MATCH($C599,resources,0)-1,0)="","","-"&amp;INDIRECT(OFFSET(element6,MATCH($C599,resources,0)-1,0)))&amp;IF(abbrAtEnd,"-"&amp;L599,"")</f>
        <v>#N/A</v>
      </c>
      <c r="N599" s="4" t="str">
        <f t="shared" si="64"/>
        <v>-000</v>
      </c>
      <c r="O599" s="4">
        <f ca="1">IF(totalElements+COUNTIF(Entities!$C$10,"*")+COUNTIF(B599:C599,"*")+COUNTIF(E599:F599,"*")=9,1,0)</f>
        <v>0</v>
      </c>
      <c r="P599" s="4">
        <f>COUNTIF($C$6:C599,C599)</f>
        <v>0</v>
      </c>
      <c r="Q599" s="4">
        <f ca="1">IF(ISNA(M599),0,COUNTIF($M$6:M599,M599))</f>
        <v>0</v>
      </c>
      <c r="R599" s="4" t="e">
        <f t="shared" ca="1" si="63"/>
        <v>#N/A</v>
      </c>
      <c r="S599" s="4">
        <f ca="1">IF(ISNA(M599),0,COUNTIF($R$6:R599,R599))</f>
        <v>0</v>
      </c>
      <c r="T599" s="4" t="e">
        <f t="shared" ca="1" si="62"/>
        <v>#N/A</v>
      </c>
    </row>
    <row r="600" spans="2:20" x14ac:dyDescent="0.3">
      <c r="B600" s="48"/>
      <c r="C600" s="48"/>
      <c r="D600" s="10" t="str">
        <f t="shared" ca="1" si="59"/>
        <v/>
      </c>
      <c r="E600" s="48"/>
      <c r="F600" s="48"/>
      <c r="G600" s="10" t="str">
        <f t="shared" ca="1" si="65"/>
        <v/>
      </c>
      <c r="I600" s="10" t="str">
        <f t="shared" ca="1" si="60"/>
        <v/>
      </c>
      <c r="K600" s="4" t="e">
        <f t="shared" ca="1" si="61"/>
        <v>#N/A</v>
      </c>
      <c r="L600" s="4" t="e">
        <f>VLOOKUP(C600,_resources!B:D,3,0)</f>
        <v>#N/A</v>
      </c>
      <c r="M600" s="4" t="e" cm="1">
        <f t="array" aca="1" ref="M600" ca="1">IF(abbrAtEnd,"",L600&amp;"-")&amp;E600&amp;"-"&amp;INDIRECT(OFFSET(element3,MATCH($C600,resources,0)-1,0))&amp;"-"&amp;INDIRECT(OFFSET(element4,MATCH($C600,resources,0)-1,0))&amp;"-"&amp;INDIRECT(OFFSET(element5,MATCH($C600,resources,0)-1,0))&amp;IF(OFFSET(element6,MATCH($C600,resources,0)-1,0)="","","-"&amp;INDIRECT(OFFSET(element6,MATCH($C600,resources,0)-1,0)))&amp;IF(abbrAtEnd,"-"&amp;L600,"")</f>
        <v>#N/A</v>
      </c>
      <c r="N600" s="4" t="str">
        <f t="shared" si="64"/>
        <v>-000</v>
      </c>
      <c r="O600" s="4">
        <f ca="1">IF(totalElements+COUNTIF(Entities!$C$10,"*")+COUNTIF(B600:C600,"*")+COUNTIF(E600:F600,"*")=9,1,0)</f>
        <v>0</v>
      </c>
      <c r="P600" s="4">
        <f>COUNTIF($C$6:C600,C600)</f>
        <v>0</v>
      </c>
      <c r="Q600" s="4">
        <f ca="1">IF(ISNA(M600),0,COUNTIF($M$6:M600,M600))</f>
        <v>0</v>
      </c>
      <c r="R600" s="4" t="e">
        <f t="shared" ca="1" si="63"/>
        <v>#N/A</v>
      </c>
      <c r="S600" s="4">
        <f ca="1">IF(ISNA(M600),0,COUNTIF($R$6:R600,R600))</f>
        <v>0</v>
      </c>
      <c r="T600" s="4" t="e">
        <f t="shared" ca="1" si="62"/>
        <v>#N/A</v>
      </c>
    </row>
    <row r="601" spans="2:20" x14ac:dyDescent="0.3">
      <c r="B601" s="48"/>
      <c r="C601" s="48"/>
      <c r="D601" s="10" t="str">
        <f t="shared" ca="1" si="59"/>
        <v/>
      </c>
      <c r="E601" s="48"/>
      <c r="F601" s="48"/>
      <c r="G601" s="10" t="str">
        <f t="shared" ca="1" si="65"/>
        <v/>
      </c>
      <c r="I601" s="10" t="str">
        <f t="shared" ca="1" si="60"/>
        <v/>
      </c>
      <c r="K601" s="4" t="e">
        <f t="shared" ca="1" si="61"/>
        <v>#N/A</v>
      </c>
      <c r="L601" s="4" t="e">
        <f>VLOOKUP(C601,_resources!B:D,3,0)</f>
        <v>#N/A</v>
      </c>
      <c r="M601" s="4" t="e" cm="1">
        <f t="array" aca="1" ref="M601" ca="1">IF(abbrAtEnd,"",L601&amp;"-")&amp;E601&amp;"-"&amp;INDIRECT(OFFSET(element3,MATCH($C601,resources,0)-1,0))&amp;"-"&amp;INDIRECT(OFFSET(element4,MATCH($C601,resources,0)-1,0))&amp;"-"&amp;INDIRECT(OFFSET(element5,MATCH($C601,resources,0)-1,0))&amp;IF(OFFSET(element6,MATCH($C601,resources,0)-1,0)="","","-"&amp;INDIRECT(OFFSET(element6,MATCH($C601,resources,0)-1,0)))&amp;IF(abbrAtEnd,"-"&amp;L601,"")</f>
        <v>#N/A</v>
      </c>
      <c r="N601" s="4" t="str">
        <f t="shared" si="64"/>
        <v>-000</v>
      </c>
      <c r="O601" s="4">
        <f ca="1">IF(totalElements+COUNTIF(Entities!$C$10,"*")+COUNTIF(B601:C601,"*")+COUNTIF(E601:F601,"*")=9,1,0)</f>
        <v>0</v>
      </c>
      <c r="P601" s="4">
        <f>COUNTIF($C$6:C601,C601)</f>
        <v>0</v>
      </c>
      <c r="Q601" s="4">
        <f ca="1">IF(ISNA(M601),0,COUNTIF($M$6:M601,M601))</f>
        <v>0</v>
      </c>
      <c r="R601" s="4" t="e">
        <f t="shared" ca="1" si="63"/>
        <v>#N/A</v>
      </c>
      <c r="S601" s="4">
        <f ca="1">IF(ISNA(M601),0,COUNTIF($R$6:R601,R601))</f>
        <v>0</v>
      </c>
      <c r="T601" s="4" t="e">
        <f t="shared" ca="1" si="62"/>
        <v>#N/A</v>
      </c>
    </row>
    <row r="602" spans="2:20" x14ac:dyDescent="0.3">
      <c r="B602" s="48"/>
      <c r="C602" s="48"/>
      <c r="D602" s="10" t="str">
        <f t="shared" ca="1" si="59"/>
        <v/>
      </c>
      <c r="E602" s="48"/>
      <c r="F602" s="48"/>
      <c r="G602" s="10" t="str">
        <f t="shared" ca="1" si="65"/>
        <v/>
      </c>
      <c r="I602" s="10" t="str">
        <f t="shared" ca="1" si="60"/>
        <v/>
      </c>
      <c r="K602" s="4" t="e">
        <f t="shared" ca="1" si="61"/>
        <v>#N/A</v>
      </c>
      <c r="L602" s="4" t="e">
        <f>VLOOKUP(C602,_resources!B:D,3,0)</f>
        <v>#N/A</v>
      </c>
      <c r="M602" s="4" t="e" cm="1">
        <f t="array" aca="1" ref="M602" ca="1">IF(abbrAtEnd,"",L602&amp;"-")&amp;E602&amp;"-"&amp;INDIRECT(OFFSET(element3,MATCH($C602,resources,0)-1,0))&amp;"-"&amp;INDIRECT(OFFSET(element4,MATCH($C602,resources,0)-1,0))&amp;"-"&amp;INDIRECT(OFFSET(element5,MATCH($C602,resources,0)-1,0))&amp;IF(OFFSET(element6,MATCH($C602,resources,0)-1,0)="","","-"&amp;INDIRECT(OFFSET(element6,MATCH($C602,resources,0)-1,0)))&amp;IF(abbrAtEnd,"-"&amp;L602,"")</f>
        <v>#N/A</v>
      </c>
      <c r="N602" s="4" t="str">
        <f t="shared" si="64"/>
        <v>-000</v>
      </c>
      <c r="O602" s="4">
        <f ca="1">IF(totalElements+COUNTIF(Entities!$C$10,"*")+COUNTIF(B602:C602,"*")+COUNTIF(E602:F602,"*")=9,1,0)</f>
        <v>0</v>
      </c>
      <c r="P602" s="4">
        <f>COUNTIF($C$6:C602,C602)</f>
        <v>0</v>
      </c>
      <c r="Q602" s="4">
        <f ca="1">IF(ISNA(M602),0,COUNTIF($M$6:M602,M602))</f>
        <v>0</v>
      </c>
      <c r="R602" s="4" t="e">
        <f t="shared" ca="1" si="63"/>
        <v>#N/A</v>
      </c>
      <c r="S602" s="4">
        <f ca="1">IF(ISNA(M602),0,COUNTIF($R$6:R602,R602))</f>
        <v>0</v>
      </c>
      <c r="T602" s="4" t="e">
        <f t="shared" ca="1" si="62"/>
        <v>#N/A</v>
      </c>
    </row>
    <row r="603" spans="2:20" x14ac:dyDescent="0.3">
      <c r="B603" s="48"/>
      <c r="C603" s="48"/>
      <c r="D603" s="10" t="str">
        <f t="shared" ca="1" si="59"/>
        <v/>
      </c>
      <c r="E603" s="48"/>
      <c r="F603" s="48"/>
      <c r="G603" s="10" t="str">
        <f t="shared" ca="1" si="65"/>
        <v/>
      </c>
      <c r="I603" s="10" t="str">
        <f t="shared" ca="1" si="60"/>
        <v/>
      </c>
      <c r="K603" s="4" t="e">
        <f t="shared" ca="1" si="61"/>
        <v>#N/A</v>
      </c>
      <c r="L603" s="4" t="e">
        <f>VLOOKUP(C603,_resources!B:D,3,0)</f>
        <v>#N/A</v>
      </c>
      <c r="M603" s="4" t="e" cm="1">
        <f t="array" aca="1" ref="M603" ca="1">IF(abbrAtEnd,"",L603&amp;"-")&amp;E603&amp;"-"&amp;INDIRECT(OFFSET(element3,MATCH($C603,resources,0)-1,0))&amp;"-"&amp;INDIRECT(OFFSET(element4,MATCH($C603,resources,0)-1,0))&amp;"-"&amp;INDIRECT(OFFSET(element5,MATCH($C603,resources,0)-1,0))&amp;IF(OFFSET(element6,MATCH($C603,resources,0)-1,0)="","","-"&amp;INDIRECT(OFFSET(element6,MATCH($C603,resources,0)-1,0)))&amp;IF(abbrAtEnd,"-"&amp;L603,"")</f>
        <v>#N/A</v>
      </c>
      <c r="N603" s="4" t="str">
        <f t="shared" si="64"/>
        <v>-000</v>
      </c>
      <c r="O603" s="4">
        <f ca="1">IF(totalElements+COUNTIF(Entities!$C$10,"*")+COUNTIF(B603:C603,"*")+COUNTIF(E603:F603,"*")=9,1,0)</f>
        <v>0</v>
      </c>
      <c r="P603" s="4">
        <f>COUNTIF($C$6:C603,C603)</f>
        <v>0</v>
      </c>
      <c r="Q603" s="4">
        <f ca="1">IF(ISNA(M603),0,COUNTIF($M$6:M603,M603))</f>
        <v>0</v>
      </c>
      <c r="R603" s="4" t="e">
        <f t="shared" ca="1" si="63"/>
        <v>#N/A</v>
      </c>
      <c r="S603" s="4">
        <f ca="1">IF(ISNA(M603),0,COUNTIF($R$6:R603,R603))</f>
        <v>0</v>
      </c>
      <c r="T603" s="4" t="e">
        <f t="shared" ca="1" si="62"/>
        <v>#N/A</v>
      </c>
    </row>
    <row r="604" spans="2:20" x14ac:dyDescent="0.3">
      <c r="B604" s="48"/>
      <c r="C604" s="48"/>
      <c r="D604" s="10" t="str">
        <f t="shared" ca="1" si="59"/>
        <v/>
      </c>
      <c r="E604" s="48"/>
      <c r="F604" s="48"/>
      <c r="G604" s="10" t="str">
        <f t="shared" ca="1" si="65"/>
        <v/>
      </c>
      <c r="I604" s="10" t="str">
        <f t="shared" ca="1" si="60"/>
        <v/>
      </c>
      <c r="K604" s="4" t="e">
        <f t="shared" ca="1" si="61"/>
        <v>#N/A</v>
      </c>
      <c r="L604" s="4" t="e">
        <f>VLOOKUP(C604,_resources!B:D,3,0)</f>
        <v>#N/A</v>
      </c>
      <c r="M604" s="4" t="e" cm="1">
        <f t="array" aca="1" ref="M604" ca="1">IF(abbrAtEnd,"",L604&amp;"-")&amp;E604&amp;"-"&amp;INDIRECT(OFFSET(element3,MATCH($C604,resources,0)-1,0))&amp;"-"&amp;INDIRECT(OFFSET(element4,MATCH($C604,resources,0)-1,0))&amp;"-"&amp;INDIRECT(OFFSET(element5,MATCH($C604,resources,0)-1,0))&amp;IF(OFFSET(element6,MATCH($C604,resources,0)-1,0)="","","-"&amp;INDIRECT(OFFSET(element6,MATCH($C604,resources,0)-1,0)))&amp;IF(abbrAtEnd,"-"&amp;L604,"")</f>
        <v>#N/A</v>
      </c>
      <c r="N604" s="4" t="str">
        <f t="shared" si="64"/>
        <v>-000</v>
      </c>
      <c r="O604" s="4">
        <f ca="1">IF(totalElements+COUNTIF(Entities!$C$10,"*")+COUNTIF(B604:C604,"*")+COUNTIF(E604:F604,"*")=9,1,0)</f>
        <v>0</v>
      </c>
      <c r="P604" s="4">
        <f>COUNTIF($C$6:C604,C604)</f>
        <v>0</v>
      </c>
      <c r="Q604" s="4">
        <f ca="1">IF(ISNA(M604),0,COUNTIF($M$6:M604,M604))</f>
        <v>0</v>
      </c>
      <c r="R604" s="4" t="e">
        <f t="shared" ca="1" si="63"/>
        <v>#N/A</v>
      </c>
      <c r="S604" s="4">
        <f ca="1">IF(ISNA(M604),0,COUNTIF($R$6:R604,R604))</f>
        <v>0</v>
      </c>
      <c r="T604" s="4" t="e">
        <f t="shared" ca="1" si="62"/>
        <v>#N/A</v>
      </c>
    </row>
    <row r="605" spans="2:20" x14ac:dyDescent="0.3">
      <c r="B605" s="48"/>
      <c r="C605" s="48"/>
      <c r="D605" s="10" t="str">
        <f t="shared" ca="1" si="59"/>
        <v/>
      </c>
      <c r="E605" s="48"/>
      <c r="F605" s="48"/>
      <c r="G605" s="10" t="str">
        <f t="shared" ca="1" si="65"/>
        <v/>
      </c>
      <c r="I605" s="10" t="str">
        <f t="shared" ca="1" si="60"/>
        <v/>
      </c>
      <c r="K605" s="4" t="e">
        <f t="shared" ca="1" si="61"/>
        <v>#N/A</v>
      </c>
      <c r="L605" s="4" t="e">
        <f>VLOOKUP(C605,_resources!B:D,3,0)</f>
        <v>#N/A</v>
      </c>
      <c r="M605" s="4" t="e" cm="1">
        <f t="array" aca="1" ref="M605" ca="1">IF(abbrAtEnd,"",L605&amp;"-")&amp;E605&amp;"-"&amp;INDIRECT(OFFSET(element3,MATCH($C605,resources,0)-1,0))&amp;"-"&amp;INDIRECT(OFFSET(element4,MATCH($C605,resources,0)-1,0))&amp;"-"&amp;INDIRECT(OFFSET(element5,MATCH($C605,resources,0)-1,0))&amp;IF(OFFSET(element6,MATCH($C605,resources,0)-1,0)="","","-"&amp;INDIRECT(OFFSET(element6,MATCH($C605,resources,0)-1,0)))&amp;IF(abbrAtEnd,"-"&amp;L605,"")</f>
        <v>#N/A</v>
      </c>
      <c r="N605" s="4" t="str">
        <f t="shared" si="64"/>
        <v>-000</v>
      </c>
      <c r="O605" s="4">
        <f ca="1">IF(totalElements+COUNTIF(Entities!$C$10,"*")+COUNTIF(B605:C605,"*")+COUNTIF(E605:F605,"*")=9,1,0)</f>
        <v>0</v>
      </c>
      <c r="P605" s="4">
        <f>COUNTIF($C$6:C605,C605)</f>
        <v>0</v>
      </c>
      <c r="Q605" s="4">
        <f ca="1">IF(ISNA(M605),0,COUNTIF($M$6:M605,M605))</f>
        <v>0</v>
      </c>
      <c r="R605" s="4" t="e">
        <f t="shared" ca="1" si="63"/>
        <v>#N/A</v>
      </c>
      <c r="S605" s="4">
        <f ca="1">IF(ISNA(M605),0,COUNTIF($R$6:R605,R605))</f>
        <v>0</v>
      </c>
      <c r="T605" s="4" t="e">
        <f t="shared" ca="1" si="62"/>
        <v>#N/A</v>
      </c>
    </row>
    <row r="606" spans="2:20" x14ac:dyDescent="0.3">
      <c r="B606" s="48"/>
      <c r="C606" s="48"/>
      <c r="D606" s="10" t="str">
        <f t="shared" ca="1" si="59"/>
        <v/>
      </c>
      <c r="E606" s="48"/>
      <c r="F606" s="48"/>
      <c r="G606" s="10" t="str">
        <f t="shared" ca="1" si="65"/>
        <v/>
      </c>
      <c r="I606" s="10" t="str">
        <f t="shared" ca="1" si="60"/>
        <v/>
      </c>
      <c r="K606" s="4" t="e">
        <f t="shared" ca="1" si="61"/>
        <v>#N/A</v>
      </c>
      <c r="L606" s="4" t="e">
        <f>VLOOKUP(C606,_resources!B:D,3,0)</f>
        <v>#N/A</v>
      </c>
      <c r="M606" s="4" t="e" cm="1">
        <f t="array" aca="1" ref="M606" ca="1">IF(abbrAtEnd,"",L606&amp;"-")&amp;E606&amp;"-"&amp;INDIRECT(OFFSET(element3,MATCH($C606,resources,0)-1,0))&amp;"-"&amp;INDIRECT(OFFSET(element4,MATCH($C606,resources,0)-1,0))&amp;"-"&amp;INDIRECT(OFFSET(element5,MATCH($C606,resources,0)-1,0))&amp;IF(OFFSET(element6,MATCH($C606,resources,0)-1,0)="","","-"&amp;INDIRECT(OFFSET(element6,MATCH($C606,resources,0)-1,0)))&amp;IF(abbrAtEnd,"-"&amp;L606,"")</f>
        <v>#N/A</v>
      </c>
      <c r="N606" s="4" t="str">
        <f t="shared" si="64"/>
        <v>-000</v>
      </c>
      <c r="O606" s="4">
        <f ca="1">IF(totalElements+COUNTIF(Entities!$C$10,"*")+COUNTIF(B606:C606,"*")+COUNTIF(E606:F606,"*")=9,1,0)</f>
        <v>0</v>
      </c>
      <c r="P606" s="4">
        <f>COUNTIF($C$6:C606,C606)</f>
        <v>0</v>
      </c>
      <c r="Q606" s="4">
        <f ca="1">IF(ISNA(M606),0,COUNTIF($M$6:M606,M606))</f>
        <v>0</v>
      </c>
      <c r="R606" s="4" t="e">
        <f t="shared" ca="1" si="63"/>
        <v>#N/A</v>
      </c>
      <c r="S606" s="4">
        <f ca="1">IF(ISNA(M606),0,COUNTIF($R$6:R606,R606))</f>
        <v>0</v>
      </c>
      <c r="T606" s="4" t="e">
        <f t="shared" ca="1" si="62"/>
        <v>#N/A</v>
      </c>
    </row>
    <row r="607" spans="2:20" x14ac:dyDescent="0.3">
      <c r="B607" s="48"/>
      <c r="C607" s="48"/>
      <c r="D607" s="10" t="str">
        <f t="shared" ca="1" si="59"/>
        <v/>
      </c>
      <c r="E607" s="48"/>
      <c r="F607" s="48"/>
      <c r="G607" s="10" t="str">
        <f t="shared" ca="1" si="65"/>
        <v/>
      </c>
      <c r="I607" s="10" t="str">
        <f t="shared" ca="1" si="60"/>
        <v/>
      </c>
      <c r="K607" s="4" t="e">
        <f t="shared" ca="1" si="61"/>
        <v>#N/A</v>
      </c>
      <c r="L607" s="4" t="e">
        <f>VLOOKUP(C607,_resources!B:D,3,0)</f>
        <v>#N/A</v>
      </c>
      <c r="M607" s="4" t="e" cm="1">
        <f t="array" aca="1" ref="M607" ca="1">IF(abbrAtEnd,"",L607&amp;"-")&amp;E607&amp;"-"&amp;INDIRECT(OFFSET(element3,MATCH($C607,resources,0)-1,0))&amp;"-"&amp;INDIRECT(OFFSET(element4,MATCH($C607,resources,0)-1,0))&amp;"-"&amp;INDIRECT(OFFSET(element5,MATCH($C607,resources,0)-1,0))&amp;IF(OFFSET(element6,MATCH($C607,resources,0)-1,0)="","","-"&amp;INDIRECT(OFFSET(element6,MATCH($C607,resources,0)-1,0)))&amp;IF(abbrAtEnd,"-"&amp;L607,"")</f>
        <v>#N/A</v>
      </c>
      <c r="N607" s="4" t="str">
        <f t="shared" si="64"/>
        <v>-000</v>
      </c>
      <c r="O607" s="4">
        <f ca="1">IF(totalElements+COUNTIF(Entities!$C$10,"*")+COUNTIF(B607:C607,"*")+COUNTIF(E607:F607,"*")=9,1,0)</f>
        <v>0</v>
      </c>
      <c r="P607" s="4">
        <f>COUNTIF($C$6:C607,C607)</f>
        <v>0</v>
      </c>
      <c r="Q607" s="4">
        <f ca="1">IF(ISNA(M607),0,COUNTIF($M$6:M607,M607))</f>
        <v>0</v>
      </c>
      <c r="R607" s="4" t="e">
        <f t="shared" ca="1" si="63"/>
        <v>#N/A</v>
      </c>
      <c r="S607" s="4">
        <f ca="1">IF(ISNA(M607),0,COUNTIF($R$6:R607,R607))</f>
        <v>0</v>
      </c>
      <c r="T607" s="4" t="e">
        <f t="shared" ca="1" si="62"/>
        <v>#N/A</v>
      </c>
    </row>
    <row r="608" spans="2:20" x14ac:dyDescent="0.3">
      <c r="B608" s="48"/>
      <c r="C608" s="48"/>
      <c r="D608" s="10" t="str">
        <f t="shared" ca="1" si="59"/>
        <v/>
      </c>
      <c r="E608" s="48"/>
      <c r="F608" s="48"/>
      <c r="G608" s="10" t="str">
        <f t="shared" ca="1" si="65"/>
        <v/>
      </c>
      <c r="I608" s="10" t="str">
        <f t="shared" ca="1" si="60"/>
        <v/>
      </c>
      <c r="K608" s="4" t="e">
        <f t="shared" ca="1" si="61"/>
        <v>#N/A</v>
      </c>
      <c r="L608" s="4" t="e">
        <f>VLOOKUP(C608,_resources!B:D,3,0)</f>
        <v>#N/A</v>
      </c>
      <c r="M608" s="4" t="e" cm="1">
        <f t="array" aca="1" ref="M608" ca="1">IF(abbrAtEnd,"",L608&amp;"-")&amp;E608&amp;"-"&amp;INDIRECT(OFFSET(element3,MATCH($C608,resources,0)-1,0))&amp;"-"&amp;INDIRECT(OFFSET(element4,MATCH($C608,resources,0)-1,0))&amp;"-"&amp;INDIRECT(OFFSET(element5,MATCH($C608,resources,0)-1,0))&amp;IF(OFFSET(element6,MATCH($C608,resources,0)-1,0)="","","-"&amp;INDIRECT(OFFSET(element6,MATCH($C608,resources,0)-1,0)))&amp;IF(abbrAtEnd,"-"&amp;L608,"")</f>
        <v>#N/A</v>
      </c>
      <c r="N608" s="4" t="str">
        <f t="shared" si="64"/>
        <v>-000</v>
      </c>
      <c r="O608" s="4">
        <f ca="1">IF(totalElements+COUNTIF(Entities!$C$10,"*")+COUNTIF(B608:C608,"*")+COUNTIF(E608:F608,"*")=9,1,0)</f>
        <v>0</v>
      </c>
      <c r="P608" s="4">
        <f>COUNTIF($C$6:C608,C608)</f>
        <v>0</v>
      </c>
      <c r="Q608" s="4">
        <f ca="1">IF(ISNA(M608),0,COUNTIF($M$6:M608,M608))</f>
        <v>0</v>
      </c>
      <c r="R608" s="4" t="e">
        <f t="shared" ca="1" si="63"/>
        <v>#N/A</v>
      </c>
      <c r="S608" s="4">
        <f ca="1">IF(ISNA(M608),0,COUNTIF($R$6:R608,R608))</f>
        <v>0</v>
      </c>
      <c r="T608" s="4" t="e">
        <f t="shared" ca="1" si="62"/>
        <v>#N/A</v>
      </c>
    </row>
    <row r="609" spans="2:20" x14ac:dyDescent="0.3">
      <c r="B609" s="48"/>
      <c r="C609" s="48"/>
      <c r="D609" s="10" t="str">
        <f t="shared" ca="1" si="59"/>
        <v/>
      </c>
      <c r="E609" s="48"/>
      <c r="F609" s="48"/>
      <c r="G609" s="10" t="str">
        <f t="shared" ca="1" si="65"/>
        <v/>
      </c>
      <c r="I609" s="10" t="str">
        <f t="shared" ca="1" si="60"/>
        <v/>
      </c>
      <c r="K609" s="4" t="e">
        <f t="shared" ca="1" si="61"/>
        <v>#N/A</v>
      </c>
      <c r="L609" s="4" t="e">
        <f>VLOOKUP(C609,_resources!B:D,3,0)</f>
        <v>#N/A</v>
      </c>
      <c r="M609" s="4" t="e" cm="1">
        <f t="array" aca="1" ref="M609" ca="1">IF(abbrAtEnd,"",L609&amp;"-")&amp;E609&amp;"-"&amp;INDIRECT(OFFSET(element3,MATCH($C609,resources,0)-1,0))&amp;"-"&amp;INDIRECT(OFFSET(element4,MATCH($C609,resources,0)-1,0))&amp;"-"&amp;INDIRECT(OFFSET(element5,MATCH($C609,resources,0)-1,0))&amp;IF(OFFSET(element6,MATCH($C609,resources,0)-1,0)="","","-"&amp;INDIRECT(OFFSET(element6,MATCH($C609,resources,0)-1,0)))&amp;IF(abbrAtEnd,"-"&amp;L609,"")</f>
        <v>#N/A</v>
      </c>
      <c r="N609" s="4" t="str">
        <f t="shared" si="64"/>
        <v>-000</v>
      </c>
      <c r="O609" s="4">
        <f ca="1">IF(totalElements+COUNTIF(Entities!$C$10,"*")+COUNTIF(B609:C609,"*")+COUNTIF(E609:F609,"*")=9,1,0)</f>
        <v>0</v>
      </c>
      <c r="P609" s="4">
        <f>COUNTIF($C$6:C609,C609)</f>
        <v>0</v>
      </c>
      <c r="Q609" s="4">
        <f ca="1">IF(ISNA(M609),0,COUNTIF($M$6:M609,M609))</f>
        <v>0</v>
      </c>
      <c r="R609" s="4" t="e">
        <f t="shared" ca="1" si="63"/>
        <v>#N/A</v>
      </c>
      <c r="S609" s="4">
        <f ca="1">IF(ISNA(M609),0,COUNTIF($R$6:R609,R609))</f>
        <v>0</v>
      </c>
      <c r="T609" s="4" t="e">
        <f t="shared" ca="1" si="62"/>
        <v>#N/A</v>
      </c>
    </row>
    <row r="610" spans="2:20" x14ac:dyDescent="0.3">
      <c r="B610" s="48"/>
      <c r="C610" s="48"/>
      <c r="D610" s="10" t="str">
        <f t="shared" ca="1" si="59"/>
        <v/>
      </c>
      <c r="E610" s="48"/>
      <c r="F610" s="48"/>
      <c r="G610" s="10" t="str">
        <f t="shared" ca="1" si="65"/>
        <v/>
      </c>
      <c r="I610" s="10" t="str">
        <f t="shared" ca="1" si="60"/>
        <v/>
      </c>
      <c r="K610" s="4" t="e">
        <f t="shared" ca="1" si="61"/>
        <v>#N/A</v>
      </c>
      <c r="L610" s="4" t="e">
        <f>VLOOKUP(C610,_resources!B:D,3,0)</f>
        <v>#N/A</v>
      </c>
      <c r="M610" s="4" t="e" cm="1">
        <f t="array" aca="1" ref="M610" ca="1">IF(abbrAtEnd,"",L610&amp;"-")&amp;E610&amp;"-"&amp;INDIRECT(OFFSET(element3,MATCH($C610,resources,0)-1,0))&amp;"-"&amp;INDIRECT(OFFSET(element4,MATCH($C610,resources,0)-1,0))&amp;"-"&amp;INDIRECT(OFFSET(element5,MATCH($C610,resources,0)-1,0))&amp;IF(OFFSET(element6,MATCH($C610,resources,0)-1,0)="","","-"&amp;INDIRECT(OFFSET(element6,MATCH($C610,resources,0)-1,0)))&amp;IF(abbrAtEnd,"-"&amp;L610,"")</f>
        <v>#N/A</v>
      </c>
      <c r="N610" s="4" t="str">
        <f t="shared" si="64"/>
        <v>-000</v>
      </c>
      <c r="O610" s="4">
        <f ca="1">IF(totalElements+COUNTIF(Entities!$C$10,"*")+COUNTIF(B610:C610,"*")+COUNTIF(E610:F610,"*")=9,1,0)</f>
        <v>0</v>
      </c>
      <c r="P610" s="4">
        <f>COUNTIF($C$6:C610,C610)</f>
        <v>0</v>
      </c>
      <c r="Q610" s="4">
        <f ca="1">IF(ISNA(M610),0,COUNTIF($M$6:M610,M610))</f>
        <v>0</v>
      </c>
      <c r="R610" s="4" t="e">
        <f t="shared" ca="1" si="63"/>
        <v>#N/A</v>
      </c>
      <c r="S610" s="4">
        <f ca="1">IF(ISNA(M610),0,COUNTIF($R$6:R610,R610))</f>
        <v>0</v>
      </c>
      <c r="T610" s="4" t="e">
        <f t="shared" ca="1" si="62"/>
        <v>#N/A</v>
      </c>
    </row>
    <row r="611" spans="2:20" x14ac:dyDescent="0.3">
      <c r="B611" s="48"/>
      <c r="C611" s="48"/>
      <c r="D611" s="10" t="str">
        <f t="shared" ca="1" si="59"/>
        <v/>
      </c>
      <c r="E611" s="48"/>
      <c r="F611" s="48"/>
      <c r="G611" s="10" t="str">
        <f t="shared" ca="1" si="65"/>
        <v/>
      </c>
      <c r="I611" s="10" t="str">
        <f t="shared" ca="1" si="60"/>
        <v/>
      </c>
      <c r="K611" s="4" t="e">
        <f t="shared" ca="1" si="61"/>
        <v>#N/A</v>
      </c>
      <c r="L611" s="4" t="e">
        <f>VLOOKUP(C611,_resources!B:D,3,0)</f>
        <v>#N/A</v>
      </c>
      <c r="M611" s="4" t="e" cm="1">
        <f t="array" aca="1" ref="M611" ca="1">IF(abbrAtEnd,"",L611&amp;"-")&amp;E611&amp;"-"&amp;INDIRECT(OFFSET(element3,MATCH($C611,resources,0)-1,0))&amp;"-"&amp;INDIRECT(OFFSET(element4,MATCH($C611,resources,0)-1,0))&amp;"-"&amp;INDIRECT(OFFSET(element5,MATCH($C611,resources,0)-1,0))&amp;IF(OFFSET(element6,MATCH($C611,resources,0)-1,0)="","","-"&amp;INDIRECT(OFFSET(element6,MATCH($C611,resources,0)-1,0)))&amp;IF(abbrAtEnd,"-"&amp;L611,"")</f>
        <v>#N/A</v>
      </c>
      <c r="N611" s="4" t="str">
        <f t="shared" si="64"/>
        <v>-000</v>
      </c>
      <c r="O611" s="4">
        <f ca="1">IF(totalElements+COUNTIF(Entities!$C$10,"*")+COUNTIF(B611:C611,"*")+COUNTIF(E611:F611,"*")=9,1,0)</f>
        <v>0</v>
      </c>
      <c r="P611" s="4">
        <f>COUNTIF($C$6:C611,C611)</f>
        <v>0</v>
      </c>
      <c r="Q611" s="4">
        <f ca="1">IF(ISNA(M611),0,COUNTIF($M$6:M611,M611))</f>
        <v>0</v>
      </c>
      <c r="R611" s="4" t="e">
        <f t="shared" ca="1" si="63"/>
        <v>#N/A</v>
      </c>
      <c r="S611" s="4">
        <f ca="1">IF(ISNA(M611),0,COUNTIF($R$6:R611,R611))</f>
        <v>0</v>
      </c>
      <c r="T611" s="4" t="e">
        <f t="shared" ca="1" si="62"/>
        <v>#N/A</v>
      </c>
    </row>
    <row r="612" spans="2:20" x14ac:dyDescent="0.3">
      <c r="B612" s="48"/>
      <c r="C612" s="48"/>
      <c r="D612" s="10" t="str">
        <f t="shared" ca="1" si="59"/>
        <v/>
      </c>
      <c r="E612" s="48"/>
      <c r="F612" s="48"/>
      <c r="G612" s="10" t="str">
        <f t="shared" ca="1" si="65"/>
        <v/>
      </c>
      <c r="I612" s="10" t="str">
        <f t="shared" ca="1" si="60"/>
        <v/>
      </c>
      <c r="K612" s="4" t="e">
        <f t="shared" ca="1" si="61"/>
        <v>#N/A</v>
      </c>
      <c r="L612" s="4" t="e">
        <f>VLOOKUP(C612,_resources!B:D,3,0)</f>
        <v>#N/A</v>
      </c>
      <c r="M612" s="4" t="e" cm="1">
        <f t="array" aca="1" ref="M612" ca="1">IF(abbrAtEnd,"",L612&amp;"-")&amp;E612&amp;"-"&amp;INDIRECT(OFFSET(element3,MATCH($C612,resources,0)-1,0))&amp;"-"&amp;INDIRECT(OFFSET(element4,MATCH($C612,resources,0)-1,0))&amp;"-"&amp;INDIRECT(OFFSET(element5,MATCH($C612,resources,0)-1,0))&amp;IF(OFFSET(element6,MATCH($C612,resources,0)-1,0)="","","-"&amp;INDIRECT(OFFSET(element6,MATCH($C612,resources,0)-1,0)))&amp;IF(abbrAtEnd,"-"&amp;L612,"")</f>
        <v>#N/A</v>
      </c>
      <c r="N612" s="4" t="str">
        <f t="shared" si="64"/>
        <v>-000</v>
      </c>
      <c r="O612" s="4">
        <f ca="1">IF(totalElements+COUNTIF(Entities!$C$10,"*")+COUNTIF(B612:C612,"*")+COUNTIF(E612:F612,"*")=9,1,0)</f>
        <v>0</v>
      </c>
      <c r="P612" s="4">
        <f>COUNTIF($C$6:C612,C612)</f>
        <v>0</v>
      </c>
      <c r="Q612" s="4">
        <f ca="1">IF(ISNA(M612),0,COUNTIF($M$6:M612,M612))</f>
        <v>0</v>
      </c>
      <c r="R612" s="4" t="e">
        <f t="shared" ca="1" si="63"/>
        <v>#N/A</v>
      </c>
      <c r="S612" s="4">
        <f ca="1">IF(ISNA(M612),0,COUNTIF($R$6:R612,R612))</f>
        <v>0</v>
      </c>
      <c r="T612" s="4" t="e">
        <f t="shared" ca="1" si="62"/>
        <v>#N/A</v>
      </c>
    </row>
    <row r="613" spans="2:20" x14ac:dyDescent="0.3">
      <c r="B613" s="48"/>
      <c r="C613" s="48"/>
      <c r="D613" s="10" t="str">
        <f t="shared" ca="1" si="59"/>
        <v/>
      </c>
      <c r="E613" s="48"/>
      <c r="F613" s="48"/>
      <c r="G613" s="10" t="str">
        <f t="shared" ca="1" si="65"/>
        <v/>
      </c>
      <c r="I613" s="10" t="str">
        <f t="shared" ca="1" si="60"/>
        <v/>
      </c>
      <c r="K613" s="4" t="e">
        <f t="shared" ca="1" si="61"/>
        <v>#N/A</v>
      </c>
      <c r="L613" s="4" t="e">
        <f>VLOOKUP(C613,_resources!B:D,3,0)</f>
        <v>#N/A</v>
      </c>
      <c r="M613" s="4" t="e" cm="1">
        <f t="array" aca="1" ref="M613" ca="1">IF(abbrAtEnd,"",L613&amp;"-")&amp;E613&amp;"-"&amp;INDIRECT(OFFSET(element3,MATCH($C613,resources,0)-1,0))&amp;"-"&amp;INDIRECT(OFFSET(element4,MATCH($C613,resources,0)-1,0))&amp;"-"&amp;INDIRECT(OFFSET(element5,MATCH($C613,resources,0)-1,0))&amp;IF(OFFSET(element6,MATCH($C613,resources,0)-1,0)="","","-"&amp;INDIRECT(OFFSET(element6,MATCH($C613,resources,0)-1,0)))&amp;IF(abbrAtEnd,"-"&amp;L613,"")</f>
        <v>#N/A</v>
      </c>
      <c r="N613" s="4" t="str">
        <f t="shared" si="64"/>
        <v>-000</v>
      </c>
      <c r="O613" s="4">
        <f ca="1">IF(totalElements+COUNTIF(Entities!$C$10,"*")+COUNTIF(B613:C613,"*")+COUNTIF(E613:F613,"*")=9,1,0)</f>
        <v>0</v>
      </c>
      <c r="P613" s="4">
        <f>COUNTIF($C$6:C613,C613)</f>
        <v>0</v>
      </c>
      <c r="Q613" s="4">
        <f ca="1">IF(ISNA(M613),0,COUNTIF($M$6:M613,M613))</f>
        <v>0</v>
      </c>
      <c r="R613" s="4" t="e">
        <f t="shared" ca="1" si="63"/>
        <v>#N/A</v>
      </c>
      <c r="S613" s="4">
        <f ca="1">IF(ISNA(M613),0,COUNTIF($R$6:R613,R613))</f>
        <v>0</v>
      </c>
      <c r="T613" s="4" t="e">
        <f t="shared" ca="1" si="62"/>
        <v>#N/A</v>
      </c>
    </row>
    <row r="614" spans="2:20" x14ac:dyDescent="0.3">
      <c r="B614" s="48"/>
      <c r="C614" s="48"/>
      <c r="D614" s="10" t="str">
        <f t="shared" ca="1" si="59"/>
        <v/>
      </c>
      <c r="E614" s="48"/>
      <c r="F614" s="48"/>
      <c r="G614" s="10" t="str">
        <f t="shared" ca="1" si="65"/>
        <v/>
      </c>
      <c r="I614" s="10" t="str">
        <f t="shared" ca="1" si="60"/>
        <v/>
      </c>
      <c r="K614" s="4" t="e">
        <f t="shared" ca="1" si="61"/>
        <v>#N/A</v>
      </c>
      <c r="L614" s="4" t="e">
        <f>VLOOKUP(C614,_resources!B:D,3,0)</f>
        <v>#N/A</v>
      </c>
      <c r="M614" s="4" t="e" cm="1">
        <f t="array" aca="1" ref="M614" ca="1">IF(abbrAtEnd,"",L614&amp;"-")&amp;E614&amp;"-"&amp;INDIRECT(OFFSET(element3,MATCH($C614,resources,0)-1,0))&amp;"-"&amp;INDIRECT(OFFSET(element4,MATCH($C614,resources,0)-1,0))&amp;"-"&amp;INDIRECT(OFFSET(element5,MATCH($C614,resources,0)-1,0))&amp;IF(OFFSET(element6,MATCH($C614,resources,0)-1,0)="","","-"&amp;INDIRECT(OFFSET(element6,MATCH($C614,resources,0)-1,0)))&amp;IF(abbrAtEnd,"-"&amp;L614,"")</f>
        <v>#N/A</v>
      </c>
      <c r="N614" s="4" t="str">
        <f t="shared" si="64"/>
        <v>-000</v>
      </c>
      <c r="O614" s="4">
        <f ca="1">IF(totalElements+COUNTIF(Entities!$C$10,"*")+COUNTIF(B614:C614,"*")+COUNTIF(E614:F614,"*")=9,1,0)</f>
        <v>0</v>
      </c>
      <c r="P614" s="4">
        <f>COUNTIF($C$6:C614,C614)</f>
        <v>0</v>
      </c>
      <c r="Q614" s="4">
        <f ca="1">IF(ISNA(M614),0,COUNTIF($M$6:M614,M614))</f>
        <v>0</v>
      </c>
      <c r="R614" s="4" t="e">
        <f t="shared" ca="1" si="63"/>
        <v>#N/A</v>
      </c>
      <c r="S614" s="4">
        <f ca="1">IF(ISNA(M614),0,COUNTIF($R$6:R614,R614))</f>
        <v>0</v>
      </c>
      <c r="T614" s="4" t="e">
        <f t="shared" ca="1" si="62"/>
        <v>#N/A</v>
      </c>
    </row>
    <row r="615" spans="2:20" x14ac:dyDescent="0.3">
      <c r="B615" s="48"/>
      <c r="C615" s="48"/>
      <c r="D615" s="10" t="str">
        <f t="shared" ca="1" si="59"/>
        <v/>
      </c>
      <c r="E615" s="48"/>
      <c r="F615" s="48"/>
      <c r="G615" s="10" t="str">
        <f t="shared" ca="1" si="65"/>
        <v/>
      </c>
      <c r="I615" s="10" t="str">
        <f t="shared" ca="1" si="60"/>
        <v/>
      </c>
      <c r="K615" s="4" t="e">
        <f t="shared" ca="1" si="61"/>
        <v>#N/A</v>
      </c>
      <c r="L615" s="4" t="e">
        <f>VLOOKUP(C615,_resources!B:D,3,0)</f>
        <v>#N/A</v>
      </c>
      <c r="M615" s="4" t="e" cm="1">
        <f t="array" aca="1" ref="M615" ca="1">IF(abbrAtEnd,"",L615&amp;"-")&amp;E615&amp;"-"&amp;INDIRECT(OFFSET(element3,MATCH($C615,resources,0)-1,0))&amp;"-"&amp;INDIRECT(OFFSET(element4,MATCH($C615,resources,0)-1,0))&amp;"-"&amp;INDIRECT(OFFSET(element5,MATCH($C615,resources,0)-1,0))&amp;IF(OFFSET(element6,MATCH($C615,resources,0)-1,0)="","","-"&amp;INDIRECT(OFFSET(element6,MATCH($C615,resources,0)-1,0)))&amp;IF(abbrAtEnd,"-"&amp;L615,"")</f>
        <v>#N/A</v>
      </c>
      <c r="N615" s="4" t="str">
        <f t="shared" si="64"/>
        <v>-000</v>
      </c>
      <c r="O615" s="4">
        <f ca="1">IF(totalElements+COUNTIF(Entities!$C$10,"*")+COUNTIF(B615:C615,"*")+COUNTIF(E615:F615,"*")=9,1,0)</f>
        <v>0</v>
      </c>
      <c r="P615" s="4">
        <f>COUNTIF($C$6:C615,C615)</f>
        <v>0</v>
      </c>
      <c r="Q615" s="4">
        <f ca="1">IF(ISNA(M615),0,COUNTIF($M$6:M615,M615))</f>
        <v>0</v>
      </c>
      <c r="R615" s="4" t="e">
        <f t="shared" ca="1" si="63"/>
        <v>#N/A</v>
      </c>
      <c r="S615" s="4">
        <f ca="1">IF(ISNA(M615),0,COUNTIF($R$6:R615,R615))</f>
        <v>0</v>
      </c>
      <c r="T615" s="4" t="e">
        <f t="shared" ca="1" si="62"/>
        <v>#N/A</v>
      </c>
    </row>
    <row r="616" spans="2:20" x14ac:dyDescent="0.3">
      <c r="B616" s="48"/>
      <c r="C616" s="48"/>
      <c r="D616" s="10" t="str">
        <f t="shared" ca="1" si="59"/>
        <v/>
      </c>
      <c r="E616" s="48"/>
      <c r="F616" s="48"/>
      <c r="G616" s="10" t="str">
        <f t="shared" ca="1" si="65"/>
        <v/>
      </c>
      <c r="I616" s="10" t="str">
        <f t="shared" ca="1" si="60"/>
        <v/>
      </c>
      <c r="K616" s="4" t="e">
        <f t="shared" ca="1" si="61"/>
        <v>#N/A</v>
      </c>
      <c r="L616" s="4" t="e">
        <f>VLOOKUP(C616,_resources!B:D,3,0)</f>
        <v>#N/A</v>
      </c>
      <c r="M616" s="4" t="e" cm="1">
        <f t="array" aca="1" ref="M616" ca="1">IF(abbrAtEnd,"",L616&amp;"-")&amp;E616&amp;"-"&amp;INDIRECT(OFFSET(element3,MATCH($C616,resources,0)-1,0))&amp;"-"&amp;INDIRECT(OFFSET(element4,MATCH($C616,resources,0)-1,0))&amp;"-"&amp;INDIRECT(OFFSET(element5,MATCH($C616,resources,0)-1,0))&amp;IF(OFFSET(element6,MATCH($C616,resources,0)-1,0)="","","-"&amp;INDIRECT(OFFSET(element6,MATCH($C616,resources,0)-1,0)))&amp;IF(abbrAtEnd,"-"&amp;L616,"")</f>
        <v>#N/A</v>
      </c>
      <c r="N616" s="4" t="str">
        <f t="shared" si="64"/>
        <v>-000</v>
      </c>
      <c r="O616" s="4">
        <f ca="1">IF(totalElements+COUNTIF(Entities!$C$10,"*")+COUNTIF(B616:C616,"*")+COUNTIF(E616:F616,"*")=9,1,0)</f>
        <v>0</v>
      </c>
      <c r="P616" s="4">
        <f>COUNTIF($C$6:C616,C616)</f>
        <v>0</v>
      </c>
      <c r="Q616" s="4">
        <f ca="1">IF(ISNA(M616),0,COUNTIF($M$6:M616,M616))</f>
        <v>0</v>
      </c>
      <c r="R616" s="4" t="e">
        <f t="shared" ca="1" si="63"/>
        <v>#N/A</v>
      </c>
      <c r="S616" s="4">
        <f ca="1">IF(ISNA(M616),0,COUNTIF($R$6:R616,R616))</f>
        <v>0</v>
      </c>
      <c r="T616" s="4" t="e">
        <f t="shared" ca="1" si="62"/>
        <v>#N/A</v>
      </c>
    </row>
    <row r="617" spans="2:20" x14ac:dyDescent="0.3">
      <c r="B617" s="48"/>
      <c r="C617" s="48"/>
      <c r="D617" s="10" t="str">
        <f t="shared" ca="1" si="59"/>
        <v/>
      </c>
      <c r="E617" s="48"/>
      <c r="F617" s="48"/>
      <c r="G617" s="10" t="str">
        <f t="shared" ca="1" si="65"/>
        <v/>
      </c>
      <c r="I617" s="10" t="str">
        <f t="shared" ca="1" si="60"/>
        <v/>
      </c>
      <c r="K617" s="4" t="e">
        <f t="shared" ca="1" si="61"/>
        <v>#N/A</v>
      </c>
      <c r="L617" s="4" t="e">
        <f>VLOOKUP(C617,_resources!B:D,3,0)</f>
        <v>#N/A</v>
      </c>
      <c r="M617" s="4" t="e" cm="1">
        <f t="array" aca="1" ref="M617" ca="1">IF(abbrAtEnd,"",L617&amp;"-")&amp;E617&amp;"-"&amp;INDIRECT(OFFSET(element3,MATCH($C617,resources,0)-1,0))&amp;"-"&amp;INDIRECT(OFFSET(element4,MATCH($C617,resources,0)-1,0))&amp;"-"&amp;INDIRECT(OFFSET(element5,MATCH($C617,resources,0)-1,0))&amp;IF(OFFSET(element6,MATCH($C617,resources,0)-1,0)="","","-"&amp;INDIRECT(OFFSET(element6,MATCH($C617,resources,0)-1,0)))&amp;IF(abbrAtEnd,"-"&amp;L617,"")</f>
        <v>#N/A</v>
      </c>
      <c r="N617" s="4" t="str">
        <f t="shared" si="64"/>
        <v>-000</v>
      </c>
      <c r="O617" s="4">
        <f ca="1">IF(totalElements+COUNTIF(Entities!$C$10,"*")+COUNTIF(B617:C617,"*")+COUNTIF(E617:F617,"*")=9,1,0)</f>
        <v>0</v>
      </c>
      <c r="P617" s="4">
        <f>COUNTIF($C$6:C617,C617)</f>
        <v>0</v>
      </c>
      <c r="Q617" s="4">
        <f ca="1">IF(ISNA(M617),0,COUNTIF($M$6:M617,M617))</f>
        <v>0</v>
      </c>
      <c r="R617" s="4" t="e">
        <f t="shared" ca="1" si="63"/>
        <v>#N/A</v>
      </c>
      <c r="S617" s="4">
        <f ca="1">IF(ISNA(M617),0,COUNTIF($R$6:R617,R617))</f>
        <v>0</v>
      </c>
      <c r="T617" s="4" t="e">
        <f t="shared" ca="1" si="62"/>
        <v>#N/A</v>
      </c>
    </row>
    <row r="618" spans="2:20" x14ac:dyDescent="0.3">
      <c r="B618" s="48"/>
      <c r="C618" s="48"/>
      <c r="D618" s="10" t="str">
        <f t="shared" ca="1" si="59"/>
        <v/>
      </c>
      <c r="E618" s="48"/>
      <c r="F618" s="48"/>
      <c r="G618" s="10" t="str">
        <f t="shared" ca="1" si="65"/>
        <v/>
      </c>
      <c r="I618" s="10" t="str">
        <f t="shared" ca="1" si="60"/>
        <v/>
      </c>
      <c r="K618" s="4" t="e">
        <f t="shared" ca="1" si="61"/>
        <v>#N/A</v>
      </c>
      <c r="L618" s="4" t="e">
        <f>VLOOKUP(C618,_resources!B:D,3,0)</f>
        <v>#N/A</v>
      </c>
      <c r="M618" s="4" t="e" cm="1">
        <f t="array" aca="1" ref="M618" ca="1">IF(abbrAtEnd,"",L618&amp;"-")&amp;E618&amp;"-"&amp;INDIRECT(OFFSET(element3,MATCH($C618,resources,0)-1,0))&amp;"-"&amp;INDIRECT(OFFSET(element4,MATCH($C618,resources,0)-1,0))&amp;"-"&amp;INDIRECT(OFFSET(element5,MATCH($C618,resources,0)-1,0))&amp;IF(OFFSET(element6,MATCH($C618,resources,0)-1,0)="","","-"&amp;INDIRECT(OFFSET(element6,MATCH($C618,resources,0)-1,0)))&amp;IF(abbrAtEnd,"-"&amp;L618,"")</f>
        <v>#N/A</v>
      </c>
      <c r="N618" s="4" t="str">
        <f t="shared" si="64"/>
        <v>-000</v>
      </c>
      <c r="O618" s="4">
        <f ca="1">IF(totalElements+COUNTIF(Entities!$C$10,"*")+COUNTIF(B618:C618,"*")+COUNTIF(E618:F618,"*")=9,1,0)</f>
        <v>0</v>
      </c>
      <c r="P618" s="4">
        <f>COUNTIF($C$6:C618,C618)</f>
        <v>0</v>
      </c>
      <c r="Q618" s="4">
        <f ca="1">IF(ISNA(M618),0,COUNTIF($M$6:M618,M618))</f>
        <v>0</v>
      </c>
      <c r="R618" s="4" t="e">
        <f t="shared" ca="1" si="63"/>
        <v>#N/A</v>
      </c>
      <c r="S618" s="4">
        <f ca="1">IF(ISNA(M618),0,COUNTIF($R$6:R618,R618))</f>
        <v>0</v>
      </c>
      <c r="T618" s="4" t="e">
        <f t="shared" ca="1" si="62"/>
        <v>#N/A</v>
      </c>
    </row>
    <row r="619" spans="2:20" x14ac:dyDescent="0.3">
      <c r="B619" s="48"/>
      <c r="C619" s="48"/>
      <c r="D619" s="10" t="str">
        <f t="shared" ca="1" si="59"/>
        <v/>
      </c>
      <c r="E619" s="48"/>
      <c r="F619" s="48"/>
      <c r="G619" s="10" t="str">
        <f t="shared" ca="1" si="65"/>
        <v/>
      </c>
      <c r="I619" s="10" t="str">
        <f t="shared" ca="1" si="60"/>
        <v/>
      </c>
      <c r="K619" s="4" t="e">
        <f t="shared" ca="1" si="61"/>
        <v>#N/A</v>
      </c>
      <c r="L619" s="4" t="e">
        <f>VLOOKUP(C619,_resources!B:D,3,0)</f>
        <v>#N/A</v>
      </c>
      <c r="M619" s="4" t="e" cm="1">
        <f t="array" aca="1" ref="M619" ca="1">IF(abbrAtEnd,"",L619&amp;"-")&amp;E619&amp;"-"&amp;INDIRECT(OFFSET(element3,MATCH($C619,resources,0)-1,0))&amp;"-"&amp;INDIRECT(OFFSET(element4,MATCH($C619,resources,0)-1,0))&amp;"-"&amp;INDIRECT(OFFSET(element5,MATCH($C619,resources,0)-1,0))&amp;IF(OFFSET(element6,MATCH($C619,resources,0)-1,0)="","","-"&amp;INDIRECT(OFFSET(element6,MATCH($C619,resources,0)-1,0)))&amp;IF(abbrAtEnd,"-"&amp;L619,"")</f>
        <v>#N/A</v>
      </c>
      <c r="N619" s="4" t="str">
        <f t="shared" si="64"/>
        <v>-000</v>
      </c>
      <c r="O619" s="4">
        <f ca="1">IF(totalElements+COUNTIF(Entities!$C$10,"*")+COUNTIF(B619:C619,"*")+COUNTIF(E619:F619,"*")=9,1,0)</f>
        <v>0</v>
      </c>
      <c r="P619" s="4">
        <f>COUNTIF($C$6:C619,C619)</f>
        <v>0</v>
      </c>
      <c r="Q619" s="4">
        <f ca="1">IF(ISNA(M619),0,COUNTIF($M$6:M619,M619))</f>
        <v>0</v>
      </c>
      <c r="R619" s="4" t="e">
        <f t="shared" ca="1" si="63"/>
        <v>#N/A</v>
      </c>
      <c r="S619" s="4">
        <f ca="1">IF(ISNA(M619),0,COUNTIF($R$6:R619,R619))</f>
        <v>0</v>
      </c>
      <c r="T619" s="4" t="e">
        <f t="shared" ca="1" si="62"/>
        <v>#N/A</v>
      </c>
    </row>
    <row r="620" spans="2:20" x14ac:dyDescent="0.3">
      <c r="B620" s="48"/>
      <c r="C620" s="48"/>
      <c r="D620" s="10" t="str">
        <f t="shared" ca="1" si="59"/>
        <v/>
      </c>
      <c r="E620" s="48"/>
      <c r="F620" s="48"/>
      <c r="G620" s="10" t="str">
        <f t="shared" ca="1" si="65"/>
        <v/>
      </c>
      <c r="I620" s="10" t="str">
        <f t="shared" ca="1" si="60"/>
        <v/>
      </c>
      <c r="K620" s="4" t="e">
        <f t="shared" ca="1" si="61"/>
        <v>#N/A</v>
      </c>
      <c r="L620" s="4" t="e">
        <f>VLOOKUP(C620,_resources!B:D,3,0)</f>
        <v>#N/A</v>
      </c>
      <c r="M620" s="4" t="e" cm="1">
        <f t="array" aca="1" ref="M620" ca="1">IF(abbrAtEnd,"",L620&amp;"-")&amp;E620&amp;"-"&amp;INDIRECT(OFFSET(element3,MATCH($C620,resources,0)-1,0))&amp;"-"&amp;INDIRECT(OFFSET(element4,MATCH($C620,resources,0)-1,0))&amp;"-"&amp;INDIRECT(OFFSET(element5,MATCH($C620,resources,0)-1,0))&amp;IF(OFFSET(element6,MATCH($C620,resources,0)-1,0)="","","-"&amp;INDIRECT(OFFSET(element6,MATCH($C620,resources,0)-1,0)))&amp;IF(abbrAtEnd,"-"&amp;L620,"")</f>
        <v>#N/A</v>
      </c>
      <c r="N620" s="4" t="str">
        <f t="shared" si="64"/>
        <v>-000</v>
      </c>
      <c r="O620" s="4">
        <f ca="1">IF(totalElements+COUNTIF(Entities!$C$10,"*")+COUNTIF(B620:C620,"*")+COUNTIF(E620:F620,"*")=9,1,0)</f>
        <v>0</v>
      </c>
      <c r="P620" s="4">
        <f>COUNTIF($C$6:C620,C620)</f>
        <v>0</v>
      </c>
      <c r="Q620" s="4">
        <f ca="1">IF(ISNA(M620),0,COUNTIF($M$6:M620,M620))</f>
        <v>0</v>
      </c>
      <c r="R620" s="4" t="e">
        <f t="shared" ca="1" si="63"/>
        <v>#N/A</v>
      </c>
      <c r="S620" s="4">
        <f ca="1">IF(ISNA(M620),0,COUNTIF($R$6:R620,R620))</f>
        <v>0</v>
      </c>
      <c r="T620" s="4" t="e">
        <f t="shared" ca="1" si="62"/>
        <v>#N/A</v>
      </c>
    </row>
    <row r="621" spans="2:20" x14ac:dyDescent="0.3">
      <c r="B621" s="48"/>
      <c r="C621" s="48"/>
      <c r="D621" s="10" t="str">
        <f t="shared" ca="1" si="59"/>
        <v/>
      </c>
      <c r="E621" s="48"/>
      <c r="F621" s="48"/>
      <c r="G621" s="10" t="str">
        <f t="shared" ca="1" si="65"/>
        <v/>
      </c>
      <c r="I621" s="10" t="str">
        <f t="shared" ca="1" si="60"/>
        <v/>
      </c>
      <c r="K621" s="4" t="e">
        <f t="shared" ca="1" si="61"/>
        <v>#N/A</v>
      </c>
      <c r="L621" s="4" t="e">
        <f>VLOOKUP(C621,_resources!B:D,3,0)</f>
        <v>#N/A</v>
      </c>
      <c r="M621" s="4" t="e" cm="1">
        <f t="array" aca="1" ref="M621" ca="1">IF(abbrAtEnd,"",L621&amp;"-")&amp;E621&amp;"-"&amp;INDIRECT(OFFSET(element3,MATCH($C621,resources,0)-1,0))&amp;"-"&amp;INDIRECT(OFFSET(element4,MATCH($C621,resources,0)-1,0))&amp;"-"&amp;INDIRECT(OFFSET(element5,MATCH($C621,resources,0)-1,0))&amp;IF(OFFSET(element6,MATCH($C621,resources,0)-1,0)="","","-"&amp;INDIRECT(OFFSET(element6,MATCH($C621,resources,0)-1,0)))&amp;IF(abbrAtEnd,"-"&amp;L621,"")</f>
        <v>#N/A</v>
      </c>
      <c r="N621" s="4" t="str">
        <f t="shared" si="64"/>
        <v>-000</v>
      </c>
      <c r="O621" s="4">
        <f ca="1">IF(totalElements+COUNTIF(Entities!$C$10,"*")+COUNTIF(B621:C621,"*")+COUNTIF(E621:F621,"*")=9,1,0)</f>
        <v>0</v>
      </c>
      <c r="P621" s="4">
        <f>COUNTIF($C$6:C621,C621)</f>
        <v>0</v>
      </c>
      <c r="Q621" s="4">
        <f ca="1">IF(ISNA(M621),0,COUNTIF($M$6:M621,M621))</f>
        <v>0</v>
      </c>
      <c r="R621" s="4" t="e">
        <f t="shared" ca="1" si="63"/>
        <v>#N/A</v>
      </c>
      <c r="S621" s="4">
        <f ca="1">IF(ISNA(M621),0,COUNTIF($R$6:R621,R621))</f>
        <v>0</v>
      </c>
      <c r="T621" s="4" t="e">
        <f t="shared" ca="1" si="62"/>
        <v>#N/A</v>
      </c>
    </row>
    <row r="622" spans="2:20" x14ac:dyDescent="0.3">
      <c r="B622" s="48"/>
      <c r="C622" s="48"/>
      <c r="D622" s="10" t="str">
        <f t="shared" ca="1" si="59"/>
        <v/>
      </c>
      <c r="E622" s="48"/>
      <c r="F622" s="48"/>
      <c r="G622" s="10" t="str">
        <f t="shared" ca="1" si="65"/>
        <v/>
      </c>
      <c r="I622" s="10" t="str">
        <f t="shared" ca="1" si="60"/>
        <v/>
      </c>
      <c r="K622" s="4" t="e">
        <f t="shared" ca="1" si="61"/>
        <v>#N/A</v>
      </c>
      <c r="L622" s="4" t="e">
        <f>VLOOKUP(C622,_resources!B:D,3,0)</f>
        <v>#N/A</v>
      </c>
      <c r="M622" s="4" t="e" cm="1">
        <f t="array" aca="1" ref="M622" ca="1">IF(abbrAtEnd,"",L622&amp;"-")&amp;E622&amp;"-"&amp;INDIRECT(OFFSET(element3,MATCH($C622,resources,0)-1,0))&amp;"-"&amp;INDIRECT(OFFSET(element4,MATCH($C622,resources,0)-1,0))&amp;"-"&amp;INDIRECT(OFFSET(element5,MATCH($C622,resources,0)-1,0))&amp;IF(OFFSET(element6,MATCH($C622,resources,0)-1,0)="","","-"&amp;INDIRECT(OFFSET(element6,MATCH($C622,resources,0)-1,0)))&amp;IF(abbrAtEnd,"-"&amp;L622,"")</f>
        <v>#N/A</v>
      </c>
      <c r="N622" s="4" t="str">
        <f t="shared" si="64"/>
        <v>-000</v>
      </c>
      <c r="O622" s="4">
        <f ca="1">IF(totalElements+COUNTIF(Entities!$C$10,"*")+COUNTIF(B622:C622,"*")+COUNTIF(E622:F622,"*")=9,1,0)</f>
        <v>0</v>
      </c>
      <c r="P622" s="4">
        <f>COUNTIF($C$6:C622,C622)</f>
        <v>0</v>
      </c>
      <c r="Q622" s="4">
        <f ca="1">IF(ISNA(M622),0,COUNTIF($M$6:M622,M622))</f>
        <v>0</v>
      </c>
      <c r="R622" s="4" t="e">
        <f t="shared" ca="1" si="63"/>
        <v>#N/A</v>
      </c>
      <c r="S622" s="4">
        <f ca="1">IF(ISNA(M622),0,COUNTIF($R$6:R622,R622))</f>
        <v>0</v>
      </c>
      <c r="T622" s="4" t="e">
        <f t="shared" ca="1" si="62"/>
        <v>#N/A</v>
      </c>
    </row>
    <row r="623" spans="2:20" x14ac:dyDescent="0.3">
      <c r="B623" s="48"/>
      <c r="C623" s="48"/>
      <c r="D623" s="10" t="str">
        <f t="shared" ca="1" si="59"/>
        <v/>
      </c>
      <c r="E623" s="48"/>
      <c r="F623" s="48"/>
      <c r="G623" s="10" t="str">
        <f t="shared" ca="1" si="65"/>
        <v/>
      </c>
      <c r="I623" s="10" t="str">
        <f t="shared" ca="1" si="60"/>
        <v/>
      </c>
      <c r="K623" s="4" t="e">
        <f t="shared" ca="1" si="61"/>
        <v>#N/A</v>
      </c>
      <c r="L623" s="4" t="e">
        <f>VLOOKUP(C623,_resources!B:D,3,0)</f>
        <v>#N/A</v>
      </c>
      <c r="M623" s="4" t="e" cm="1">
        <f t="array" aca="1" ref="M623" ca="1">IF(abbrAtEnd,"",L623&amp;"-")&amp;E623&amp;"-"&amp;INDIRECT(OFFSET(element3,MATCH($C623,resources,0)-1,0))&amp;"-"&amp;INDIRECT(OFFSET(element4,MATCH($C623,resources,0)-1,0))&amp;"-"&amp;INDIRECT(OFFSET(element5,MATCH($C623,resources,0)-1,0))&amp;IF(OFFSET(element6,MATCH($C623,resources,0)-1,0)="","","-"&amp;INDIRECT(OFFSET(element6,MATCH($C623,resources,0)-1,0)))&amp;IF(abbrAtEnd,"-"&amp;L623,"")</f>
        <v>#N/A</v>
      </c>
      <c r="N623" s="4" t="str">
        <f t="shared" si="64"/>
        <v>-000</v>
      </c>
      <c r="O623" s="4">
        <f ca="1">IF(totalElements+COUNTIF(Entities!$C$10,"*")+COUNTIF(B623:C623,"*")+COUNTIF(E623:F623,"*")=9,1,0)</f>
        <v>0</v>
      </c>
      <c r="P623" s="4">
        <f>COUNTIF($C$6:C623,C623)</f>
        <v>0</v>
      </c>
      <c r="Q623" s="4">
        <f ca="1">IF(ISNA(M623),0,COUNTIF($M$6:M623,M623))</f>
        <v>0</v>
      </c>
      <c r="R623" s="4" t="e">
        <f t="shared" ca="1" si="63"/>
        <v>#N/A</v>
      </c>
      <c r="S623" s="4">
        <f ca="1">IF(ISNA(M623),0,COUNTIF($R$6:R623,R623))</f>
        <v>0</v>
      </c>
      <c r="T623" s="4" t="e">
        <f t="shared" ca="1" si="62"/>
        <v>#N/A</v>
      </c>
    </row>
    <row r="624" spans="2:20" x14ac:dyDescent="0.3">
      <c r="B624" s="48"/>
      <c r="C624" s="48"/>
      <c r="D624" s="10" t="str">
        <f t="shared" ca="1" si="59"/>
        <v/>
      </c>
      <c r="E624" s="48"/>
      <c r="F624" s="48"/>
      <c r="G624" s="10" t="str">
        <f t="shared" ca="1" si="65"/>
        <v/>
      </c>
      <c r="I624" s="10" t="str">
        <f t="shared" ca="1" si="60"/>
        <v/>
      </c>
      <c r="K624" s="4" t="e">
        <f t="shared" ca="1" si="61"/>
        <v>#N/A</v>
      </c>
      <c r="L624" s="4" t="e">
        <f>VLOOKUP(C624,_resources!B:D,3,0)</f>
        <v>#N/A</v>
      </c>
      <c r="M624" s="4" t="e" cm="1">
        <f t="array" aca="1" ref="M624" ca="1">IF(abbrAtEnd,"",L624&amp;"-")&amp;E624&amp;"-"&amp;INDIRECT(OFFSET(element3,MATCH($C624,resources,0)-1,0))&amp;"-"&amp;INDIRECT(OFFSET(element4,MATCH($C624,resources,0)-1,0))&amp;"-"&amp;INDIRECT(OFFSET(element5,MATCH($C624,resources,0)-1,0))&amp;IF(OFFSET(element6,MATCH($C624,resources,0)-1,0)="","","-"&amp;INDIRECT(OFFSET(element6,MATCH($C624,resources,0)-1,0)))&amp;IF(abbrAtEnd,"-"&amp;L624,"")</f>
        <v>#N/A</v>
      </c>
      <c r="N624" s="4" t="str">
        <f t="shared" si="64"/>
        <v>-000</v>
      </c>
      <c r="O624" s="4">
        <f ca="1">IF(totalElements+COUNTIF(Entities!$C$10,"*")+COUNTIF(B624:C624,"*")+COUNTIF(E624:F624,"*")=9,1,0)</f>
        <v>0</v>
      </c>
      <c r="P624" s="4">
        <f>COUNTIF($C$6:C624,C624)</f>
        <v>0</v>
      </c>
      <c r="Q624" s="4">
        <f ca="1">IF(ISNA(M624),0,COUNTIF($M$6:M624,M624))</f>
        <v>0</v>
      </c>
      <c r="R624" s="4" t="e">
        <f t="shared" ca="1" si="63"/>
        <v>#N/A</v>
      </c>
      <c r="S624" s="4">
        <f ca="1">IF(ISNA(M624),0,COUNTIF($R$6:R624,R624))</f>
        <v>0</v>
      </c>
      <c r="T624" s="4" t="e">
        <f t="shared" ca="1" si="62"/>
        <v>#N/A</v>
      </c>
    </row>
    <row r="625" spans="2:20" x14ac:dyDescent="0.3">
      <c r="B625" s="48"/>
      <c r="C625" s="48"/>
      <c r="D625" s="10" t="str">
        <f t="shared" ref="D625:D688" ca="1" si="66">IF(ISBLANK(C625),"",OFFSET(element2,MATCH($C625,resources,0)-1,0))</f>
        <v/>
      </c>
      <c r="E625" s="48"/>
      <c r="F625" s="48"/>
      <c r="G625" s="10" t="str">
        <f t="shared" ca="1" si="65"/>
        <v/>
      </c>
      <c r="I625" s="10" t="str">
        <f t="shared" ref="I625:I688" ca="1" si="67">IF(O625,IF(LEN(G625)&gt;T625,"Name too Long (length: "&amp;LEN(G625)&amp;", max. "&amp;T625&amp;")","None"),"")</f>
        <v/>
      </c>
      <c r="K625" s="4" t="e">
        <f t="shared" ca="1" si="61"/>
        <v>#N/A</v>
      </c>
      <c r="L625" s="4" t="e">
        <f>VLOOKUP(C625,_resources!B:D,3,0)</f>
        <v>#N/A</v>
      </c>
      <c r="M625" s="4" t="e" cm="1">
        <f t="array" aca="1" ref="M625" ca="1">IF(abbrAtEnd,"",L625&amp;"-")&amp;E625&amp;"-"&amp;INDIRECT(OFFSET(element3,MATCH($C625,resources,0)-1,0))&amp;"-"&amp;INDIRECT(OFFSET(element4,MATCH($C625,resources,0)-1,0))&amp;"-"&amp;INDIRECT(OFFSET(element5,MATCH($C625,resources,0)-1,0))&amp;IF(OFFSET(element6,MATCH($C625,resources,0)-1,0)="","","-"&amp;INDIRECT(OFFSET(element6,MATCH($C625,resources,0)-1,0)))&amp;IF(abbrAtEnd,"-"&amp;L625,"")</f>
        <v>#N/A</v>
      </c>
      <c r="N625" s="4" t="str">
        <f t="shared" si="64"/>
        <v>-000</v>
      </c>
      <c r="O625" s="4">
        <f ca="1">IF(totalElements+COUNTIF(Entities!$C$10,"*")+COUNTIF(B625:C625,"*")+COUNTIF(E625:F625,"*")=9,1,0)</f>
        <v>0</v>
      </c>
      <c r="P625" s="4">
        <f>COUNTIF($C$6:C625,C625)</f>
        <v>0</v>
      </c>
      <c r="Q625" s="4">
        <f ca="1">IF(ISNA(M625),0,COUNTIF($M$6:M625,M625))</f>
        <v>0</v>
      </c>
      <c r="R625" s="4" t="e">
        <f t="shared" ca="1" si="63"/>
        <v>#N/A</v>
      </c>
      <c r="S625" s="4">
        <f ca="1">IF(ISNA(M625),0,COUNTIF($R$6:R625,R625))</f>
        <v>0</v>
      </c>
      <c r="T625" s="4" t="e">
        <f t="shared" ca="1" si="62"/>
        <v>#N/A</v>
      </c>
    </row>
    <row r="626" spans="2:20" x14ac:dyDescent="0.3">
      <c r="B626" s="48"/>
      <c r="C626" s="48"/>
      <c r="D626" s="10" t="str">
        <f t="shared" ca="1" si="66"/>
        <v/>
      </c>
      <c r="E626" s="48"/>
      <c r="F626" s="48"/>
      <c r="G626" s="10" t="str">
        <f t="shared" ca="1" si="65"/>
        <v/>
      </c>
      <c r="I626" s="10" t="str">
        <f t="shared" ca="1" si="67"/>
        <v/>
      </c>
      <c r="K626" s="4" t="e">
        <f t="shared" ca="1" si="61"/>
        <v>#N/A</v>
      </c>
      <c r="L626" s="4" t="e">
        <f>VLOOKUP(C626,_resources!B:D,3,0)</f>
        <v>#N/A</v>
      </c>
      <c r="M626" s="4" t="e" cm="1">
        <f t="array" aca="1" ref="M626" ca="1">IF(abbrAtEnd,"",L626&amp;"-")&amp;E626&amp;"-"&amp;INDIRECT(OFFSET(element3,MATCH($C626,resources,0)-1,0))&amp;"-"&amp;INDIRECT(OFFSET(element4,MATCH($C626,resources,0)-1,0))&amp;"-"&amp;INDIRECT(OFFSET(element5,MATCH($C626,resources,0)-1,0))&amp;IF(OFFSET(element6,MATCH($C626,resources,0)-1,0)="","","-"&amp;INDIRECT(OFFSET(element6,MATCH($C626,resources,0)-1,0)))&amp;IF(abbrAtEnd,"-"&amp;L626,"")</f>
        <v>#N/A</v>
      </c>
      <c r="N626" s="4" t="str">
        <f t="shared" si="64"/>
        <v>-000</v>
      </c>
      <c r="O626" s="4">
        <f ca="1">IF(totalElements+COUNTIF(Entities!$C$10,"*")+COUNTIF(B626:C626,"*")+COUNTIF(E626:F626,"*")=9,1,0)</f>
        <v>0</v>
      </c>
      <c r="P626" s="4">
        <f>COUNTIF($C$6:C626,C626)</f>
        <v>0</v>
      </c>
      <c r="Q626" s="4">
        <f ca="1">IF(ISNA(M626),0,COUNTIF($M$6:M626,M626))</f>
        <v>0</v>
      </c>
      <c r="R626" s="4" t="e">
        <f t="shared" ca="1" si="63"/>
        <v>#N/A</v>
      </c>
      <c r="S626" s="4">
        <f ca="1">IF(ISNA(M626),0,COUNTIF($R$6:R626,R626))</f>
        <v>0</v>
      </c>
      <c r="T626" s="4" t="e">
        <f t="shared" ca="1" si="62"/>
        <v>#N/A</v>
      </c>
    </row>
    <row r="627" spans="2:20" x14ac:dyDescent="0.3">
      <c r="B627" s="48"/>
      <c r="C627" s="48"/>
      <c r="D627" s="10" t="str">
        <f t="shared" ca="1" si="66"/>
        <v/>
      </c>
      <c r="E627" s="48"/>
      <c r="F627" s="48"/>
      <c r="G627" s="10" t="str">
        <f t="shared" ca="1" si="65"/>
        <v/>
      </c>
      <c r="I627" s="10" t="str">
        <f t="shared" ca="1" si="67"/>
        <v/>
      </c>
      <c r="K627" s="4" t="e">
        <f t="shared" ca="1" si="61"/>
        <v>#N/A</v>
      </c>
      <c r="L627" s="4" t="e">
        <f>VLOOKUP(C627,_resources!B:D,3,0)</f>
        <v>#N/A</v>
      </c>
      <c r="M627" s="4" t="e" cm="1">
        <f t="array" aca="1" ref="M627" ca="1">IF(abbrAtEnd,"",L627&amp;"-")&amp;E627&amp;"-"&amp;INDIRECT(OFFSET(element3,MATCH($C627,resources,0)-1,0))&amp;"-"&amp;INDIRECT(OFFSET(element4,MATCH($C627,resources,0)-1,0))&amp;"-"&amp;INDIRECT(OFFSET(element5,MATCH($C627,resources,0)-1,0))&amp;IF(OFFSET(element6,MATCH($C627,resources,0)-1,0)="","","-"&amp;INDIRECT(OFFSET(element6,MATCH($C627,resources,0)-1,0)))&amp;IF(abbrAtEnd,"-"&amp;L627,"")</f>
        <v>#N/A</v>
      </c>
      <c r="N627" s="4" t="str">
        <f t="shared" si="64"/>
        <v>-000</v>
      </c>
      <c r="O627" s="4">
        <f ca="1">IF(totalElements+COUNTIF(Entities!$C$10,"*")+COUNTIF(B627:C627,"*")+COUNTIF(E627:F627,"*")=9,1,0)</f>
        <v>0</v>
      </c>
      <c r="P627" s="4">
        <f>COUNTIF($C$6:C627,C627)</f>
        <v>0</v>
      </c>
      <c r="Q627" s="4">
        <f ca="1">IF(ISNA(M627),0,COUNTIF($M$6:M627,M627))</f>
        <v>0</v>
      </c>
      <c r="R627" s="4" t="e">
        <f t="shared" ca="1" si="63"/>
        <v>#N/A</v>
      </c>
      <c r="S627" s="4">
        <f ca="1">IF(ISNA(M627),0,COUNTIF($R$6:R627,R627))</f>
        <v>0</v>
      </c>
      <c r="T627" s="4" t="e">
        <f t="shared" ca="1" si="62"/>
        <v>#N/A</v>
      </c>
    </row>
    <row r="628" spans="2:20" x14ac:dyDescent="0.3">
      <c r="B628" s="48"/>
      <c r="C628" s="48"/>
      <c r="D628" s="10" t="str">
        <f t="shared" ca="1" si="66"/>
        <v/>
      </c>
      <c r="E628" s="48"/>
      <c r="F628" s="48"/>
      <c r="G628" s="10" t="str">
        <f t="shared" ca="1" si="65"/>
        <v/>
      </c>
      <c r="I628" s="10" t="str">
        <f t="shared" ca="1" si="67"/>
        <v/>
      </c>
      <c r="K628" s="4" t="e">
        <f t="shared" ca="1" si="61"/>
        <v>#N/A</v>
      </c>
      <c r="L628" s="4" t="e">
        <f>VLOOKUP(C628,_resources!B:D,3,0)</f>
        <v>#N/A</v>
      </c>
      <c r="M628" s="4" t="e" cm="1">
        <f t="array" aca="1" ref="M628" ca="1">IF(abbrAtEnd,"",L628&amp;"-")&amp;E628&amp;"-"&amp;INDIRECT(OFFSET(element3,MATCH($C628,resources,0)-1,0))&amp;"-"&amp;INDIRECT(OFFSET(element4,MATCH($C628,resources,0)-1,0))&amp;"-"&amp;INDIRECT(OFFSET(element5,MATCH($C628,resources,0)-1,0))&amp;IF(OFFSET(element6,MATCH($C628,resources,0)-1,0)="","","-"&amp;INDIRECT(OFFSET(element6,MATCH($C628,resources,0)-1,0)))&amp;IF(abbrAtEnd,"-"&amp;L628,"")</f>
        <v>#N/A</v>
      </c>
      <c r="N628" s="4" t="str">
        <f t="shared" si="64"/>
        <v>-000</v>
      </c>
      <c r="O628" s="4">
        <f ca="1">IF(totalElements+COUNTIF(Entities!$C$10,"*")+COUNTIF(B628:C628,"*")+COUNTIF(E628:F628,"*")=9,1,0)</f>
        <v>0</v>
      </c>
      <c r="P628" s="4">
        <f>COUNTIF($C$6:C628,C628)</f>
        <v>0</v>
      </c>
      <c r="Q628" s="4">
        <f ca="1">IF(ISNA(M628),0,COUNTIF($M$6:M628,M628))</f>
        <v>0</v>
      </c>
      <c r="R628" s="4" t="e">
        <f t="shared" ca="1" si="63"/>
        <v>#N/A</v>
      </c>
      <c r="S628" s="4">
        <f ca="1">IF(ISNA(M628),0,COUNTIF($R$6:R628,R628))</f>
        <v>0</v>
      </c>
      <c r="T628" s="4" t="e">
        <f t="shared" ca="1" si="62"/>
        <v>#N/A</v>
      </c>
    </row>
    <row r="629" spans="2:20" x14ac:dyDescent="0.3">
      <c r="B629" s="48"/>
      <c r="C629" s="48"/>
      <c r="D629" s="10" t="str">
        <f t="shared" ca="1" si="66"/>
        <v/>
      </c>
      <c r="E629" s="48"/>
      <c r="F629" s="48"/>
      <c r="G629" s="10" t="str">
        <f t="shared" ca="1" si="65"/>
        <v/>
      </c>
      <c r="I629" s="10" t="str">
        <f t="shared" ca="1" si="67"/>
        <v/>
      </c>
      <c r="K629" s="4" t="e">
        <f t="shared" ca="1" si="61"/>
        <v>#N/A</v>
      </c>
      <c r="L629" s="4" t="e">
        <f>VLOOKUP(C629,_resources!B:D,3,0)</f>
        <v>#N/A</v>
      </c>
      <c r="M629" s="4" t="e" cm="1">
        <f t="array" aca="1" ref="M629" ca="1">IF(abbrAtEnd,"",L629&amp;"-")&amp;E629&amp;"-"&amp;INDIRECT(OFFSET(element3,MATCH($C629,resources,0)-1,0))&amp;"-"&amp;INDIRECT(OFFSET(element4,MATCH($C629,resources,0)-1,0))&amp;"-"&amp;INDIRECT(OFFSET(element5,MATCH($C629,resources,0)-1,0))&amp;IF(OFFSET(element6,MATCH($C629,resources,0)-1,0)="","","-"&amp;INDIRECT(OFFSET(element6,MATCH($C629,resources,0)-1,0)))&amp;IF(abbrAtEnd,"-"&amp;L629,"")</f>
        <v>#N/A</v>
      </c>
      <c r="N629" s="4" t="str">
        <f t="shared" si="64"/>
        <v>-000</v>
      </c>
      <c r="O629" s="4">
        <f ca="1">IF(totalElements+COUNTIF(Entities!$C$10,"*")+COUNTIF(B629:C629,"*")+COUNTIF(E629:F629,"*")=9,1,0)</f>
        <v>0</v>
      </c>
      <c r="P629" s="4">
        <f>COUNTIF($C$6:C629,C629)</f>
        <v>0</v>
      </c>
      <c r="Q629" s="4">
        <f ca="1">IF(ISNA(M629),0,COUNTIF($M$6:M629,M629))</f>
        <v>0</v>
      </c>
      <c r="R629" s="4" t="e">
        <f t="shared" ca="1" si="63"/>
        <v>#N/A</v>
      </c>
      <c r="S629" s="4">
        <f ca="1">IF(ISNA(M629),0,COUNTIF($R$6:R629,R629))</f>
        <v>0</v>
      </c>
      <c r="T629" s="4" t="e">
        <f t="shared" ca="1" si="62"/>
        <v>#N/A</v>
      </c>
    </row>
    <row r="630" spans="2:20" x14ac:dyDescent="0.3">
      <c r="B630" s="48"/>
      <c r="C630" s="48"/>
      <c r="D630" s="10" t="str">
        <f t="shared" ca="1" si="66"/>
        <v/>
      </c>
      <c r="E630" s="48"/>
      <c r="F630" s="48"/>
      <c r="G630" s="10" t="str">
        <f t="shared" ca="1" si="65"/>
        <v/>
      </c>
      <c r="I630" s="10" t="str">
        <f t="shared" ca="1" si="67"/>
        <v/>
      </c>
      <c r="K630" s="4" t="e">
        <f t="shared" ca="1" si="61"/>
        <v>#N/A</v>
      </c>
      <c r="L630" s="4" t="e">
        <f>VLOOKUP(C630,_resources!B:D,3,0)</f>
        <v>#N/A</v>
      </c>
      <c r="M630" s="4" t="e" cm="1">
        <f t="array" aca="1" ref="M630" ca="1">IF(abbrAtEnd,"",L630&amp;"-")&amp;E630&amp;"-"&amp;INDIRECT(OFFSET(element3,MATCH($C630,resources,0)-1,0))&amp;"-"&amp;INDIRECT(OFFSET(element4,MATCH($C630,resources,0)-1,0))&amp;"-"&amp;INDIRECT(OFFSET(element5,MATCH($C630,resources,0)-1,0))&amp;IF(OFFSET(element6,MATCH($C630,resources,0)-1,0)="","","-"&amp;INDIRECT(OFFSET(element6,MATCH($C630,resources,0)-1,0)))&amp;IF(abbrAtEnd,"-"&amp;L630,"")</f>
        <v>#N/A</v>
      </c>
      <c r="N630" s="4" t="str">
        <f t="shared" si="64"/>
        <v>-000</v>
      </c>
      <c r="O630" s="4">
        <f ca="1">IF(totalElements+COUNTIF(Entities!$C$10,"*")+COUNTIF(B630:C630,"*")+COUNTIF(E630:F630,"*")=9,1,0)</f>
        <v>0</v>
      </c>
      <c r="P630" s="4">
        <f>COUNTIF($C$6:C630,C630)</f>
        <v>0</v>
      </c>
      <c r="Q630" s="4">
        <f ca="1">IF(ISNA(M630),0,COUNTIF($M$6:M630,M630))</f>
        <v>0</v>
      </c>
      <c r="R630" s="4" t="e">
        <f t="shared" ca="1" si="63"/>
        <v>#N/A</v>
      </c>
      <c r="S630" s="4">
        <f ca="1">IF(ISNA(M630),0,COUNTIF($R$6:R630,R630))</f>
        <v>0</v>
      </c>
      <c r="T630" s="4" t="e">
        <f t="shared" ca="1" si="62"/>
        <v>#N/A</v>
      </c>
    </row>
    <row r="631" spans="2:20" x14ac:dyDescent="0.3">
      <c r="B631" s="48"/>
      <c r="C631" s="48"/>
      <c r="D631" s="10" t="str">
        <f t="shared" ca="1" si="66"/>
        <v/>
      </c>
      <c r="E631" s="48"/>
      <c r="F631" s="48"/>
      <c r="G631" s="10" t="str">
        <f t="shared" ca="1" si="65"/>
        <v/>
      </c>
      <c r="I631" s="10" t="str">
        <f t="shared" ca="1" si="67"/>
        <v/>
      </c>
      <c r="K631" s="4" t="e">
        <f t="shared" ca="1" si="61"/>
        <v>#N/A</v>
      </c>
      <c r="L631" s="4" t="e">
        <f>VLOOKUP(C631,_resources!B:D,3,0)</f>
        <v>#N/A</v>
      </c>
      <c r="M631" s="4" t="e" cm="1">
        <f t="array" aca="1" ref="M631" ca="1">IF(abbrAtEnd,"",L631&amp;"-")&amp;E631&amp;"-"&amp;INDIRECT(OFFSET(element3,MATCH($C631,resources,0)-1,0))&amp;"-"&amp;INDIRECT(OFFSET(element4,MATCH($C631,resources,0)-1,0))&amp;"-"&amp;INDIRECT(OFFSET(element5,MATCH($C631,resources,0)-1,0))&amp;IF(OFFSET(element6,MATCH($C631,resources,0)-1,0)="","","-"&amp;INDIRECT(OFFSET(element6,MATCH($C631,resources,0)-1,0)))&amp;IF(abbrAtEnd,"-"&amp;L631,"")</f>
        <v>#N/A</v>
      </c>
      <c r="N631" s="4" t="str">
        <f t="shared" si="64"/>
        <v>-000</v>
      </c>
      <c r="O631" s="4">
        <f ca="1">IF(totalElements+COUNTIF(Entities!$C$10,"*")+COUNTIF(B631:C631,"*")+COUNTIF(E631:F631,"*")=9,1,0)</f>
        <v>0</v>
      </c>
      <c r="P631" s="4">
        <f>COUNTIF($C$6:C631,C631)</f>
        <v>0</v>
      </c>
      <c r="Q631" s="4">
        <f ca="1">IF(ISNA(M631),0,COUNTIF($M$6:M631,M631))</f>
        <v>0</v>
      </c>
      <c r="R631" s="4" t="e">
        <f t="shared" ca="1" si="63"/>
        <v>#N/A</v>
      </c>
      <c r="S631" s="4">
        <f ca="1">IF(ISNA(M631),0,COUNTIF($R$6:R631,R631))</f>
        <v>0</v>
      </c>
      <c r="T631" s="4" t="e">
        <f t="shared" ca="1" si="62"/>
        <v>#N/A</v>
      </c>
    </row>
    <row r="632" spans="2:20" x14ac:dyDescent="0.3">
      <c r="B632" s="48"/>
      <c r="C632" s="48"/>
      <c r="D632" s="10" t="str">
        <f t="shared" ca="1" si="66"/>
        <v/>
      </c>
      <c r="E632" s="48"/>
      <c r="F632" s="48"/>
      <c r="G632" s="10" t="str">
        <f t="shared" ca="1" si="65"/>
        <v/>
      </c>
      <c r="I632" s="10" t="str">
        <f t="shared" ca="1" si="67"/>
        <v/>
      </c>
      <c r="K632" s="4" t="e">
        <f t="shared" ca="1" si="61"/>
        <v>#N/A</v>
      </c>
      <c r="L632" s="4" t="e">
        <f>VLOOKUP(C632,_resources!B:D,3,0)</f>
        <v>#N/A</v>
      </c>
      <c r="M632" s="4" t="e" cm="1">
        <f t="array" aca="1" ref="M632" ca="1">IF(abbrAtEnd,"",L632&amp;"-")&amp;E632&amp;"-"&amp;INDIRECT(OFFSET(element3,MATCH($C632,resources,0)-1,0))&amp;"-"&amp;INDIRECT(OFFSET(element4,MATCH($C632,resources,0)-1,0))&amp;"-"&amp;INDIRECT(OFFSET(element5,MATCH($C632,resources,0)-1,0))&amp;IF(OFFSET(element6,MATCH($C632,resources,0)-1,0)="","","-"&amp;INDIRECT(OFFSET(element6,MATCH($C632,resources,0)-1,0)))&amp;IF(abbrAtEnd,"-"&amp;L632,"")</f>
        <v>#N/A</v>
      </c>
      <c r="N632" s="4" t="str">
        <f t="shared" si="64"/>
        <v>-000</v>
      </c>
      <c r="O632" s="4">
        <f ca="1">IF(totalElements+COUNTIF(Entities!$C$10,"*")+COUNTIF(B632:C632,"*")+COUNTIF(E632:F632,"*")=9,1,0)</f>
        <v>0</v>
      </c>
      <c r="P632" s="4">
        <f>COUNTIF($C$6:C632,C632)</f>
        <v>0</v>
      </c>
      <c r="Q632" s="4">
        <f ca="1">IF(ISNA(M632),0,COUNTIF($M$6:M632,M632))</f>
        <v>0</v>
      </c>
      <c r="R632" s="4" t="e">
        <f t="shared" ca="1" si="63"/>
        <v>#N/A</v>
      </c>
      <c r="S632" s="4">
        <f ca="1">IF(ISNA(M632),0,COUNTIF($R$6:R632,R632))</f>
        <v>0</v>
      </c>
      <c r="T632" s="4" t="e">
        <f t="shared" ca="1" si="62"/>
        <v>#N/A</v>
      </c>
    </row>
    <row r="633" spans="2:20" x14ac:dyDescent="0.3">
      <c r="B633" s="48"/>
      <c r="C633" s="48"/>
      <c r="D633" s="10" t="str">
        <f t="shared" ca="1" si="66"/>
        <v/>
      </c>
      <c r="E633" s="48"/>
      <c r="F633" s="48"/>
      <c r="G633" s="10" t="str">
        <f t="shared" ca="1" si="65"/>
        <v/>
      </c>
      <c r="I633" s="10" t="str">
        <f t="shared" ca="1" si="67"/>
        <v/>
      </c>
      <c r="K633" s="4" t="e">
        <f t="shared" ca="1" si="61"/>
        <v>#N/A</v>
      </c>
      <c r="L633" s="4" t="e">
        <f>VLOOKUP(C633,_resources!B:D,3,0)</f>
        <v>#N/A</v>
      </c>
      <c r="M633" s="4" t="e" cm="1">
        <f t="array" aca="1" ref="M633" ca="1">IF(abbrAtEnd,"",L633&amp;"-")&amp;E633&amp;"-"&amp;INDIRECT(OFFSET(element3,MATCH($C633,resources,0)-1,0))&amp;"-"&amp;INDIRECT(OFFSET(element4,MATCH($C633,resources,0)-1,0))&amp;"-"&amp;INDIRECT(OFFSET(element5,MATCH($C633,resources,0)-1,0))&amp;IF(OFFSET(element6,MATCH($C633,resources,0)-1,0)="","","-"&amp;INDIRECT(OFFSET(element6,MATCH($C633,resources,0)-1,0)))&amp;IF(abbrAtEnd,"-"&amp;L633,"")</f>
        <v>#N/A</v>
      </c>
      <c r="N633" s="4" t="str">
        <f t="shared" si="64"/>
        <v>-000</v>
      </c>
      <c r="O633" s="4">
        <f ca="1">IF(totalElements+COUNTIF(Entities!$C$10,"*")+COUNTIF(B633:C633,"*")+COUNTIF(E633:F633,"*")=9,1,0)</f>
        <v>0</v>
      </c>
      <c r="P633" s="4">
        <f>COUNTIF($C$6:C633,C633)</f>
        <v>0</v>
      </c>
      <c r="Q633" s="4">
        <f ca="1">IF(ISNA(M633),0,COUNTIF($M$6:M633,M633))</f>
        <v>0</v>
      </c>
      <c r="R633" s="4" t="e">
        <f t="shared" ca="1" si="63"/>
        <v>#N/A</v>
      </c>
      <c r="S633" s="4">
        <f ca="1">IF(ISNA(M633),0,COUNTIF($R$6:R633,R633))</f>
        <v>0</v>
      </c>
      <c r="T633" s="4" t="e">
        <f t="shared" ca="1" si="62"/>
        <v>#N/A</v>
      </c>
    </row>
    <row r="634" spans="2:20" x14ac:dyDescent="0.3">
      <c r="B634" s="48"/>
      <c r="C634" s="48"/>
      <c r="D634" s="10" t="str">
        <f t="shared" ca="1" si="66"/>
        <v/>
      </c>
      <c r="E634" s="48"/>
      <c r="F634" s="48"/>
      <c r="G634" s="10" t="str">
        <f t="shared" ca="1" si="65"/>
        <v/>
      </c>
      <c r="I634" s="10" t="str">
        <f t="shared" ca="1" si="67"/>
        <v/>
      </c>
      <c r="K634" s="4" t="e">
        <f t="shared" ca="1" si="61"/>
        <v>#N/A</v>
      </c>
      <c r="L634" s="4" t="e">
        <f>VLOOKUP(C634,_resources!B:D,3,0)</f>
        <v>#N/A</v>
      </c>
      <c r="M634" s="4" t="e" cm="1">
        <f t="array" aca="1" ref="M634" ca="1">IF(abbrAtEnd,"",L634&amp;"-")&amp;E634&amp;"-"&amp;INDIRECT(OFFSET(element3,MATCH($C634,resources,0)-1,0))&amp;"-"&amp;INDIRECT(OFFSET(element4,MATCH($C634,resources,0)-1,0))&amp;"-"&amp;INDIRECT(OFFSET(element5,MATCH($C634,resources,0)-1,0))&amp;IF(OFFSET(element6,MATCH($C634,resources,0)-1,0)="","","-"&amp;INDIRECT(OFFSET(element6,MATCH($C634,resources,0)-1,0)))&amp;IF(abbrAtEnd,"-"&amp;L634,"")</f>
        <v>#N/A</v>
      </c>
      <c r="N634" s="4" t="str">
        <f t="shared" si="64"/>
        <v>-000</v>
      </c>
      <c r="O634" s="4">
        <f ca="1">IF(totalElements+COUNTIF(Entities!$C$10,"*")+COUNTIF(B634:C634,"*")+COUNTIF(E634:F634,"*")=9,1,0)</f>
        <v>0</v>
      </c>
      <c r="P634" s="4">
        <f>COUNTIF($C$6:C634,C634)</f>
        <v>0</v>
      </c>
      <c r="Q634" s="4">
        <f ca="1">IF(ISNA(M634),0,COUNTIF($M$6:M634,M634))</f>
        <v>0</v>
      </c>
      <c r="R634" s="4" t="e">
        <f t="shared" ca="1" si="63"/>
        <v>#N/A</v>
      </c>
      <c r="S634" s="4">
        <f ca="1">IF(ISNA(M634),0,COUNTIF($R$6:R634,R634))</f>
        <v>0</v>
      </c>
      <c r="T634" s="4" t="e">
        <f t="shared" ca="1" si="62"/>
        <v>#N/A</v>
      </c>
    </row>
    <row r="635" spans="2:20" x14ac:dyDescent="0.3">
      <c r="B635" s="48"/>
      <c r="C635" s="48"/>
      <c r="D635" s="10" t="str">
        <f t="shared" ca="1" si="66"/>
        <v/>
      </c>
      <c r="E635" s="48"/>
      <c r="F635" s="48"/>
      <c r="G635" s="10" t="str">
        <f t="shared" ca="1" si="65"/>
        <v/>
      </c>
      <c r="I635" s="10" t="str">
        <f t="shared" ca="1" si="67"/>
        <v/>
      </c>
      <c r="K635" s="4" t="e">
        <f t="shared" ca="1" si="61"/>
        <v>#N/A</v>
      </c>
      <c r="L635" s="4" t="e">
        <f>VLOOKUP(C635,_resources!B:D,3,0)</f>
        <v>#N/A</v>
      </c>
      <c r="M635" s="4" t="e" cm="1">
        <f t="array" aca="1" ref="M635" ca="1">IF(abbrAtEnd,"",L635&amp;"-")&amp;E635&amp;"-"&amp;INDIRECT(OFFSET(element3,MATCH($C635,resources,0)-1,0))&amp;"-"&amp;INDIRECT(OFFSET(element4,MATCH($C635,resources,0)-1,0))&amp;"-"&amp;INDIRECT(OFFSET(element5,MATCH($C635,resources,0)-1,0))&amp;IF(OFFSET(element6,MATCH($C635,resources,0)-1,0)="","","-"&amp;INDIRECT(OFFSET(element6,MATCH($C635,resources,0)-1,0)))&amp;IF(abbrAtEnd,"-"&amp;L635,"")</f>
        <v>#N/A</v>
      </c>
      <c r="N635" s="4" t="str">
        <f t="shared" si="64"/>
        <v>-000</v>
      </c>
      <c r="O635" s="4">
        <f ca="1">IF(totalElements+COUNTIF(Entities!$C$10,"*")+COUNTIF(B635:C635,"*")+COUNTIF(E635:F635,"*")=9,1,0)</f>
        <v>0</v>
      </c>
      <c r="P635" s="4">
        <f>COUNTIF($C$6:C635,C635)</f>
        <v>0</v>
      </c>
      <c r="Q635" s="4">
        <f ca="1">IF(ISNA(M635),0,COUNTIF($M$6:M635,M635))</f>
        <v>0</v>
      </c>
      <c r="R635" s="4" t="e">
        <f t="shared" ca="1" si="63"/>
        <v>#N/A</v>
      </c>
      <c r="S635" s="4">
        <f ca="1">IF(ISNA(M635),0,COUNTIF($R$6:R635,R635))</f>
        <v>0</v>
      </c>
      <c r="T635" s="4" t="e">
        <f t="shared" ca="1" si="62"/>
        <v>#N/A</v>
      </c>
    </row>
    <row r="636" spans="2:20" x14ac:dyDescent="0.3">
      <c r="B636" s="48"/>
      <c r="C636" s="48"/>
      <c r="D636" s="10" t="str">
        <f t="shared" ca="1" si="66"/>
        <v/>
      </c>
      <c r="E636" s="48"/>
      <c r="F636" s="48"/>
      <c r="G636" s="10" t="str">
        <f t="shared" ca="1" si="65"/>
        <v/>
      </c>
      <c r="I636" s="10" t="str">
        <f t="shared" ca="1" si="67"/>
        <v/>
      </c>
      <c r="K636" s="4" t="e">
        <f t="shared" ca="1" si="61"/>
        <v>#N/A</v>
      </c>
      <c r="L636" s="4" t="e">
        <f>VLOOKUP(C636,_resources!B:D,3,0)</f>
        <v>#N/A</v>
      </c>
      <c r="M636" s="4" t="e" cm="1">
        <f t="array" aca="1" ref="M636" ca="1">IF(abbrAtEnd,"",L636&amp;"-")&amp;E636&amp;"-"&amp;INDIRECT(OFFSET(element3,MATCH($C636,resources,0)-1,0))&amp;"-"&amp;INDIRECT(OFFSET(element4,MATCH($C636,resources,0)-1,0))&amp;"-"&amp;INDIRECT(OFFSET(element5,MATCH($C636,resources,0)-1,0))&amp;IF(OFFSET(element6,MATCH($C636,resources,0)-1,0)="","","-"&amp;INDIRECT(OFFSET(element6,MATCH($C636,resources,0)-1,0)))&amp;IF(abbrAtEnd,"-"&amp;L636,"")</f>
        <v>#N/A</v>
      </c>
      <c r="N636" s="4" t="str">
        <f t="shared" si="64"/>
        <v>-000</v>
      </c>
      <c r="O636" s="4">
        <f ca="1">IF(totalElements+COUNTIF(Entities!$C$10,"*")+COUNTIF(B636:C636,"*")+COUNTIF(E636:F636,"*")=9,1,0)</f>
        <v>0</v>
      </c>
      <c r="P636" s="4">
        <f>COUNTIF($C$6:C636,C636)</f>
        <v>0</v>
      </c>
      <c r="Q636" s="4">
        <f ca="1">IF(ISNA(M636),0,COUNTIF($M$6:M636,M636))</f>
        <v>0</v>
      </c>
      <c r="R636" s="4" t="e">
        <f t="shared" ca="1" si="63"/>
        <v>#N/A</v>
      </c>
      <c r="S636" s="4">
        <f ca="1">IF(ISNA(M636),0,COUNTIF($R$6:R636,R636))</f>
        <v>0</v>
      </c>
      <c r="T636" s="4" t="e">
        <f t="shared" ca="1" si="62"/>
        <v>#N/A</v>
      </c>
    </row>
    <row r="637" spans="2:20" x14ac:dyDescent="0.3">
      <c r="B637" s="48"/>
      <c r="C637" s="48"/>
      <c r="D637" s="10" t="str">
        <f t="shared" ca="1" si="66"/>
        <v/>
      </c>
      <c r="E637" s="48"/>
      <c r="F637" s="48"/>
      <c r="G637" s="10" t="str">
        <f t="shared" ca="1" si="65"/>
        <v/>
      </c>
      <c r="I637" s="10" t="str">
        <f t="shared" ca="1" si="67"/>
        <v/>
      </c>
      <c r="K637" s="4" t="e">
        <f t="shared" ca="1" si="61"/>
        <v>#N/A</v>
      </c>
      <c r="L637" s="4" t="e">
        <f>VLOOKUP(C637,_resources!B:D,3,0)</f>
        <v>#N/A</v>
      </c>
      <c r="M637" s="4" t="e" cm="1">
        <f t="array" aca="1" ref="M637" ca="1">IF(abbrAtEnd,"",L637&amp;"-")&amp;E637&amp;"-"&amp;INDIRECT(OFFSET(element3,MATCH($C637,resources,0)-1,0))&amp;"-"&amp;INDIRECT(OFFSET(element4,MATCH($C637,resources,0)-1,0))&amp;"-"&amp;INDIRECT(OFFSET(element5,MATCH($C637,resources,0)-1,0))&amp;IF(OFFSET(element6,MATCH($C637,resources,0)-1,0)="","","-"&amp;INDIRECT(OFFSET(element6,MATCH($C637,resources,0)-1,0)))&amp;IF(abbrAtEnd,"-"&amp;L637,"")</f>
        <v>#N/A</v>
      </c>
      <c r="N637" s="4" t="str">
        <f t="shared" si="64"/>
        <v>-000</v>
      </c>
      <c r="O637" s="4">
        <f ca="1">IF(totalElements+COUNTIF(Entities!$C$10,"*")+COUNTIF(B637:C637,"*")+COUNTIF(E637:F637,"*")=9,1,0)</f>
        <v>0</v>
      </c>
      <c r="P637" s="4">
        <f>COUNTIF($C$6:C637,C637)</f>
        <v>0</v>
      </c>
      <c r="Q637" s="4">
        <f ca="1">IF(ISNA(M637),0,COUNTIF($M$6:M637,M637))</f>
        <v>0</v>
      </c>
      <c r="R637" s="4" t="e">
        <f t="shared" ca="1" si="63"/>
        <v>#N/A</v>
      </c>
      <c r="S637" s="4">
        <f ca="1">IF(ISNA(M637),0,COUNTIF($R$6:R637,R637))</f>
        <v>0</v>
      </c>
      <c r="T637" s="4" t="e">
        <f t="shared" ca="1" si="62"/>
        <v>#N/A</v>
      </c>
    </row>
    <row r="638" spans="2:20" x14ac:dyDescent="0.3">
      <c r="B638" s="48"/>
      <c r="C638" s="48"/>
      <c r="D638" s="10" t="str">
        <f t="shared" ca="1" si="66"/>
        <v/>
      </c>
      <c r="E638" s="48"/>
      <c r="F638" s="48"/>
      <c r="G638" s="10" t="str">
        <f t="shared" ca="1" si="65"/>
        <v/>
      </c>
      <c r="I638" s="10" t="str">
        <f t="shared" ca="1" si="67"/>
        <v/>
      </c>
      <c r="K638" s="4" t="e">
        <f t="shared" ca="1" si="61"/>
        <v>#N/A</v>
      </c>
      <c r="L638" s="4" t="e">
        <f>VLOOKUP(C638,_resources!B:D,3,0)</f>
        <v>#N/A</v>
      </c>
      <c r="M638" s="4" t="e" cm="1">
        <f t="array" aca="1" ref="M638" ca="1">IF(abbrAtEnd,"",L638&amp;"-")&amp;E638&amp;"-"&amp;INDIRECT(OFFSET(element3,MATCH($C638,resources,0)-1,0))&amp;"-"&amp;INDIRECT(OFFSET(element4,MATCH($C638,resources,0)-1,0))&amp;"-"&amp;INDIRECT(OFFSET(element5,MATCH($C638,resources,0)-1,0))&amp;IF(OFFSET(element6,MATCH($C638,resources,0)-1,0)="","","-"&amp;INDIRECT(OFFSET(element6,MATCH($C638,resources,0)-1,0)))&amp;IF(abbrAtEnd,"-"&amp;L638,"")</f>
        <v>#N/A</v>
      </c>
      <c r="N638" s="4" t="str">
        <f t="shared" si="64"/>
        <v>-000</v>
      </c>
      <c r="O638" s="4">
        <f ca="1">IF(totalElements+COUNTIF(Entities!$C$10,"*")+COUNTIF(B638:C638,"*")+COUNTIF(E638:F638,"*")=9,1,0)</f>
        <v>0</v>
      </c>
      <c r="P638" s="4">
        <f>COUNTIF($C$6:C638,C638)</f>
        <v>0</v>
      </c>
      <c r="Q638" s="4">
        <f ca="1">IF(ISNA(M638),0,COUNTIF($M$6:M638,M638))</f>
        <v>0</v>
      </c>
      <c r="R638" s="4" t="e">
        <f t="shared" ca="1" si="63"/>
        <v>#N/A</v>
      </c>
      <c r="S638" s="4">
        <f ca="1">IF(ISNA(M638),0,COUNTIF($R$6:R638,R638))</f>
        <v>0</v>
      </c>
      <c r="T638" s="4" t="e">
        <f t="shared" ca="1" si="62"/>
        <v>#N/A</v>
      </c>
    </row>
    <row r="639" spans="2:20" x14ac:dyDescent="0.3">
      <c r="B639" s="48"/>
      <c r="C639" s="48"/>
      <c r="D639" s="10" t="str">
        <f t="shared" ca="1" si="66"/>
        <v/>
      </c>
      <c r="E639" s="48"/>
      <c r="F639" s="48"/>
      <c r="G639" s="10" t="str">
        <f t="shared" ca="1" si="65"/>
        <v/>
      </c>
      <c r="I639" s="10" t="str">
        <f t="shared" ca="1" si="67"/>
        <v/>
      </c>
      <c r="K639" s="4" t="e">
        <f t="shared" ca="1" si="61"/>
        <v>#N/A</v>
      </c>
      <c r="L639" s="4" t="e">
        <f>VLOOKUP(C639,_resources!B:D,3,0)</f>
        <v>#N/A</v>
      </c>
      <c r="M639" s="4" t="e" cm="1">
        <f t="array" aca="1" ref="M639" ca="1">IF(abbrAtEnd,"",L639&amp;"-")&amp;E639&amp;"-"&amp;INDIRECT(OFFSET(element3,MATCH($C639,resources,0)-1,0))&amp;"-"&amp;INDIRECT(OFFSET(element4,MATCH($C639,resources,0)-1,0))&amp;"-"&amp;INDIRECT(OFFSET(element5,MATCH($C639,resources,0)-1,0))&amp;IF(OFFSET(element6,MATCH($C639,resources,0)-1,0)="","","-"&amp;INDIRECT(OFFSET(element6,MATCH($C639,resources,0)-1,0)))&amp;IF(abbrAtEnd,"-"&amp;L639,"")</f>
        <v>#N/A</v>
      </c>
      <c r="N639" s="4" t="str">
        <f t="shared" si="64"/>
        <v>-000</v>
      </c>
      <c r="O639" s="4">
        <f ca="1">IF(totalElements+COUNTIF(Entities!$C$10,"*")+COUNTIF(B639:C639,"*")+COUNTIF(E639:F639,"*")=9,1,0)</f>
        <v>0</v>
      </c>
      <c r="P639" s="4">
        <f>COUNTIF($C$6:C639,C639)</f>
        <v>0</v>
      </c>
      <c r="Q639" s="4">
        <f ca="1">IF(ISNA(M639),0,COUNTIF($M$6:M639,M639))</f>
        <v>0</v>
      </c>
      <c r="R639" s="4" t="e">
        <f t="shared" ca="1" si="63"/>
        <v>#N/A</v>
      </c>
      <c r="S639" s="4">
        <f ca="1">IF(ISNA(M639),0,COUNTIF($R$6:R639,R639))</f>
        <v>0</v>
      </c>
      <c r="T639" s="4" t="e">
        <f t="shared" ca="1" si="62"/>
        <v>#N/A</v>
      </c>
    </row>
    <row r="640" spans="2:20" x14ac:dyDescent="0.3">
      <c r="B640" s="48"/>
      <c r="C640" s="48"/>
      <c r="D640" s="10" t="str">
        <f t="shared" ca="1" si="66"/>
        <v/>
      </c>
      <c r="E640" s="48"/>
      <c r="F640" s="48"/>
      <c r="G640" s="10" t="str">
        <f t="shared" ca="1" si="65"/>
        <v/>
      </c>
      <c r="I640" s="10" t="str">
        <f t="shared" ca="1" si="67"/>
        <v/>
      </c>
      <c r="K640" s="4" t="e">
        <f t="shared" ca="1" si="61"/>
        <v>#N/A</v>
      </c>
      <c r="L640" s="4" t="e">
        <f>VLOOKUP(C640,_resources!B:D,3,0)</f>
        <v>#N/A</v>
      </c>
      <c r="M640" s="4" t="e" cm="1">
        <f t="array" aca="1" ref="M640" ca="1">IF(abbrAtEnd,"",L640&amp;"-")&amp;E640&amp;"-"&amp;INDIRECT(OFFSET(element3,MATCH($C640,resources,0)-1,0))&amp;"-"&amp;INDIRECT(OFFSET(element4,MATCH($C640,resources,0)-1,0))&amp;"-"&amp;INDIRECT(OFFSET(element5,MATCH($C640,resources,0)-1,0))&amp;IF(OFFSET(element6,MATCH($C640,resources,0)-1,0)="","","-"&amp;INDIRECT(OFFSET(element6,MATCH($C640,resources,0)-1,0)))&amp;IF(abbrAtEnd,"-"&amp;L640,"")</f>
        <v>#N/A</v>
      </c>
      <c r="N640" s="4" t="str">
        <f t="shared" si="64"/>
        <v>-000</v>
      </c>
      <c r="O640" s="4">
        <f ca="1">IF(totalElements+COUNTIF(Entities!$C$10,"*")+COUNTIF(B640:C640,"*")+COUNTIF(E640:F640,"*")=9,1,0)</f>
        <v>0</v>
      </c>
      <c r="P640" s="4">
        <f>COUNTIF($C$6:C640,C640)</f>
        <v>0</v>
      </c>
      <c r="Q640" s="4">
        <f ca="1">IF(ISNA(M640),0,COUNTIF($M$6:M640,M640))</f>
        <v>0</v>
      </c>
      <c r="R640" s="4" t="e">
        <f t="shared" ca="1" si="63"/>
        <v>#N/A</v>
      </c>
      <c r="S640" s="4">
        <f ca="1">IF(ISNA(M640),0,COUNTIF($R$6:R640,R640))</f>
        <v>0</v>
      </c>
      <c r="T640" s="4" t="e">
        <f t="shared" ca="1" si="62"/>
        <v>#N/A</v>
      </c>
    </row>
    <row r="641" spans="2:20" x14ac:dyDescent="0.3">
      <c r="B641" s="48"/>
      <c r="C641" s="48"/>
      <c r="D641" s="10" t="str">
        <f t="shared" ca="1" si="66"/>
        <v/>
      </c>
      <c r="E641" s="48"/>
      <c r="F641" s="48"/>
      <c r="G641" s="10" t="str">
        <f t="shared" ca="1" si="65"/>
        <v/>
      </c>
      <c r="I641" s="10" t="str">
        <f t="shared" ca="1" si="67"/>
        <v/>
      </c>
      <c r="K641" s="4" t="e">
        <f t="shared" ca="1" si="61"/>
        <v>#N/A</v>
      </c>
      <c r="L641" s="4" t="e">
        <f>VLOOKUP(C641,_resources!B:D,3,0)</f>
        <v>#N/A</v>
      </c>
      <c r="M641" s="4" t="e" cm="1">
        <f t="array" aca="1" ref="M641" ca="1">IF(abbrAtEnd,"",L641&amp;"-")&amp;E641&amp;"-"&amp;INDIRECT(OFFSET(element3,MATCH($C641,resources,0)-1,0))&amp;"-"&amp;INDIRECT(OFFSET(element4,MATCH($C641,resources,0)-1,0))&amp;"-"&amp;INDIRECT(OFFSET(element5,MATCH($C641,resources,0)-1,0))&amp;IF(OFFSET(element6,MATCH($C641,resources,0)-1,0)="","","-"&amp;INDIRECT(OFFSET(element6,MATCH($C641,resources,0)-1,0)))&amp;IF(abbrAtEnd,"-"&amp;L641,"")</f>
        <v>#N/A</v>
      </c>
      <c r="N641" s="4" t="str">
        <f t="shared" si="64"/>
        <v>-000</v>
      </c>
      <c r="O641" s="4">
        <f ca="1">IF(totalElements+COUNTIF(Entities!$C$10,"*")+COUNTIF(B641:C641,"*")+COUNTIF(E641:F641,"*")=9,1,0)</f>
        <v>0</v>
      </c>
      <c r="P641" s="4">
        <f>COUNTIF($C$6:C641,C641)</f>
        <v>0</v>
      </c>
      <c r="Q641" s="4">
        <f ca="1">IF(ISNA(M641),0,COUNTIF($M$6:M641,M641))</f>
        <v>0</v>
      </c>
      <c r="R641" s="4" t="e">
        <f t="shared" ca="1" si="63"/>
        <v>#N/A</v>
      </c>
      <c r="S641" s="4">
        <f ca="1">IF(ISNA(M641),0,COUNTIF($R$6:R641,R641))</f>
        <v>0</v>
      </c>
      <c r="T641" s="4" t="e">
        <f t="shared" ca="1" si="62"/>
        <v>#N/A</v>
      </c>
    </row>
    <row r="642" spans="2:20" x14ac:dyDescent="0.3">
      <c r="B642" s="48"/>
      <c r="C642" s="48"/>
      <c r="D642" s="10" t="str">
        <f t="shared" ca="1" si="66"/>
        <v/>
      </c>
      <c r="E642" s="48"/>
      <c r="F642" s="48"/>
      <c r="G642" s="10" t="str">
        <f t="shared" ca="1" si="65"/>
        <v/>
      </c>
      <c r="I642" s="10" t="str">
        <f t="shared" ca="1" si="67"/>
        <v/>
      </c>
      <c r="K642" s="4" t="e">
        <f t="shared" ca="1" si="61"/>
        <v>#N/A</v>
      </c>
      <c r="L642" s="4" t="e">
        <f>VLOOKUP(C642,_resources!B:D,3,0)</f>
        <v>#N/A</v>
      </c>
      <c r="M642" s="4" t="e" cm="1">
        <f t="array" aca="1" ref="M642" ca="1">IF(abbrAtEnd,"",L642&amp;"-")&amp;E642&amp;"-"&amp;INDIRECT(OFFSET(element3,MATCH($C642,resources,0)-1,0))&amp;"-"&amp;INDIRECT(OFFSET(element4,MATCH($C642,resources,0)-1,0))&amp;"-"&amp;INDIRECT(OFFSET(element5,MATCH($C642,resources,0)-1,0))&amp;IF(OFFSET(element6,MATCH($C642,resources,0)-1,0)="","","-"&amp;INDIRECT(OFFSET(element6,MATCH($C642,resources,0)-1,0)))&amp;IF(abbrAtEnd,"-"&amp;L642,"")</f>
        <v>#N/A</v>
      </c>
      <c r="N642" s="4" t="str">
        <f t="shared" si="64"/>
        <v>-000</v>
      </c>
      <c r="O642" s="4">
        <f ca="1">IF(totalElements+COUNTIF(Entities!$C$10,"*")+COUNTIF(B642:C642,"*")+COUNTIF(E642:F642,"*")=9,1,0)</f>
        <v>0</v>
      </c>
      <c r="P642" s="4">
        <f>COUNTIF($C$6:C642,C642)</f>
        <v>0</v>
      </c>
      <c r="Q642" s="4">
        <f ca="1">IF(ISNA(M642),0,COUNTIF($M$6:M642,M642))</f>
        <v>0</v>
      </c>
      <c r="R642" s="4" t="e">
        <f t="shared" ca="1" si="63"/>
        <v>#N/A</v>
      </c>
      <c r="S642" s="4">
        <f ca="1">IF(ISNA(M642),0,COUNTIF($R$6:R642,R642))</f>
        <v>0</v>
      </c>
      <c r="T642" s="4" t="e">
        <f t="shared" ca="1" si="62"/>
        <v>#N/A</v>
      </c>
    </row>
    <row r="643" spans="2:20" x14ac:dyDescent="0.3">
      <c r="B643" s="48"/>
      <c r="C643" s="48"/>
      <c r="D643" s="10" t="str">
        <f t="shared" ca="1" si="66"/>
        <v/>
      </c>
      <c r="E643" s="48"/>
      <c r="F643" s="48"/>
      <c r="G643" s="10" t="str">
        <f t="shared" ca="1" si="65"/>
        <v/>
      </c>
      <c r="I643" s="10" t="str">
        <f t="shared" ca="1" si="67"/>
        <v/>
      </c>
      <c r="K643" s="4" t="e">
        <f t="shared" ca="1" si="61"/>
        <v>#N/A</v>
      </c>
      <c r="L643" s="4" t="e">
        <f>VLOOKUP(C643,_resources!B:D,3,0)</f>
        <v>#N/A</v>
      </c>
      <c r="M643" s="4" t="e" cm="1">
        <f t="array" aca="1" ref="M643" ca="1">IF(abbrAtEnd,"",L643&amp;"-")&amp;E643&amp;"-"&amp;INDIRECT(OFFSET(element3,MATCH($C643,resources,0)-1,0))&amp;"-"&amp;INDIRECT(OFFSET(element4,MATCH($C643,resources,0)-1,0))&amp;"-"&amp;INDIRECT(OFFSET(element5,MATCH($C643,resources,0)-1,0))&amp;IF(OFFSET(element6,MATCH($C643,resources,0)-1,0)="","","-"&amp;INDIRECT(OFFSET(element6,MATCH($C643,resources,0)-1,0)))&amp;IF(abbrAtEnd,"-"&amp;L643,"")</f>
        <v>#N/A</v>
      </c>
      <c r="N643" s="4" t="str">
        <f t="shared" si="64"/>
        <v>-000</v>
      </c>
      <c r="O643" s="4">
        <f ca="1">IF(totalElements+COUNTIF(Entities!$C$10,"*")+COUNTIF(B643:C643,"*")+COUNTIF(E643:F643,"*")=9,1,0)</f>
        <v>0</v>
      </c>
      <c r="P643" s="4">
        <f>COUNTIF($C$6:C643,C643)</f>
        <v>0</v>
      </c>
      <c r="Q643" s="4">
        <f ca="1">IF(ISNA(M643),0,COUNTIF($M$6:M643,M643))</f>
        <v>0</v>
      </c>
      <c r="R643" s="4" t="e">
        <f t="shared" ca="1" si="63"/>
        <v>#N/A</v>
      </c>
      <c r="S643" s="4">
        <f ca="1">IF(ISNA(M643),0,COUNTIF($R$6:R643,R643))</f>
        <v>0</v>
      </c>
      <c r="T643" s="4" t="e">
        <f t="shared" ca="1" si="62"/>
        <v>#N/A</v>
      </c>
    </row>
    <row r="644" spans="2:20" x14ac:dyDescent="0.3">
      <c r="B644" s="48"/>
      <c r="C644" s="48"/>
      <c r="D644" s="10" t="str">
        <f t="shared" ca="1" si="66"/>
        <v/>
      </c>
      <c r="E644" s="48"/>
      <c r="F644" s="48"/>
      <c r="G644" s="10" t="str">
        <f t="shared" ca="1" si="65"/>
        <v/>
      </c>
      <c r="I644" s="10" t="str">
        <f t="shared" ca="1" si="67"/>
        <v/>
      </c>
      <c r="K644" s="4" t="e">
        <f t="shared" ca="1" si="61"/>
        <v>#N/A</v>
      </c>
      <c r="L644" s="4" t="e">
        <f>VLOOKUP(C644,_resources!B:D,3,0)</f>
        <v>#N/A</v>
      </c>
      <c r="M644" s="4" t="e" cm="1">
        <f t="array" aca="1" ref="M644" ca="1">IF(abbrAtEnd,"",L644&amp;"-")&amp;E644&amp;"-"&amp;INDIRECT(OFFSET(element3,MATCH($C644,resources,0)-1,0))&amp;"-"&amp;INDIRECT(OFFSET(element4,MATCH($C644,resources,0)-1,0))&amp;"-"&amp;INDIRECT(OFFSET(element5,MATCH($C644,resources,0)-1,0))&amp;IF(OFFSET(element6,MATCH($C644,resources,0)-1,0)="","","-"&amp;INDIRECT(OFFSET(element6,MATCH($C644,resources,0)-1,0)))&amp;IF(abbrAtEnd,"-"&amp;L644,"")</f>
        <v>#N/A</v>
      </c>
      <c r="N644" s="4" t="str">
        <f t="shared" si="64"/>
        <v>-000</v>
      </c>
      <c r="O644" s="4">
        <f ca="1">IF(totalElements+COUNTIF(Entities!$C$10,"*")+COUNTIF(B644:C644,"*")+COUNTIF(E644:F644,"*")=9,1,0)</f>
        <v>0</v>
      </c>
      <c r="P644" s="4">
        <f>COUNTIF($C$6:C644,C644)</f>
        <v>0</v>
      </c>
      <c r="Q644" s="4">
        <f ca="1">IF(ISNA(M644),0,COUNTIF($M$6:M644,M644))</f>
        <v>0</v>
      </c>
      <c r="R644" s="4" t="e">
        <f t="shared" ca="1" si="63"/>
        <v>#N/A</v>
      </c>
      <c r="S644" s="4">
        <f ca="1">IF(ISNA(M644),0,COUNTIF($R$6:R644,R644))</f>
        <v>0</v>
      </c>
      <c r="T644" s="4" t="e">
        <f t="shared" ca="1" si="62"/>
        <v>#N/A</v>
      </c>
    </row>
    <row r="645" spans="2:20" x14ac:dyDescent="0.3">
      <c r="B645" s="48"/>
      <c r="C645" s="48"/>
      <c r="D645" s="10" t="str">
        <f t="shared" ca="1" si="66"/>
        <v/>
      </c>
      <c r="E645" s="48"/>
      <c r="F645" s="48"/>
      <c r="G645" s="10" t="str">
        <f t="shared" ca="1" si="65"/>
        <v/>
      </c>
      <c r="I645" s="10" t="str">
        <f t="shared" ca="1" si="67"/>
        <v/>
      </c>
      <c r="K645" s="4" t="e">
        <f t="shared" ca="1" si="61"/>
        <v>#N/A</v>
      </c>
      <c r="L645" s="4" t="e">
        <f>VLOOKUP(C645,_resources!B:D,3,0)</f>
        <v>#N/A</v>
      </c>
      <c r="M645" s="4" t="e" cm="1">
        <f t="array" aca="1" ref="M645" ca="1">IF(abbrAtEnd,"",L645&amp;"-")&amp;E645&amp;"-"&amp;INDIRECT(OFFSET(element3,MATCH($C645,resources,0)-1,0))&amp;"-"&amp;INDIRECT(OFFSET(element4,MATCH($C645,resources,0)-1,0))&amp;"-"&amp;INDIRECT(OFFSET(element5,MATCH($C645,resources,0)-1,0))&amp;IF(OFFSET(element6,MATCH($C645,resources,0)-1,0)="","","-"&amp;INDIRECT(OFFSET(element6,MATCH($C645,resources,0)-1,0)))&amp;IF(abbrAtEnd,"-"&amp;L645,"")</f>
        <v>#N/A</v>
      </c>
      <c r="N645" s="4" t="str">
        <f t="shared" si="64"/>
        <v>-000</v>
      </c>
      <c r="O645" s="4">
        <f ca="1">IF(totalElements+COUNTIF(Entities!$C$10,"*")+COUNTIF(B645:C645,"*")+COUNTIF(E645:F645,"*")=9,1,0)</f>
        <v>0</v>
      </c>
      <c r="P645" s="4">
        <f>COUNTIF($C$6:C645,C645)</f>
        <v>0</v>
      </c>
      <c r="Q645" s="4">
        <f ca="1">IF(ISNA(M645),0,COUNTIF($M$6:M645,M645))</f>
        <v>0</v>
      </c>
      <c r="R645" s="4" t="e">
        <f t="shared" ca="1" si="63"/>
        <v>#N/A</v>
      </c>
      <c r="S645" s="4">
        <f ca="1">IF(ISNA(M645),0,COUNTIF($R$6:R645,R645))</f>
        <v>0</v>
      </c>
      <c r="T645" s="4" t="e">
        <f t="shared" ca="1" si="62"/>
        <v>#N/A</v>
      </c>
    </row>
    <row r="646" spans="2:20" x14ac:dyDescent="0.3">
      <c r="B646" s="48"/>
      <c r="C646" s="48"/>
      <c r="D646" s="10" t="str">
        <f t="shared" ca="1" si="66"/>
        <v/>
      </c>
      <c r="E646" s="48"/>
      <c r="F646" s="48"/>
      <c r="G646" s="10" t="str">
        <f t="shared" ca="1" si="65"/>
        <v/>
      </c>
      <c r="I646" s="10" t="str">
        <f t="shared" ca="1" si="67"/>
        <v/>
      </c>
      <c r="K646" s="4" t="e">
        <f t="shared" ref="K646:K709" ca="1" si="68">OFFSET(structure,MATCH($C646,resources,0)-1,0)</f>
        <v>#N/A</v>
      </c>
      <c r="L646" s="4" t="e">
        <f>VLOOKUP(C646,_resources!B:D,3,0)</f>
        <v>#N/A</v>
      </c>
      <c r="M646" s="4" t="e" cm="1">
        <f t="array" aca="1" ref="M646" ca="1">IF(abbrAtEnd,"",L646&amp;"-")&amp;E646&amp;"-"&amp;INDIRECT(OFFSET(element3,MATCH($C646,resources,0)-1,0))&amp;"-"&amp;INDIRECT(OFFSET(element4,MATCH($C646,resources,0)-1,0))&amp;"-"&amp;INDIRECT(OFFSET(element5,MATCH($C646,resources,0)-1,0))&amp;IF(OFFSET(element6,MATCH($C646,resources,0)-1,0)="","","-"&amp;INDIRECT(OFFSET(element6,MATCH($C646,resources,0)-1,0)))&amp;IF(abbrAtEnd,"-"&amp;L646,"")</f>
        <v>#N/A</v>
      </c>
      <c r="N646" s="4" t="str">
        <f t="shared" si="64"/>
        <v>-000</v>
      </c>
      <c r="O646" s="4">
        <f ca="1">IF(totalElements+COUNTIF(Entities!$C$10,"*")+COUNTIF(B646:C646,"*")+COUNTIF(E646:F646,"*")=9,1,0)</f>
        <v>0</v>
      </c>
      <c r="P646" s="4">
        <f>COUNTIF($C$6:C646,C646)</f>
        <v>0</v>
      </c>
      <c r="Q646" s="4">
        <f ca="1">IF(ISNA(M646),0,COUNTIF($M$6:M646,M646))</f>
        <v>0</v>
      </c>
      <c r="R646" s="4" t="e">
        <f t="shared" ca="1" si="63"/>
        <v>#N/A</v>
      </c>
      <c r="S646" s="4">
        <f ca="1">IF(ISNA(M646),0,COUNTIF($R$6:R646,R646))</f>
        <v>0</v>
      </c>
      <c r="T646" s="4" t="e">
        <f t="shared" ref="T646:T709" ca="1" si="69">OFFSET(maxLength,MATCH($C646,resources,0)-1,0)</f>
        <v>#N/A</v>
      </c>
    </row>
    <row r="647" spans="2:20" x14ac:dyDescent="0.3">
      <c r="B647" s="48"/>
      <c r="C647" s="48"/>
      <c r="D647" s="10" t="str">
        <f t="shared" ca="1" si="66"/>
        <v/>
      </c>
      <c r="E647" s="48"/>
      <c r="F647" s="48"/>
      <c r="G647" s="10" t="str">
        <f t="shared" ca="1" si="65"/>
        <v/>
      </c>
      <c r="I647" s="10" t="str">
        <f t="shared" ca="1" si="67"/>
        <v/>
      </c>
      <c r="K647" s="4" t="e">
        <f t="shared" ca="1" si="68"/>
        <v>#N/A</v>
      </c>
      <c r="L647" s="4" t="e">
        <f>VLOOKUP(C647,_resources!B:D,3,0)</f>
        <v>#N/A</v>
      </c>
      <c r="M647" s="4" t="e" cm="1">
        <f t="array" aca="1" ref="M647" ca="1">IF(abbrAtEnd,"",L647&amp;"-")&amp;E647&amp;"-"&amp;INDIRECT(OFFSET(element3,MATCH($C647,resources,0)-1,0))&amp;"-"&amp;INDIRECT(OFFSET(element4,MATCH($C647,resources,0)-1,0))&amp;"-"&amp;INDIRECT(OFFSET(element5,MATCH($C647,resources,0)-1,0))&amp;IF(OFFSET(element6,MATCH($C647,resources,0)-1,0)="","","-"&amp;INDIRECT(OFFSET(element6,MATCH($C647,resources,0)-1,0)))&amp;IF(abbrAtEnd,"-"&amp;L647,"")</f>
        <v>#N/A</v>
      </c>
      <c r="N647" s="4" t="str">
        <f t="shared" si="64"/>
        <v>-000</v>
      </c>
      <c r="O647" s="4">
        <f ca="1">IF(totalElements+COUNTIF(Entities!$C$10,"*")+COUNTIF(B647:C647,"*")+COUNTIF(E647:F647,"*")=9,1,0)</f>
        <v>0</v>
      </c>
      <c r="P647" s="4">
        <f>COUNTIF($C$6:C647,C647)</f>
        <v>0</v>
      </c>
      <c r="Q647" s="4">
        <f ca="1">IF(ISNA(M647),0,COUNTIF($M$6:M647,M647))</f>
        <v>0</v>
      </c>
      <c r="R647" s="4" t="e">
        <f t="shared" ref="R647:R710" ca="1" si="70">F647&amp;"__"&amp;M647</f>
        <v>#N/A</v>
      </c>
      <c r="S647" s="4">
        <f ca="1">IF(ISNA(M647),0,COUNTIF($R$6:R647,R647))</f>
        <v>0</v>
      </c>
      <c r="T647" s="4" t="e">
        <f t="shared" ca="1" si="69"/>
        <v>#N/A</v>
      </c>
    </row>
    <row r="648" spans="2:20" x14ac:dyDescent="0.3">
      <c r="B648" s="48"/>
      <c r="C648" s="48"/>
      <c r="D648" s="10" t="str">
        <f t="shared" ca="1" si="66"/>
        <v/>
      </c>
      <c r="E648" s="48"/>
      <c r="F648" s="48"/>
      <c r="G648" s="10" t="str">
        <f t="shared" ca="1" si="65"/>
        <v/>
      </c>
      <c r="I648" s="10" t="str">
        <f t="shared" ca="1" si="67"/>
        <v/>
      </c>
      <c r="K648" s="4" t="e">
        <f t="shared" ca="1" si="68"/>
        <v>#N/A</v>
      </c>
      <c r="L648" s="4" t="e">
        <f>VLOOKUP(C648,_resources!B:D,3,0)</f>
        <v>#N/A</v>
      </c>
      <c r="M648" s="4" t="e" cm="1">
        <f t="array" aca="1" ref="M648" ca="1">IF(abbrAtEnd,"",L648&amp;"-")&amp;E648&amp;"-"&amp;INDIRECT(OFFSET(element3,MATCH($C648,resources,0)-1,0))&amp;"-"&amp;INDIRECT(OFFSET(element4,MATCH($C648,resources,0)-1,0))&amp;"-"&amp;INDIRECT(OFFSET(element5,MATCH($C648,resources,0)-1,0))&amp;IF(OFFSET(element6,MATCH($C648,resources,0)-1,0)="","","-"&amp;INDIRECT(OFFSET(element6,MATCH($C648,resources,0)-1,0)))&amp;IF(abbrAtEnd,"-"&amp;L648,"")</f>
        <v>#N/A</v>
      </c>
      <c r="N648" s="4" t="str">
        <f t="shared" si="64"/>
        <v>-000</v>
      </c>
      <c r="O648" s="4">
        <f ca="1">IF(totalElements+COUNTIF(Entities!$C$10,"*")+COUNTIF(B648:C648,"*")+COUNTIF(E648:F648,"*")=9,1,0)</f>
        <v>0</v>
      </c>
      <c r="P648" s="4">
        <f>COUNTIF($C$6:C648,C648)</f>
        <v>0</v>
      </c>
      <c r="Q648" s="4">
        <f ca="1">IF(ISNA(M648),0,COUNTIF($M$6:M648,M648))</f>
        <v>0</v>
      </c>
      <c r="R648" s="4" t="e">
        <f t="shared" ca="1" si="70"/>
        <v>#N/A</v>
      </c>
      <c r="S648" s="4">
        <f ca="1">IF(ISNA(M648),0,COUNTIF($R$6:R648,R648))</f>
        <v>0</v>
      </c>
      <c r="T648" s="4" t="e">
        <f t="shared" ca="1" si="69"/>
        <v>#N/A</v>
      </c>
    </row>
    <row r="649" spans="2:20" x14ac:dyDescent="0.3">
      <c r="B649" s="48"/>
      <c r="C649" s="48"/>
      <c r="D649" s="10" t="str">
        <f t="shared" ca="1" si="66"/>
        <v/>
      </c>
      <c r="E649" s="48"/>
      <c r="F649" s="48"/>
      <c r="G649" s="10" t="str">
        <f t="shared" ca="1" si="65"/>
        <v/>
      </c>
      <c r="I649" s="10" t="str">
        <f t="shared" ca="1" si="67"/>
        <v/>
      </c>
      <c r="K649" s="4" t="e">
        <f t="shared" ca="1" si="68"/>
        <v>#N/A</v>
      </c>
      <c r="L649" s="4" t="e">
        <f>VLOOKUP(C649,_resources!B:D,3,0)</f>
        <v>#N/A</v>
      </c>
      <c r="M649" s="4" t="e" cm="1">
        <f t="array" aca="1" ref="M649" ca="1">IF(abbrAtEnd,"",L649&amp;"-")&amp;E649&amp;"-"&amp;INDIRECT(OFFSET(element3,MATCH($C649,resources,0)-1,0))&amp;"-"&amp;INDIRECT(OFFSET(element4,MATCH($C649,resources,0)-1,0))&amp;"-"&amp;INDIRECT(OFFSET(element5,MATCH($C649,resources,0)-1,0))&amp;IF(OFFSET(element6,MATCH($C649,resources,0)-1,0)="","","-"&amp;INDIRECT(OFFSET(element6,MATCH($C649,resources,0)-1,0)))&amp;IF(abbrAtEnd,"-"&amp;L649,"")</f>
        <v>#N/A</v>
      </c>
      <c r="N649" s="4" t="str">
        <f t="shared" si="64"/>
        <v>-000</v>
      </c>
      <c r="O649" s="4">
        <f ca="1">IF(totalElements+COUNTIF(Entities!$C$10,"*")+COUNTIF(B649:C649,"*")+COUNTIF(E649:F649,"*")=9,1,0)</f>
        <v>0</v>
      </c>
      <c r="P649" s="4">
        <f>COUNTIF($C$6:C649,C649)</f>
        <v>0</v>
      </c>
      <c r="Q649" s="4">
        <f ca="1">IF(ISNA(M649),0,COUNTIF($M$6:M649,M649))</f>
        <v>0</v>
      </c>
      <c r="R649" s="4" t="e">
        <f t="shared" ca="1" si="70"/>
        <v>#N/A</v>
      </c>
      <c r="S649" s="4">
        <f ca="1">IF(ISNA(M649),0,COUNTIF($R$6:R649,R649))</f>
        <v>0</v>
      </c>
      <c r="T649" s="4" t="e">
        <f t="shared" ca="1" si="69"/>
        <v>#N/A</v>
      </c>
    </row>
    <row r="650" spans="2:20" x14ac:dyDescent="0.3">
      <c r="B650" s="48"/>
      <c r="C650" s="48"/>
      <c r="D650" s="10" t="str">
        <f t="shared" ca="1" si="66"/>
        <v/>
      </c>
      <c r="E650" s="48"/>
      <c r="F650" s="48"/>
      <c r="G650" s="10" t="str">
        <f t="shared" ca="1" si="65"/>
        <v/>
      </c>
      <c r="I650" s="10" t="str">
        <f t="shared" ca="1" si="67"/>
        <v/>
      </c>
      <c r="K650" s="4" t="e">
        <f t="shared" ca="1" si="68"/>
        <v>#N/A</v>
      </c>
      <c r="L650" s="4" t="e">
        <f>VLOOKUP(C650,_resources!B:D,3,0)</f>
        <v>#N/A</v>
      </c>
      <c r="M650" s="4" t="e" cm="1">
        <f t="array" aca="1" ref="M650" ca="1">IF(abbrAtEnd,"",L650&amp;"-")&amp;E650&amp;"-"&amp;INDIRECT(OFFSET(element3,MATCH($C650,resources,0)-1,0))&amp;"-"&amp;INDIRECT(OFFSET(element4,MATCH($C650,resources,0)-1,0))&amp;"-"&amp;INDIRECT(OFFSET(element5,MATCH($C650,resources,0)-1,0))&amp;IF(OFFSET(element6,MATCH($C650,resources,0)-1,0)="","","-"&amp;INDIRECT(OFFSET(element6,MATCH($C650,resources,0)-1,0)))&amp;IF(abbrAtEnd,"-"&amp;L650,"")</f>
        <v>#N/A</v>
      </c>
      <c r="N650" s="4" t="str">
        <f t="shared" si="64"/>
        <v>-000</v>
      </c>
      <c r="O650" s="4">
        <f ca="1">IF(totalElements+COUNTIF(Entities!$C$10,"*")+COUNTIF(B650:C650,"*")+COUNTIF(E650:F650,"*")=9,1,0)</f>
        <v>0</v>
      </c>
      <c r="P650" s="4">
        <f>COUNTIF($C$6:C650,C650)</f>
        <v>0</v>
      </c>
      <c r="Q650" s="4">
        <f ca="1">IF(ISNA(M650),0,COUNTIF($M$6:M650,M650))</f>
        <v>0</v>
      </c>
      <c r="R650" s="4" t="e">
        <f t="shared" ca="1" si="70"/>
        <v>#N/A</v>
      </c>
      <c r="S650" s="4">
        <f ca="1">IF(ISNA(M650),0,COUNTIF($R$6:R650,R650))</f>
        <v>0</v>
      </c>
      <c r="T650" s="4" t="e">
        <f t="shared" ca="1" si="69"/>
        <v>#N/A</v>
      </c>
    </row>
    <row r="651" spans="2:20" x14ac:dyDescent="0.3">
      <c r="B651" s="48"/>
      <c r="C651" s="48"/>
      <c r="D651" s="10" t="str">
        <f t="shared" ca="1" si="66"/>
        <v/>
      </c>
      <c r="E651" s="48"/>
      <c r="F651" s="48"/>
      <c r="G651" s="10" t="str">
        <f t="shared" ca="1" si="65"/>
        <v/>
      </c>
      <c r="I651" s="10" t="str">
        <f t="shared" ca="1" si="67"/>
        <v/>
      </c>
      <c r="K651" s="4" t="e">
        <f t="shared" ca="1" si="68"/>
        <v>#N/A</v>
      </c>
      <c r="L651" s="4" t="e">
        <f>VLOOKUP(C651,_resources!B:D,3,0)</f>
        <v>#N/A</v>
      </c>
      <c r="M651" s="4" t="e" cm="1">
        <f t="array" aca="1" ref="M651" ca="1">IF(abbrAtEnd,"",L651&amp;"-")&amp;E651&amp;"-"&amp;INDIRECT(OFFSET(element3,MATCH($C651,resources,0)-1,0))&amp;"-"&amp;INDIRECT(OFFSET(element4,MATCH($C651,resources,0)-1,0))&amp;"-"&amp;INDIRECT(OFFSET(element5,MATCH($C651,resources,0)-1,0))&amp;IF(OFFSET(element6,MATCH($C651,resources,0)-1,0)="","","-"&amp;INDIRECT(OFFSET(element6,MATCH($C651,resources,0)-1,0)))&amp;IF(abbrAtEnd,"-"&amp;L651,"")</f>
        <v>#N/A</v>
      </c>
      <c r="N651" s="4" t="str">
        <f t="shared" si="64"/>
        <v>-000</v>
      </c>
      <c r="O651" s="4">
        <f ca="1">IF(totalElements+COUNTIF(Entities!$C$10,"*")+COUNTIF(B651:C651,"*")+COUNTIF(E651:F651,"*")=9,1,0)</f>
        <v>0</v>
      </c>
      <c r="P651" s="4">
        <f>COUNTIF($C$6:C651,C651)</f>
        <v>0</v>
      </c>
      <c r="Q651" s="4">
        <f ca="1">IF(ISNA(M651),0,COUNTIF($M$6:M651,M651))</f>
        <v>0</v>
      </c>
      <c r="R651" s="4" t="e">
        <f t="shared" ca="1" si="70"/>
        <v>#N/A</v>
      </c>
      <c r="S651" s="4">
        <f ca="1">IF(ISNA(M651),0,COUNTIF($R$6:R651,R651))</f>
        <v>0</v>
      </c>
      <c r="T651" s="4" t="e">
        <f t="shared" ca="1" si="69"/>
        <v>#N/A</v>
      </c>
    </row>
    <row r="652" spans="2:20" x14ac:dyDescent="0.3">
      <c r="B652" s="48"/>
      <c r="C652" s="48"/>
      <c r="D652" s="10" t="str">
        <f t="shared" ca="1" si="66"/>
        <v/>
      </c>
      <c r="E652" s="48"/>
      <c r="F652" s="48"/>
      <c r="G652" s="10" t="str">
        <f t="shared" ca="1" si="65"/>
        <v/>
      </c>
      <c r="I652" s="10" t="str">
        <f t="shared" ca="1" si="67"/>
        <v/>
      </c>
      <c r="K652" s="4" t="e">
        <f t="shared" ca="1" si="68"/>
        <v>#N/A</v>
      </c>
      <c r="L652" s="4" t="e">
        <f>VLOOKUP(C652,_resources!B:D,3,0)</f>
        <v>#N/A</v>
      </c>
      <c r="M652" s="4" t="e" cm="1">
        <f t="array" aca="1" ref="M652" ca="1">IF(abbrAtEnd,"",L652&amp;"-")&amp;E652&amp;"-"&amp;INDIRECT(OFFSET(element3,MATCH($C652,resources,0)-1,0))&amp;"-"&amp;INDIRECT(OFFSET(element4,MATCH($C652,resources,0)-1,0))&amp;"-"&amp;INDIRECT(OFFSET(element5,MATCH($C652,resources,0)-1,0))&amp;IF(OFFSET(element6,MATCH($C652,resources,0)-1,0)="","","-"&amp;INDIRECT(OFFSET(element6,MATCH($C652,resources,0)-1,0)))&amp;IF(abbrAtEnd,"-"&amp;L652,"")</f>
        <v>#N/A</v>
      </c>
      <c r="N652" s="4" t="str">
        <f t="shared" si="64"/>
        <v>-000</v>
      </c>
      <c r="O652" s="4">
        <f ca="1">IF(totalElements+COUNTIF(Entities!$C$10,"*")+COUNTIF(B652:C652,"*")+COUNTIF(E652:F652,"*")=9,1,0)</f>
        <v>0</v>
      </c>
      <c r="P652" s="4">
        <f>COUNTIF($C$6:C652,C652)</f>
        <v>0</v>
      </c>
      <c r="Q652" s="4">
        <f ca="1">IF(ISNA(M652),0,COUNTIF($M$6:M652,M652))</f>
        <v>0</v>
      </c>
      <c r="R652" s="4" t="e">
        <f t="shared" ca="1" si="70"/>
        <v>#N/A</v>
      </c>
      <c r="S652" s="4">
        <f ca="1">IF(ISNA(M652),0,COUNTIF($R$6:R652,R652))</f>
        <v>0</v>
      </c>
      <c r="T652" s="4" t="e">
        <f t="shared" ca="1" si="69"/>
        <v>#N/A</v>
      </c>
    </row>
    <row r="653" spans="2:20" x14ac:dyDescent="0.3">
      <c r="B653" s="48"/>
      <c r="C653" s="48"/>
      <c r="D653" s="10" t="str">
        <f t="shared" ca="1" si="66"/>
        <v/>
      </c>
      <c r="E653" s="48"/>
      <c r="F653" s="48"/>
      <c r="G653" s="10" t="str">
        <f t="shared" ca="1" si="65"/>
        <v/>
      </c>
      <c r="I653" s="10" t="str">
        <f t="shared" ca="1" si="67"/>
        <v/>
      </c>
      <c r="K653" s="4" t="e">
        <f t="shared" ca="1" si="68"/>
        <v>#N/A</v>
      </c>
      <c r="L653" s="4" t="e">
        <f>VLOOKUP(C653,_resources!B:D,3,0)</f>
        <v>#N/A</v>
      </c>
      <c r="M653" s="4" t="e" cm="1">
        <f t="array" aca="1" ref="M653" ca="1">IF(abbrAtEnd,"",L653&amp;"-")&amp;E653&amp;"-"&amp;INDIRECT(OFFSET(element3,MATCH($C653,resources,0)-1,0))&amp;"-"&amp;INDIRECT(OFFSET(element4,MATCH($C653,resources,0)-1,0))&amp;"-"&amp;INDIRECT(OFFSET(element5,MATCH($C653,resources,0)-1,0))&amp;IF(OFFSET(element6,MATCH($C653,resources,0)-1,0)="","","-"&amp;INDIRECT(OFFSET(element6,MATCH($C653,resources,0)-1,0)))&amp;IF(abbrAtEnd,"-"&amp;L653,"")</f>
        <v>#N/A</v>
      </c>
      <c r="N653" s="4" t="str">
        <f t="shared" si="64"/>
        <v>-000</v>
      </c>
      <c r="O653" s="4">
        <f ca="1">IF(totalElements+COUNTIF(Entities!$C$10,"*")+COUNTIF(B653:C653,"*")+COUNTIF(E653:F653,"*")=9,1,0)</f>
        <v>0</v>
      </c>
      <c r="P653" s="4">
        <f>COUNTIF($C$6:C653,C653)</f>
        <v>0</v>
      </c>
      <c r="Q653" s="4">
        <f ca="1">IF(ISNA(M653),0,COUNTIF($M$6:M653,M653))</f>
        <v>0</v>
      </c>
      <c r="R653" s="4" t="e">
        <f t="shared" ca="1" si="70"/>
        <v>#N/A</v>
      </c>
      <c r="S653" s="4">
        <f ca="1">IF(ISNA(M653),0,COUNTIF($R$6:R653,R653))</f>
        <v>0</v>
      </c>
      <c r="T653" s="4" t="e">
        <f t="shared" ca="1" si="69"/>
        <v>#N/A</v>
      </c>
    </row>
    <row r="654" spans="2:20" x14ac:dyDescent="0.3">
      <c r="B654" s="48"/>
      <c r="C654" s="48"/>
      <c r="D654" s="10" t="str">
        <f t="shared" ca="1" si="66"/>
        <v/>
      </c>
      <c r="E654" s="48"/>
      <c r="F654" s="48"/>
      <c r="G654" s="10" t="str">
        <f t="shared" ca="1" si="65"/>
        <v/>
      </c>
      <c r="I654" s="10" t="str">
        <f t="shared" ca="1" si="67"/>
        <v/>
      </c>
      <c r="K654" s="4" t="e">
        <f t="shared" ca="1" si="68"/>
        <v>#N/A</v>
      </c>
      <c r="L654" s="4" t="e">
        <f>VLOOKUP(C654,_resources!B:D,3,0)</f>
        <v>#N/A</v>
      </c>
      <c r="M654" s="4" t="e" cm="1">
        <f t="array" aca="1" ref="M654" ca="1">IF(abbrAtEnd,"",L654&amp;"-")&amp;E654&amp;"-"&amp;INDIRECT(OFFSET(element3,MATCH($C654,resources,0)-1,0))&amp;"-"&amp;INDIRECT(OFFSET(element4,MATCH($C654,resources,0)-1,0))&amp;"-"&amp;INDIRECT(OFFSET(element5,MATCH($C654,resources,0)-1,0))&amp;IF(OFFSET(element6,MATCH($C654,resources,0)-1,0)="","","-"&amp;INDIRECT(OFFSET(element6,MATCH($C654,resources,0)-1,0)))&amp;IF(abbrAtEnd,"-"&amp;L654,"")</f>
        <v>#N/A</v>
      </c>
      <c r="N654" s="4" t="str">
        <f t="shared" ref="N654:N717" si="71">IF($M$4,"-"&amp;TEXT(P654,"000"),"-"&amp;TEXT(Q654,"000"))</f>
        <v>-000</v>
      </c>
      <c r="O654" s="4">
        <f ca="1">IF(totalElements+COUNTIF(Entities!$C$10,"*")+COUNTIF(B654:C654,"*")+COUNTIF(E654:F654,"*")=9,1,0)</f>
        <v>0</v>
      </c>
      <c r="P654" s="4">
        <f>COUNTIF($C$6:C654,C654)</f>
        <v>0</v>
      </c>
      <c r="Q654" s="4">
        <f ca="1">IF(ISNA(M654),0,COUNTIF($M$6:M654,M654))</f>
        <v>0</v>
      </c>
      <c r="R654" s="4" t="e">
        <f t="shared" ca="1" si="70"/>
        <v>#N/A</v>
      </c>
      <c r="S654" s="4">
        <f ca="1">IF(ISNA(M654),0,COUNTIF($R$6:R654,R654))</f>
        <v>0</v>
      </c>
      <c r="T654" s="4" t="e">
        <f t="shared" ca="1" si="69"/>
        <v>#N/A</v>
      </c>
    </row>
    <row r="655" spans="2:20" x14ac:dyDescent="0.3">
      <c r="B655" s="48"/>
      <c r="C655" s="48"/>
      <c r="D655" s="10" t="str">
        <f t="shared" ca="1" si="66"/>
        <v/>
      </c>
      <c r="E655" s="48"/>
      <c r="F655" s="48"/>
      <c r="G655" s="10" t="str">
        <f t="shared" ca="1" si="65"/>
        <v/>
      </c>
      <c r="I655" s="10" t="str">
        <f t="shared" ca="1" si="67"/>
        <v/>
      </c>
      <c r="K655" s="4" t="e">
        <f t="shared" ca="1" si="68"/>
        <v>#N/A</v>
      </c>
      <c r="L655" s="4" t="e">
        <f>VLOOKUP(C655,_resources!B:D,3,0)</f>
        <v>#N/A</v>
      </c>
      <c r="M655" s="4" t="e" cm="1">
        <f t="array" aca="1" ref="M655" ca="1">IF(abbrAtEnd,"",L655&amp;"-")&amp;E655&amp;"-"&amp;INDIRECT(OFFSET(element3,MATCH($C655,resources,0)-1,0))&amp;"-"&amp;INDIRECT(OFFSET(element4,MATCH($C655,resources,0)-1,0))&amp;"-"&amp;INDIRECT(OFFSET(element5,MATCH($C655,resources,0)-1,0))&amp;IF(OFFSET(element6,MATCH($C655,resources,0)-1,0)="","","-"&amp;INDIRECT(OFFSET(element6,MATCH($C655,resources,0)-1,0)))&amp;IF(abbrAtEnd,"-"&amp;L655,"")</f>
        <v>#N/A</v>
      </c>
      <c r="N655" s="4" t="str">
        <f t="shared" si="71"/>
        <v>-000</v>
      </c>
      <c r="O655" s="4">
        <f ca="1">IF(totalElements+COUNTIF(Entities!$C$10,"*")+COUNTIF(B655:C655,"*")+COUNTIF(E655:F655,"*")=9,1,0)</f>
        <v>0</v>
      </c>
      <c r="P655" s="4">
        <f>COUNTIF($C$6:C655,C655)</f>
        <v>0</v>
      </c>
      <c r="Q655" s="4">
        <f ca="1">IF(ISNA(M655),0,COUNTIF($M$6:M655,M655))</f>
        <v>0</v>
      </c>
      <c r="R655" s="4" t="e">
        <f t="shared" ca="1" si="70"/>
        <v>#N/A</v>
      </c>
      <c r="S655" s="4">
        <f ca="1">IF(ISNA(M655),0,COUNTIF($R$6:R655,R655))</f>
        <v>0</v>
      </c>
      <c r="T655" s="4" t="e">
        <f t="shared" ca="1" si="69"/>
        <v>#N/A</v>
      </c>
    </row>
    <row r="656" spans="2:20" x14ac:dyDescent="0.3">
      <c r="B656" s="48"/>
      <c r="C656" s="48"/>
      <c r="D656" s="10" t="str">
        <f t="shared" ca="1" si="66"/>
        <v/>
      </c>
      <c r="E656" s="48"/>
      <c r="F656" s="48"/>
      <c r="G656" s="10" t="str">
        <f t="shared" ca="1" si="65"/>
        <v/>
      </c>
      <c r="I656" s="10" t="str">
        <f t="shared" ca="1" si="67"/>
        <v/>
      </c>
      <c r="K656" s="4" t="e">
        <f t="shared" ca="1" si="68"/>
        <v>#N/A</v>
      </c>
      <c r="L656" s="4" t="e">
        <f>VLOOKUP(C656,_resources!B:D,3,0)</f>
        <v>#N/A</v>
      </c>
      <c r="M656" s="4" t="e" cm="1">
        <f t="array" aca="1" ref="M656" ca="1">IF(abbrAtEnd,"",L656&amp;"-")&amp;E656&amp;"-"&amp;INDIRECT(OFFSET(element3,MATCH($C656,resources,0)-1,0))&amp;"-"&amp;INDIRECT(OFFSET(element4,MATCH($C656,resources,0)-1,0))&amp;"-"&amp;INDIRECT(OFFSET(element5,MATCH($C656,resources,0)-1,0))&amp;IF(OFFSET(element6,MATCH($C656,resources,0)-1,0)="","","-"&amp;INDIRECT(OFFSET(element6,MATCH($C656,resources,0)-1,0)))&amp;IF(abbrAtEnd,"-"&amp;L656,"")</f>
        <v>#N/A</v>
      </c>
      <c r="N656" s="4" t="str">
        <f t="shared" si="71"/>
        <v>-000</v>
      </c>
      <c r="O656" s="4">
        <f ca="1">IF(totalElements+COUNTIF(Entities!$C$10,"*")+COUNTIF(B656:C656,"*")+COUNTIF(E656:F656,"*")=9,1,0)</f>
        <v>0</v>
      </c>
      <c r="P656" s="4">
        <f>COUNTIF($C$6:C656,C656)</f>
        <v>0</v>
      </c>
      <c r="Q656" s="4">
        <f ca="1">IF(ISNA(M656),0,COUNTIF($M$6:M656,M656))</f>
        <v>0</v>
      </c>
      <c r="R656" s="4" t="e">
        <f t="shared" ca="1" si="70"/>
        <v>#N/A</v>
      </c>
      <c r="S656" s="4">
        <f ca="1">IF(ISNA(M656),0,COUNTIF($R$6:R656,R656))</f>
        <v>0</v>
      </c>
      <c r="T656" s="4" t="e">
        <f t="shared" ca="1" si="69"/>
        <v>#N/A</v>
      </c>
    </row>
    <row r="657" spans="2:20" x14ac:dyDescent="0.3">
      <c r="B657" s="48"/>
      <c r="C657" s="48"/>
      <c r="D657" s="10" t="str">
        <f t="shared" ca="1" si="66"/>
        <v/>
      </c>
      <c r="E657" s="48"/>
      <c r="F657" s="48"/>
      <c r="G657" s="10" t="str">
        <f t="shared" ca="1" si="65"/>
        <v/>
      </c>
      <c r="I657" s="10" t="str">
        <f t="shared" ca="1" si="67"/>
        <v/>
      </c>
      <c r="K657" s="4" t="e">
        <f t="shared" ca="1" si="68"/>
        <v>#N/A</v>
      </c>
      <c r="L657" s="4" t="e">
        <f>VLOOKUP(C657,_resources!B:D,3,0)</f>
        <v>#N/A</v>
      </c>
      <c r="M657" s="4" t="e" cm="1">
        <f t="array" aca="1" ref="M657" ca="1">IF(abbrAtEnd,"",L657&amp;"-")&amp;E657&amp;"-"&amp;INDIRECT(OFFSET(element3,MATCH($C657,resources,0)-1,0))&amp;"-"&amp;INDIRECT(OFFSET(element4,MATCH($C657,resources,0)-1,0))&amp;"-"&amp;INDIRECT(OFFSET(element5,MATCH($C657,resources,0)-1,0))&amp;IF(OFFSET(element6,MATCH($C657,resources,0)-1,0)="","","-"&amp;INDIRECT(OFFSET(element6,MATCH($C657,resources,0)-1,0)))&amp;IF(abbrAtEnd,"-"&amp;L657,"")</f>
        <v>#N/A</v>
      </c>
      <c r="N657" s="4" t="str">
        <f t="shared" si="71"/>
        <v>-000</v>
      </c>
      <c r="O657" s="4">
        <f ca="1">IF(totalElements+COUNTIF(Entities!$C$10,"*")+COUNTIF(B657:C657,"*")+COUNTIF(E657:F657,"*")=9,1,0)</f>
        <v>0</v>
      </c>
      <c r="P657" s="4">
        <f>COUNTIF($C$6:C657,C657)</f>
        <v>0</v>
      </c>
      <c r="Q657" s="4">
        <f ca="1">IF(ISNA(M657),0,COUNTIF($M$6:M657,M657))</f>
        <v>0</v>
      </c>
      <c r="R657" s="4" t="e">
        <f t="shared" ca="1" si="70"/>
        <v>#N/A</v>
      </c>
      <c r="S657" s="4">
        <f ca="1">IF(ISNA(M657),0,COUNTIF($R$6:R657,R657))</f>
        <v>0</v>
      </c>
      <c r="T657" s="4" t="e">
        <f t="shared" ca="1" si="69"/>
        <v>#N/A</v>
      </c>
    </row>
    <row r="658" spans="2:20" x14ac:dyDescent="0.3">
      <c r="B658" s="48"/>
      <c r="C658" s="48"/>
      <c r="D658" s="10" t="str">
        <f t="shared" ca="1" si="66"/>
        <v/>
      </c>
      <c r="E658" s="48"/>
      <c r="F658" s="48"/>
      <c r="G658" s="10" t="str">
        <f t="shared" ca="1" si="65"/>
        <v/>
      </c>
      <c r="I658" s="10" t="str">
        <f t="shared" ca="1" si="67"/>
        <v/>
      </c>
      <c r="K658" s="4" t="e">
        <f t="shared" ca="1" si="68"/>
        <v>#N/A</v>
      </c>
      <c r="L658" s="4" t="e">
        <f>VLOOKUP(C658,_resources!B:D,3,0)</f>
        <v>#N/A</v>
      </c>
      <c r="M658" s="4" t="e" cm="1">
        <f t="array" aca="1" ref="M658" ca="1">IF(abbrAtEnd,"",L658&amp;"-")&amp;E658&amp;"-"&amp;INDIRECT(OFFSET(element3,MATCH($C658,resources,0)-1,0))&amp;"-"&amp;INDIRECT(OFFSET(element4,MATCH($C658,resources,0)-1,0))&amp;"-"&amp;INDIRECT(OFFSET(element5,MATCH($C658,resources,0)-1,0))&amp;IF(OFFSET(element6,MATCH($C658,resources,0)-1,0)="","","-"&amp;INDIRECT(OFFSET(element6,MATCH($C658,resources,0)-1,0)))&amp;IF(abbrAtEnd,"-"&amp;L658,"")</f>
        <v>#N/A</v>
      </c>
      <c r="N658" s="4" t="str">
        <f t="shared" si="71"/>
        <v>-000</v>
      </c>
      <c r="O658" s="4">
        <f ca="1">IF(totalElements+COUNTIF(Entities!$C$10,"*")+COUNTIF(B658:C658,"*")+COUNTIF(E658:F658,"*")=9,1,0)</f>
        <v>0</v>
      </c>
      <c r="P658" s="4">
        <f>COUNTIF($C$6:C658,C658)</f>
        <v>0</v>
      </c>
      <c r="Q658" s="4">
        <f ca="1">IF(ISNA(M658),0,COUNTIF($M$6:M658,M658))</f>
        <v>0</v>
      </c>
      <c r="R658" s="4" t="e">
        <f t="shared" ca="1" si="70"/>
        <v>#N/A</v>
      </c>
      <c r="S658" s="4">
        <f ca="1">IF(ISNA(M658),0,COUNTIF($R$6:R658,R658))</f>
        <v>0</v>
      </c>
      <c r="T658" s="4" t="e">
        <f t="shared" ca="1" si="69"/>
        <v>#N/A</v>
      </c>
    </row>
    <row r="659" spans="2:20" x14ac:dyDescent="0.3">
      <c r="B659" s="48"/>
      <c r="C659" s="48"/>
      <c r="D659" s="10" t="str">
        <f t="shared" ca="1" si="66"/>
        <v/>
      </c>
      <c r="E659" s="48"/>
      <c r="F659" s="48"/>
      <c r="G659" s="10" t="str">
        <f t="shared" ref="G659:G722" ca="1" si="72">IF(O659,IF(K659="hyphenated",M659&amp;N659,IF(K659="dnsname",E659,IF(K659="alphanumeric",SUBSTITUTE(M659&amp;N659,"-",""),"unknown or missing resource structure"))),"")</f>
        <v/>
      </c>
      <c r="I659" s="10" t="str">
        <f t="shared" ca="1" si="67"/>
        <v/>
      </c>
      <c r="K659" s="4" t="e">
        <f t="shared" ca="1" si="68"/>
        <v>#N/A</v>
      </c>
      <c r="L659" s="4" t="e">
        <f>VLOOKUP(C659,_resources!B:D,3,0)</f>
        <v>#N/A</v>
      </c>
      <c r="M659" s="4" t="e" cm="1">
        <f t="array" aca="1" ref="M659" ca="1">IF(abbrAtEnd,"",L659&amp;"-")&amp;E659&amp;"-"&amp;INDIRECT(OFFSET(element3,MATCH($C659,resources,0)-1,0))&amp;"-"&amp;INDIRECT(OFFSET(element4,MATCH($C659,resources,0)-1,0))&amp;"-"&amp;INDIRECT(OFFSET(element5,MATCH($C659,resources,0)-1,0))&amp;IF(OFFSET(element6,MATCH($C659,resources,0)-1,0)="","","-"&amp;INDIRECT(OFFSET(element6,MATCH($C659,resources,0)-1,0)))&amp;IF(abbrAtEnd,"-"&amp;L659,"")</f>
        <v>#N/A</v>
      </c>
      <c r="N659" s="4" t="str">
        <f t="shared" si="71"/>
        <v>-000</v>
      </c>
      <c r="O659" s="4">
        <f ca="1">IF(totalElements+COUNTIF(Entities!$C$10,"*")+COUNTIF(B659:C659,"*")+COUNTIF(E659:F659,"*")=9,1,0)</f>
        <v>0</v>
      </c>
      <c r="P659" s="4">
        <f>COUNTIF($C$6:C659,C659)</f>
        <v>0</v>
      </c>
      <c r="Q659" s="4">
        <f ca="1">IF(ISNA(M659),0,COUNTIF($M$6:M659,M659))</f>
        <v>0</v>
      </c>
      <c r="R659" s="4" t="e">
        <f t="shared" ca="1" si="70"/>
        <v>#N/A</v>
      </c>
      <c r="S659" s="4">
        <f ca="1">IF(ISNA(M659),0,COUNTIF($R$6:R659,R659))</f>
        <v>0</v>
      </c>
      <c r="T659" s="4" t="e">
        <f t="shared" ca="1" si="69"/>
        <v>#N/A</v>
      </c>
    </row>
    <row r="660" spans="2:20" x14ac:dyDescent="0.3">
      <c r="B660" s="48"/>
      <c r="C660" s="48"/>
      <c r="D660" s="10" t="str">
        <f t="shared" ca="1" si="66"/>
        <v/>
      </c>
      <c r="E660" s="48"/>
      <c r="F660" s="48"/>
      <c r="G660" s="10" t="str">
        <f t="shared" ca="1" si="72"/>
        <v/>
      </c>
      <c r="I660" s="10" t="str">
        <f t="shared" ca="1" si="67"/>
        <v/>
      </c>
      <c r="K660" s="4" t="e">
        <f t="shared" ca="1" si="68"/>
        <v>#N/A</v>
      </c>
      <c r="L660" s="4" t="e">
        <f>VLOOKUP(C660,_resources!B:D,3,0)</f>
        <v>#N/A</v>
      </c>
      <c r="M660" s="4" t="e" cm="1">
        <f t="array" aca="1" ref="M660" ca="1">IF(abbrAtEnd,"",L660&amp;"-")&amp;E660&amp;"-"&amp;INDIRECT(OFFSET(element3,MATCH($C660,resources,0)-1,0))&amp;"-"&amp;INDIRECT(OFFSET(element4,MATCH($C660,resources,0)-1,0))&amp;"-"&amp;INDIRECT(OFFSET(element5,MATCH($C660,resources,0)-1,0))&amp;IF(OFFSET(element6,MATCH($C660,resources,0)-1,0)="","","-"&amp;INDIRECT(OFFSET(element6,MATCH($C660,resources,0)-1,0)))&amp;IF(abbrAtEnd,"-"&amp;L660,"")</f>
        <v>#N/A</v>
      </c>
      <c r="N660" s="4" t="str">
        <f t="shared" si="71"/>
        <v>-000</v>
      </c>
      <c r="O660" s="4">
        <f ca="1">IF(totalElements+COUNTIF(Entities!$C$10,"*")+COUNTIF(B660:C660,"*")+COUNTIF(E660:F660,"*")=9,1,0)</f>
        <v>0</v>
      </c>
      <c r="P660" s="4">
        <f>COUNTIF($C$6:C660,C660)</f>
        <v>0</v>
      </c>
      <c r="Q660" s="4">
        <f ca="1">IF(ISNA(M660),0,COUNTIF($M$6:M660,M660))</f>
        <v>0</v>
      </c>
      <c r="R660" s="4" t="e">
        <f t="shared" ca="1" si="70"/>
        <v>#N/A</v>
      </c>
      <c r="S660" s="4">
        <f ca="1">IF(ISNA(M660),0,COUNTIF($R$6:R660,R660))</f>
        <v>0</v>
      </c>
      <c r="T660" s="4" t="e">
        <f t="shared" ca="1" si="69"/>
        <v>#N/A</v>
      </c>
    </row>
    <row r="661" spans="2:20" x14ac:dyDescent="0.3">
      <c r="B661" s="48"/>
      <c r="C661" s="48"/>
      <c r="D661" s="10" t="str">
        <f t="shared" ca="1" si="66"/>
        <v/>
      </c>
      <c r="E661" s="48"/>
      <c r="F661" s="48"/>
      <c r="G661" s="10" t="str">
        <f t="shared" ca="1" si="72"/>
        <v/>
      </c>
      <c r="I661" s="10" t="str">
        <f t="shared" ca="1" si="67"/>
        <v/>
      </c>
      <c r="K661" s="4" t="e">
        <f t="shared" ca="1" si="68"/>
        <v>#N/A</v>
      </c>
      <c r="L661" s="4" t="e">
        <f>VLOOKUP(C661,_resources!B:D,3,0)</f>
        <v>#N/A</v>
      </c>
      <c r="M661" s="4" t="e" cm="1">
        <f t="array" aca="1" ref="M661" ca="1">IF(abbrAtEnd,"",L661&amp;"-")&amp;E661&amp;"-"&amp;INDIRECT(OFFSET(element3,MATCH($C661,resources,0)-1,0))&amp;"-"&amp;INDIRECT(OFFSET(element4,MATCH($C661,resources,0)-1,0))&amp;"-"&amp;INDIRECT(OFFSET(element5,MATCH($C661,resources,0)-1,0))&amp;IF(OFFSET(element6,MATCH($C661,resources,0)-1,0)="","","-"&amp;INDIRECT(OFFSET(element6,MATCH($C661,resources,0)-1,0)))&amp;IF(abbrAtEnd,"-"&amp;L661,"")</f>
        <v>#N/A</v>
      </c>
      <c r="N661" s="4" t="str">
        <f t="shared" si="71"/>
        <v>-000</v>
      </c>
      <c r="O661" s="4">
        <f ca="1">IF(totalElements+COUNTIF(Entities!$C$10,"*")+COUNTIF(B661:C661,"*")+COUNTIF(E661:F661,"*")=9,1,0)</f>
        <v>0</v>
      </c>
      <c r="P661" s="4">
        <f>COUNTIF($C$6:C661,C661)</f>
        <v>0</v>
      </c>
      <c r="Q661" s="4">
        <f ca="1">IF(ISNA(M661),0,COUNTIF($M$6:M661,M661))</f>
        <v>0</v>
      </c>
      <c r="R661" s="4" t="e">
        <f t="shared" ca="1" si="70"/>
        <v>#N/A</v>
      </c>
      <c r="S661" s="4">
        <f ca="1">IF(ISNA(M661),0,COUNTIF($R$6:R661,R661))</f>
        <v>0</v>
      </c>
      <c r="T661" s="4" t="e">
        <f t="shared" ca="1" si="69"/>
        <v>#N/A</v>
      </c>
    </row>
    <row r="662" spans="2:20" x14ac:dyDescent="0.3">
      <c r="B662" s="48"/>
      <c r="C662" s="48"/>
      <c r="D662" s="10" t="str">
        <f t="shared" ca="1" si="66"/>
        <v/>
      </c>
      <c r="E662" s="48"/>
      <c r="F662" s="48"/>
      <c r="G662" s="10" t="str">
        <f t="shared" ca="1" si="72"/>
        <v/>
      </c>
      <c r="I662" s="10" t="str">
        <f t="shared" ca="1" si="67"/>
        <v/>
      </c>
      <c r="K662" s="4" t="e">
        <f t="shared" ca="1" si="68"/>
        <v>#N/A</v>
      </c>
      <c r="L662" s="4" t="e">
        <f>VLOOKUP(C662,_resources!B:D,3,0)</f>
        <v>#N/A</v>
      </c>
      <c r="M662" s="4" t="e" cm="1">
        <f t="array" aca="1" ref="M662" ca="1">IF(abbrAtEnd,"",L662&amp;"-")&amp;E662&amp;"-"&amp;INDIRECT(OFFSET(element3,MATCH($C662,resources,0)-1,0))&amp;"-"&amp;INDIRECT(OFFSET(element4,MATCH($C662,resources,0)-1,0))&amp;"-"&amp;INDIRECT(OFFSET(element5,MATCH($C662,resources,0)-1,0))&amp;IF(OFFSET(element6,MATCH($C662,resources,0)-1,0)="","","-"&amp;INDIRECT(OFFSET(element6,MATCH($C662,resources,0)-1,0)))&amp;IF(abbrAtEnd,"-"&amp;L662,"")</f>
        <v>#N/A</v>
      </c>
      <c r="N662" s="4" t="str">
        <f t="shared" si="71"/>
        <v>-000</v>
      </c>
      <c r="O662" s="4">
        <f ca="1">IF(totalElements+COUNTIF(Entities!$C$10,"*")+COUNTIF(B662:C662,"*")+COUNTIF(E662:F662,"*")=9,1,0)</f>
        <v>0</v>
      </c>
      <c r="P662" s="4">
        <f>COUNTIF($C$6:C662,C662)</f>
        <v>0</v>
      </c>
      <c r="Q662" s="4">
        <f ca="1">IF(ISNA(M662),0,COUNTIF($M$6:M662,M662))</f>
        <v>0</v>
      </c>
      <c r="R662" s="4" t="e">
        <f t="shared" ca="1" si="70"/>
        <v>#N/A</v>
      </c>
      <c r="S662" s="4">
        <f ca="1">IF(ISNA(M662),0,COUNTIF($R$6:R662,R662))</f>
        <v>0</v>
      </c>
      <c r="T662" s="4" t="e">
        <f t="shared" ca="1" si="69"/>
        <v>#N/A</v>
      </c>
    </row>
    <row r="663" spans="2:20" x14ac:dyDescent="0.3">
      <c r="B663" s="48"/>
      <c r="C663" s="48"/>
      <c r="D663" s="10" t="str">
        <f t="shared" ca="1" si="66"/>
        <v/>
      </c>
      <c r="E663" s="48"/>
      <c r="F663" s="48"/>
      <c r="G663" s="10" t="str">
        <f t="shared" ca="1" si="72"/>
        <v/>
      </c>
      <c r="I663" s="10" t="str">
        <f t="shared" ca="1" si="67"/>
        <v/>
      </c>
      <c r="K663" s="4" t="e">
        <f t="shared" ca="1" si="68"/>
        <v>#N/A</v>
      </c>
      <c r="L663" s="4" t="e">
        <f>VLOOKUP(C663,_resources!B:D,3,0)</f>
        <v>#N/A</v>
      </c>
      <c r="M663" s="4" t="e" cm="1">
        <f t="array" aca="1" ref="M663" ca="1">IF(abbrAtEnd,"",L663&amp;"-")&amp;E663&amp;"-"&amp;INDIRECT(OFFSET(element3,MATCH($C663,resources,0)-1,0))&amp;"-"&amp;INDIRECT(OFFSET(element4,MATCH($C663,resources,0)-1,0))&amp;"-"&amp;INDIRECT(OFFSET(element5,MATCH($C663,resources,0)-1,0))&amp;IF(OFFSET(element6,MATCH($C663,resources,0)-1,0)="","","-"&amp;INDIRECT(OFFSET(element6,MATCH($C663,resources,0)-1,0)))&amp;IF(abbrAtEnd,"-"&amp;L663,"")</f>
        <v>#N/A</v>
      </c>
      <c r="N663" s="4" t="str">
        <f t="shared" si="71"/>
        <v>-000</v>
      </c>
      <c r="O663" s="4">
        <f ca="1">IF(totalElements+COUNTIF(Entities!$C$10,"*")+COUNTIF(B663:C663,"*")+COUNTIF(E663:F663,"*")=9,1,0)</f>
        <v>0</v>
      </c>
      <c r="P663" s="4">
        <f>COUNTIF($C$6:C663,C663)</f>
        <v>0</v>
      </c>
      <c r="Q663" s="4">
        <f ca="1">IF(ISNA(M663),0,COUNTIF($M$6:M663,M663))</f>
        <v>0</v>
      </c>
      <c r="R663" s="4" t="e">
        <f t="shared" ca="1" si="70"/>
        <v>#N/A</v>
      </c>
      <c r="S663" s="4">
        <f ca="1">IF(ISNA(M663),0,COUNTIF($R$6:R663,R663))</f>
        <v>0</v>
      </c>
      <c r="T663" s="4" t="e">
        <f t="shared" ca="1" si="69"/>
        <v>#N/A</v>
      </c>
    </row>
    <row r="664" spans="2:20" x14ac:dyDescent="0.3">
      <c r="B664" s="48"/>
      <c r="C664" s="48"/>
      <c r="D664" s="10" t="str">
        <f t="shared" ca="1" si="66"/>
        <v/>
      </c>
      <c r="E664" s="48"/>
      <c r="F664" s="48"/>
      <c r="G664" s="10" t="str">
        <f t="shared" ca="1" si="72"/>
        <v/>
      </c>
      <c r="I664" s="10" t="str">
        <f t="shared" ca="1" si="67"/>
        <v/>
      </c>
      <c r="K664" s="4" t="e">
        <f t="shared" ca="1" si="68"/>
        <v>#N/A</v>
      </c>
      <c r="L664" s="4" t="e">
        <f>VLOOKUP(C664,_resources!B:D,3,0)</f>
        <v>#N/A</v>
      </c>
      <c r="M664" s="4" t="e" cm="1">
        <f t="array" aca="1" ref="M664" ca="1">IF(abbrAtEnd,"",L664&amp;"-")&amp;E664&amp;"-"&amp;INDIRECT(OFFSET(element3,MATCH($C664,resources,0)-1,0))&amp;"-"&amp;INDIRECT(OFFSET(element4,MATCH($C664,resources,0)-1,0))&amp;"-"&amp;INDIRECT(OFFSET(element5,MATCH($C664,resources,0)-1,0))&amp;IF(OFFSET(element6,MATCH($C664,resources,0)-1,0)="","","-"&amp;INDIRECT(OFFSET(element6,MATCH($C664,resources,0)-1,0)))&amp;IF(abbrAtEnd,"-"&amp;L664,"")</f>
        <v>#N/A</v>
      </c>
      <c r="N664" s="4" t="str">
        <f t="shared" si="71"/>
        <v>-000</v>
      </c>
      <c r="O664" s="4">
        <f ca="1">IF(totalElements+COUNTIF(Entities!$C$10,"*")+COUNTIF(B664:C664,"*")+COUNTIF(E664:F664,"*")=9,1,0)</f>
        <v>0</v>
      </c>
      <c r="P664" s="4">
        <f>COUNTIF($C$6:C664,C664)</f>
        <v>0</v>
      </c>
      <c r="Q664" s="4">
        <f ca="1">IF(ISNA(M664),0,COUNTIF($M$6:M664,M664))</f>
        <v>0</v>
      </c>
      <c r="R664" s="4" t="e">
        <f t="shared" ca="1" si="70"/>
        <v>#N/A</v>
      </c>
      <c r="S664" s="4">
        <f ca="1">IF(ISNA(M664),0,COUNTIF($R$6:R664,R664))</f>
        <v>0</v>
      </c>
      <c r="T664" s="4" t="e">
        <f t="shared" ca="1" si="69"/>
        <v>#N/A</v>
      </c>
    </row>
    <row r="665" spans="2:20" x14ac:dyDescent="0.3">
      <c r="B665" s="48"/>
      <c r="C665" s="48"/>
      <c r="D665" s="10" t="str">
        <f t="shared" ca="1" si="66"/>
        <v/>
      </c>
      <c r="E665" s="48"/>
      <c r="F665" s="48"/>
      <c r="G665" s="10" t="str">
        <f t="shared" ca="1" si="72"/>
        <v/>
      </c>
      <c r="I665" s="10" t="str">
        <f t="shared" ca="1" si="67"/>
        <v/>
      </c>
      <c r="K665" s="4" t="e">
        <f t="shared" ca="1" si="68"/>
        <v>#N/A</v>
      </c>
      <c r="L665" s="4" t="e">
        <f>VLOOKUP(C665,_resources!B:D,3,0)</f>
        <v>#N/A</v>
      </c>
      <c r="M665" s="4" t="e" cm="1">
        <f t="array" aca="1" ref="M665" ca="1">IF(abbrAtEnd,"",L665&amp;"-")&amp;E665&amp;"-"&amp;INDIRECT(OFFSET(element3,MATCH($C665,resources,0)-1,0))&amp;"-"&amp;INDIRECT(OFFSET(element4,MATCH($C665,resources,0)-1,0))&amp;"-"&amp;INDIRECT(OFFSET(element5,MATCH($C665,resources,0)-1,0))&amp;IF(OFFSET(element6,MATCH($C665,resources,0)-1,0)="","","-"&amp;INDIRECT(OFFSET(element6,MATCH($C665,resources,0)-1,0)))&amp;IF(abbrAtEnd,"-"&amp;L665,"")</f>
        <v>#N/A</v>
      </c>
      <c r="N665" s="4" t="str">
        <f t="shared" si="71"/>
        <v>-000</v>
      </c>
      <c r="O665" s="4">
        <f ca="1">IF(totalElements+COUNTIF(Entities!$C$10,"*")+COUNTIF(B665:C665,"*")+COUNTIF(E665:F665,"*")=9,1,0)</f>
        <v>0</v>
      </c>
      <c r="P665" s="4">
        <f>COUNTIF($C$6:C665,C665)</f>
        <v>0</v>
      </c>
      <c r="Q665" s="4">
        <f ca="1">IF(ISNA(M665),0,COUNTIF($M$6:M665,M665))</f>
        <v>0</v>
      </c>
      <c r="R665" s="4" t="e">
        <f t="shared" ca="1" si="70"/>
        <v>#N/A</v>
      </c>
      <c r="S665" s="4">
        <f ca="1">IF(ISNA(M665),0,COUNTIF($R$6:R665,R665))</f>
        <v>0</v>
      </c>
      <c r="T665" s="4" t="e">
        <f t="shared" ca="1" si="69"/>
        <v>#N/A</v>
      </c>
    </row>
    <row r="666" spans="2:20" x14ac:dyDescent="0.3">
      <c r="B666" s="48"/>
      <c r="C666" s="48"/>
      <c r="D666" s="10" t="str">
        <f t="shared" ca="1" si="66"/>
        <v/>
      </c>
      <c r="E666" s="48"/>
      <c r="F666" s="48"/>
      <c r="G666" s="10" t="str">
        <f t="shared" ca="1" si="72"/>
        <v/>
      </c>
      <c r="I666" s="10" t="str">
        <f t="shared" ca="1" si="67"/>
        <v/>
      </c>
      <c r="K666" s="4" t="e">
        <f t="shared" ca="1" si="68"/>
        <v>#N/A</v>
      </c>
      <c r="L666" s="4" t="e">
        <f>VLOOKUP(C666,_resources!B:D,3,0)</f>
        <v>#N/A</v>
      </c>
      <c r="M666" s="4" t="e" cm="1">
        <f t="array" aca="1" ref="M666" ca="1">IF(abbrAtEnd,"",L666&amp;"-")&amp;E666&amp;"-"&amp;INDIRECT(OFFSET(element3,MATCH($C666,resources,0)-1,0))&amp;"-"&amp;INDIRECT(OFFSET(element4,MATCH($C666,resources,0)-1,0))&amp;"-"&amp;INDIRECT(OFFSET(element5,MATCH($C666,resources,0)-1,0))&amp;IF(OFFSET(element6,MATCH($C666,resources,0)-1,0)="","","-"&amp;INDIRECT(OFFSET(element6,MATCH($C666,resources,0)-1,0)))&amp;IF(abbrAtEnd,"-"&amp;L666,"")</f>
        <v>#N/A</v>
      </c>
      <c r="N666" s="4" t="str">
        <f t="shared" si="71"/>
        <v>-000</v>
      </c>
      <c r="O666" s="4">
        <f ca="1">IF(totalElements+COUNTIF(Entities!$C$10,"*")+COUNTIF(B666:C666,"*")+COUNTIF(E666:F666,"*")=9,1,0)</f>
        <v>0</v>
      </c>
      <c r="P666" s="4">
        <f>COUNTIF($C$6:C666,C666)</f>
        <v>0</v>
      </c>
      <c r="Q666" s="4">
        <f ca="1">IF(ISNA(M666),0,COUNTIF($M$6:M666,M666))</f>
        <v>0</v>
      </c>
      <c r="R666" s="4" t="e">
        <f t="shared" ca="1" si="70"/>
        <v>#N/A</v>
      </c>
      <c r="S666" s="4">
        <f ca="1">IF(ISNA(M666),0,COUNTIF($R$6:R666,R666))</f>
        <v>0</v>
      </c>
      <c r="T666" s="4" t="e">
        <f t="shared" ca="1" si="69"/>
        <v>#N/A</v>
      </c>
    </row>
    <row r="667" spans="2:20" x14ac:dyDescent="0.3">
      <c r="B667" s="48"/>
      <c r="C667" s="48"/>
      <c r="D667" s="10" t="str">
        <f t="shared" ca="1" si="66"/>
        <v/>
      </c>
      <c r="E667" s="48"/>
      <c r="F667" s="48"/>
      <c r="G667" s="10" t="str">
        <f t="shared" ca="1" si="72"/>
        <v/>
      </c>
      <c r="I667" s="10" t="str">
        <f t="shared" ca="1" si="67"/>
        <v/>
      </c>
      <c r="K667" s="4" t="e">
        <f t="shared" ca="1" si="68"/>
        <v>#N/A</v>
      </c>
      <c r="L667" s="4" t="e">
        <f>VLOOKUP(C667,_resources!B:D,3,0)</f>
        <v>#N/A</v>
      </c>
      <c r="M667" s="4" t="e" cm="1">
        <f t="array" aca="1" ref="M667" ca="1">IF(abbrAtEnd,"",L667&amp;"-")&amp;E667&amp;"-"&amp;INDIRECT(OFFSET(element3,MATCH($C667,resources,0)-1,0))&amp;"-"&amp;INDIRECT(OFFSET(element4,MATCH($C667,resources,0)-1,0))&amp;"-"&amp;INDIRECT(OFFSET(element5,MATCH($C667,resources,0)-1,0))&amp;IF(OFFSET(element6,MATCH($C667,resources,0)-1,0)="","","-"&amp;INDIRECT(OFFSET(element6,MATCH($C667,resources,0)-1,0)))&amp;IF(abbrAtEnd,"-"&amp;L667,"")</f>
        <v>#N/A</v>
      </c>
      <c r="N667" s="4" t="str">
        <f t="shared" si="71"/>
        <v>-000</v>
      </c>
      <c r="O667" s="4">
        <f ca="1">IF(totalElements+COUNTIF(Entities!$C$10,"*")+COUNTIF(B667:C667,"*")+COUNTIF(E667:F667,"*")=9,1,0)</f>
        <v>0</v>
      </c>
      <c r="P667" s="4">
        <f>COUNTIF($C$6:C667,C667)</f>
        <v>0</v>
      </c>
      <c r="Q667" s="4">
        <f ca="1">IF(ISNA(M667),0,COUNTIF($M$6:M667,M667))</f>
        <v>0</v>
      </c>
      <c r="R667" s="4" t="e">
        <f t="shared" ca="1" si="70"/>
        <v>#N/A</v>
      </c>
      <c r="S667" s="4">
        <f ca="1">IF(ISNA(M667),0,COUNTIF($R$6:R667,R667))</f>
        <v>0</v>
      </c>
      <c r="T667" s="4" t="e">
        <f t="shared" ca="1" si="69"/>
        <v>#N/A</v>
      </c>
    </row>
    <row r="668" spans="2:20" x14ac:dyDescent="0.3">
      <c r="B668" s="48"/>
      <c r="C668" s="48"/>
      <c r="D668" s="10" t="str">
        <f t="shared" ca="1" si="66"/>
        <v/>
      </c>
      <c r="E668" s="48"/>
      <c r="F668" s="48"/>
      <c r="G668" s="10" t="str">
        <f t="shared" ca="1" si="72"/>
        <v/>
      </c>
      <c r="I668" s="10" t="str">
        <f t="shared" ca="1" si="67"/>
        <v/>
      </c>
      <c r="K668" s="4" t="e">
        <f t="shared" ca="1" si="68"/>
        <v>#N/A</v>
      </c>
      <c r="L668" s="4" t="e">
        <f>VLOOKUP(C668,_resources!B:D,3,0)</f>
        <v>#N/A</v>
      </c>
      <c r="M668" s="4" t="e" cm="1">
        <f t="array" aca="1" ref="M668" ca="1">IF(abbrAtEnd,"",L668&amp;"-")&amp;E668&amp;"-"&amp;INDIRECT(OFFSET(element3,MATCH($C668,resources,0)-1,0))&amp;"-"&amp;INDIRECT(OFFSET(element4,MATCH($C668,resources,0)-1,0))&amp;"-"&amp;INDIRECT(OFFSET(element5,MATCH($C668,resources,0)-1,0))&amp;IF(OFFSET(element6,MATCH($C668,resources,0)-1,0)="","","-"&amp;INDIRECT(OFFSET(element6,MATCH($C668,resources,0)-1,0)))&amp;IF(abbrAtEnd,"-"&amp;L668,"")</f>
        <v>#N/A</v>
      </c>
      <c r="N668" s="4" t="str">
        <f t="shared" si="71"/>
        <v>-000</v>
      </c>
      <c r="O668" s="4">
        <f ca="1">IF(totalElements+COUNTIF(Entities!$C$10,"*")+COUNTIF(B668:C668,"*")+COUNTIF(E668:F668,"*")=9,1,0)</f>
        <v>0</v>
      </c>
      <c r="P668" s="4">
        <f>COUNTIF($C$6:C668,C668)</f>
        <v>0</v>
      </c>
      <c r="Q668" s="4">
        <f ca="1">IF(ISNA(M668),0,COUNTIF($M$6:M668,M668))</f>
        <v>0</v>
      </c>
      <c r="R668" s="4" t="e">
        <f t="shared" ca="1" si="70"/>
        <v>#N/A</v>
      </c>
      <c r="S668" s="4">
        <f ca="1">IF(ISNA(M668),0,COUNTIF($R$6:R668,R668))</f>
        <v>0</v>
      </c>
      <c r="T668" s="4" t="e">
        <f t="shared" ca="1" si="69"/>
        <v>#N/A</v>
      </c>
    </row>
    <row r="669" spans="2:20" x14ac:dyDescent="0.3">
      <c r="B669" s="48"/>
      <c r="C669" s="48"/>
      <c r="D669" s="10" t="str">
        <f t="shared" ca="1" si="66"/>
        <v/>
      </c>
      <c r="E669" s="48"/>
      <c r="F669" s="48"/>
      <c r="G669" s="10" t="str">
        <f t="shared" ca="1" si="72"/>
        <v/>
      </c>
      <c r="I669" s="10" t="str">
        <f t="shared" ca="1" si="67"/>
        <v/>
      </c>
      <c r="K669" s="4" t="e">
        <f t="shared" ca="1" si="68"/>
        <v>#N/A</v>
      </c>
      <c r="L669" s="4" t="e">
        <f>VLOOKUP(C669,_resources!B:D,3,0)</f>
        <v>#N/A</v>
      </c>
      <c r="M669" s="4" t="e" cm="1">
        <f t="array" aca="1" ref="M669" ca="1">IF(abbrAtEnd,"",L669&amp;"-")&amp;E669&amp;"-"&amp;INDIRECT(OFFSET(element3,MATCH($C669,resources,0)-1,0))&amp;"-"&amp;INDIRECT(OFFSET(element4,MATCH($C669,resources,0)-1,0))&amp;"-"&amp;INDIRECT(OFFSET(element5,MATCH($C669,resources,0)-1,0))&amp;IF(OFFSET(element6,MATCH($C669,resources,0)-1,0)="","","-"&amp;INDIRECT(OFFSET(element6,MATCH($C669,resources,0)-1,0)))&amp;IF(abbrAtEnd,"-"&amp;L669,"")</f>
        <v>#N/A</v>
      </c>
      <c r="N669" s="4" t="str">
        <f t="shared" si="71"/>
        <v>-000</v>
      </c>
      <c r="O669" s="4">
        <f ca="1">IF(totalElements+COUNTIF(Entities!$C$10,"*")+COUNTIF(B669:C669,"*")+COUNTIF(E669:F669,"*")=9,1,0)</f>
        <v>0</v>
      </c>
      <c r="P669" s="4">
        <f>COUNTIF($C$6:C669,C669)</f>
        <v>0</v>
      </c>
      <c r="Q669" s="4">
        <f ca="1">IF(ISNA(M669),0,COUNTIF($M$6:M669,M669))</f>
        <v>0</v>
      </c>
      <c r="R669" s="4" t="e">
        <f t="shared" ca="1" si="70"/>
        <v>#N/A</v>
      </c>
      <c r="S669" s="4">
        <f ca="1">IF(ISNA(M669),0,COUNTIF($R$6:R669,R669))</f>
        <v>0</v>
      </c>
      <c r="T669" s="4" t="e">
        <f t="shared" ca="1" si="69"/>
        <v>#N/A</v>
      </c>
    </row>
    <row r="670" spans="2:20" x14ac:dyDescent="0.3">
      <c r="B670" s="48"/>
      <c r="C670" s="48"/>
      <c r="D670" s="10" t="str">
        <f t="shared" ca="1" si="66"/>
        <v/>
      </c>
      <c r="E670" s="48"/>
      <c r="F670" s="48"/>
      <c r="G670" s="10" t="str">
        <f t="shared" ca="1" si="72"/>
        <v/>
      </c>
      <c r="I670" s="10" t="str">
        <f t="shared" ca="1" si="67"/>
        <v/>
      </c>
      <c r="K670" s="4" t="e">
        <f t="shared" ca="1" si="68"/>
        <v>#N/A</v>
      </c>
      <c r="L670" s="4" t="e">
        <f>VLOOKUP(C670,_resources!B:D,3,0)</f>
        <v>#N/A</v>
      </c>
      <c r="M670" s="4" t="e" cm="1">
        <f t="array" aca="1" ref="M670" ca="1">IF(abbrAtEnd,"",L670&amp;"-")&amp;E670&amp;"-"&amp;INDIRECT(OFFSET(element3,MATCH($C670,resources,0)-1,0))&amp;"-"&amp;INDIRECT(OFFSET(element4,MATCH($C670,resources,0)-1,0))&amp;"-"&amp;INDIRECT(OFFSET(element5,MATCH($C670,resources,0)-1,0))&amp;IF(OFFSET(element6,MATCH($C670,resources,0)-1,0)="","","-"&amp;INDIRECT(OFFSET(element6,MATCH($C670,resources,0)-1,0)))&amp;IF(abbrAtEnd,"-"&amp;L670,"")</f>
        <v>#N/A</v>
      </c>
      <c r="N670" s="4" t="str">
        <f t="shared" si="71"/>
        <v>-000</v>
      </c>
      <c r="O670" s="4">
        <f ca="1">IF(totalElements+COUNTIF(Entities!$C$10,"*")+COUNTIF(B670:C670,"*")+COUNTIF(E670:F670,"*")=9,1,0)</f>
        <v>0</v>
      </c>
      <c r="P670" s="4">
        <f>COUNTIF($C$6:C670,C670)</f>
        <v>0</v>
      </c>
      <c r="Q670" s="4">
        <f ca="1">IF(ISNA(M670),0,COUNTIF($M$6:M670,M670))</f>
        <v>0</v>
      </c>
      <c r="R670" s="4" t="e">
        <f t="shared" ca="1" si="70"/>
        <v>#N/A</v>
      </c>
      <c r="S670" s="4">
        <f ca="1">IF(ISNA(M670),0,COUNTIF($R$6:R670,R670))</f>
        <v>0</v>
      </c>
      <c r="T670" s="4" t="e">
        <f t="shared" ca="1" si="69"/>
        <v>#N/A</v>
      </c>
    </row>
    <row r="671" spans="2:20" x14ac:dyDescent="0.3">
      <c r="B671" s="48"/>
      <c r="C671" s="48"/>
      <c r="D671" s="10" t="str">
        <f t="shared" ca="1" si="66"/>
        <v/>
      </c>
      <c r="E671" s="48"/>
      <c r="F671" s="48"/>
      <c r="G671" s="10" t="str">
        <f t="shared" ca="1" si="72"/>
        <v/>
      </c>
      <c r="I671" s="10" t="str">
        <f t="shared" ca="1" si="67"/>
        <v/>
      </c>
      <c r="K671" s="4" t="e">
        <f t="shared" ca="1" si="68"/>
        <v>#N/A</v>
      </c>
      <c r="L671" s="4" t="e">
        <f>VLOOKUP(C671,_resources!B:D,3,0)</f>
        <v>#N/A</v>
      </c>
      <c r="M671" s="4" t="e" cm="1">
        <f t="array" aca="1" ref="M671" ca="1">IF(abbrAtEnd,"",L671&amp;"-")&amp;E671&amp;"-"&amp;INDIRECT(OFFSET(element3,MATCH($C671,resources,0)-1,0))&amp;"-"&amp;INDIRECT(OFFSET(element4,MATCH($C671,resources,0)-1,0))&amp;"-"&amp;INDIRECT(OFFSET(element5,MATCH($C671,resources,0)-1,0))&amp;IF(OFFSET(element6,MATCH($C671,resources,0)-1,0)="","","-"&amp;INDIRECT(OFFSET(element6,MATCH($C671,resources,0)-1,0)))&amp;IF(abbrAtEnd,"-"&amp;L671,"")</f>
        <v>#N/A</v>
      </c>
      <c r="N671" s="4" t="str">
        <f t="shared" si="71"/>
        <v>-000</v>
      </c>
      <c r="O671" s="4">
        <f ca="1">IF(totalElements+COUNTIF(Entities!$C$10,"*")+COUNTIF(B671:C671,"*")+COUNTIF(E671:F671,"*")=9,1,0)</f>
        <v>0</v>
      </c>
      <c r="P671" s="4">
        <f>COUNTIF($C$6:C671,C671)</f>
        <v>0</v>
      </c>
      <c r="Q671" s="4">
        <f ca="1">IF(ISNA(M671),0,COUNTIF($M$6:M671,M671))</f>
        <v>0</v>
      </c>
      <c r="R671" s="4" t="e">
        <f t="shared" ca="1" si="70"/>
        <v>#N/A</v>
      </c>
      <c r="S671" s="4">
        <f ca="1">IF(ISNA(M671),0,COUNTIF($R$6:R671,R671))</f>
        <v>0</v>
      </c>
      <c r="T671" s="4" t="e">
        <f t="shared" ca="1" si="69"/>
        <v>#N/A</v>
      </c>
    </row>
    <row r="672" spans="2:20" x14ac:dyDescent="0.3">
      <c r="B672" s="48"/>
      <c r="C672" s="48"/>
      <c r="D672" s="10" t="str">
        <f t="shared" ca="1" si="66"/>
        <v/>
      </c>
      <c r="E672" s="48"/>
      <c r="F672" s="48"/>
      <c r="G672" s="10" t="str">
        <f t="shared" ca="1" si="72"/>
        <v/>
      </c>
      <c r="I672" s="10" t="str">
        <f t="shared" ca="1" si="67"/>
        <v/>
      </c>
      <c r="K672" s="4" t="e">
        <f t="shared" ca="1" si="68"/>
        <v>#N/A</v>
      </c>
      <c r="L672" s="4" t="e">
        <f>VLOOKUP(C672,_resources!B:D,3,0)</f>
        <v>#N/A</v>
      </c>
      <c r="M672" s="4" t="e" cm="1">
        <f t="array" aca="1" ref="M672" ca="1">IF(abbrAtEnd,"",L672&amp;"-")&amp;E672&amp;"-"&amp;INDIRECT(OFFSET(element3,MATCH($C672,resources,0)-1,0))&amp;"-"&amp;INDIRECT(OFFSET(element4,MATCH($C672,resources,0)-1,0))&amp;"-"&amp;INDIRECT(OFFSET(element5,MATCH($C672,resources,0)-1,0))&amp;IF(OFFSET(element6,MATCH($C672,resources,0)-1,0)="","","-"&amp;INDIRECT(OFFSET(element6,MATCH($C672,resources,0)-1,0)))&amp;IF(abbrAtEnd,"-"&amp;L672,"")</f>
        <v>#N/A</v>
      </c>
      <c r="N672" s="4" t="str">
        <f t="shared" si="71"/>
        <v>-000</v>
      </c>
      <c r="O672" s="4">
        <f ca="1">IF(totalElements+COUNTIF(Entities!$C$10,"*")+COUNTIF(B672:C672,"*")+COUNTIF(E672:F672,"*")=9,1,0)</f>
        <v>0</v>
      </c>
      <c r="P672" s="4">
        <f>COUNTIF($C$6:C672,C672)</f>
        <v>0</v>
      </c>
      <c r="Q672" s="4">
        <f ca="1">IF(ISNA(M672),0,COUNTIF($M$6:M672,M672))</f>
        <v>0</v>
      </c>
      <c r="R672" s="4" t="e">
        <f t="shared" ca="1" si="70"/>
        <v>#N/A</v>
      </c>
      <c r="S672" s="4">
        <f ca="1">IF(ISNA(M672),0,COUNTIF($R$6:R672,R672))</f>
        <v>0</v>
      </c>
      <c r="T672" s="4" t="e">
        <f t="shared" ca="1" si="69"/>
        <v>#N/A</v>
      </c>
    </row>
    <row r="673" spans="2:20" x14ac:dyDescent="0.3">
      <c r="B673" s="48"/>
      <c r="C673" s="48"/>
      <c r="D673" s="10" t="str">
        <f t="shared" ca="1" si="66"/>
        <v/>
      </c>
      <c r="E673" s="48"/>
      <c r="F673" s="48"/>
      <c r="G673" s="10" t="str">
        <f t="shared" ca="1" si="72"/>
        <v/>
      </c>
      <c r="I673" s="10" t="str">
        <f t="shared" ca="1" si="67"/>
        <v/>
      </c>
      <c r="K673" s="4" t="e">
        <f t="shared" ca="1" si="68"/>
        <v>#N/A</v>
      </c>
      <c r="L673" s="4" t="e">
        <f>VLOOKUP(C673,_resources!B:D,3,0)</f>
        <v>#N/A</v>
      </c>
      <c r="M673" s="4" t="e" cm="1">
        <f t="array" aca="1" ref="M673" ca="1">IF(abbrAtEnd,"",L673&amp;"-")&amp;E673&amp;"-"&amp;INDIRECT(OFFSET(element3,MATCH($C673,resources,0)-1,0))&amp;"-"&amp;INDIRECT(OFFSET(element4,MATCH($C673,resources,0)-1,0))&amp;"-"&amp;INDIRECT(OFFSET(element5,MATCH($C673,resources,0)-1,0))&amp;IF(OFFSET(element6,MATCH($C673,resources,0)-1,0)="","","-"&amp;INDIRECT(OFFSET(element6,MATCH($C673,resources,0)-1,0)))&amp;IF(abbrAtEnd,"-"&amp;L673,"")</f>
        <v>#N/A</v>
      </c>
      <c r="N673" s="4" t="str">
        <f t="shared" si="71"/>
        <v>-000</v>
      </c>
      <c r="O673" s="4">
        <f ca="1">IF(totalElements+COUNTIF(Entities!$C$10,"*")+COUNTIF(B673:C673,"*")+COUNTIF(E673:F673,"*")=9,1,0)</f>
        <v>0</v>
      </c>
      <c r="P673" s="4">
        <f>COUNTIF($C$6:C673,C673)</f>
        <v>0</v>
      </c>
      <c r="Q673" s="4">
        <f ca="1">IF(ISNA(M673),0,COUNTIF($M$6:M673,M673))</f>
        <v>0</v>
      </c>
      <c r="R673" s="4" t="e">
        <f t="shared" ca="1" si="70"/>
        <v>#N/A</v>
      </c>
      <c r="S673" s="4">
        <f ca="1">IF(ISNA(M673),0,COUNTIF($R$6:R673,R673))</f>
        <v>0</v>
      </c>
      <c r="T673" s="4" t="e">
        <f t="shared" ca="1" si="69"/>
        <v>#N/A</v>
      </c>
    </row>
    <row r="674" spans="2:20" x14ac:dyDescent="0.3">
      <c r="B674" s="48"/>
      <c r="C674" s="48"/>
      <c r="D674" s="10" t="str">
        <f t="shared" ca="1" si="66"/>
        <v/>
      </c>
      <c r="E674" s="48"/>
      <c r="F674" s="48"/>
      <c r="G674" s="10" t="str">
        <f t="shared" ca="1" si="72"/>
        <v/>
      </c>
      <c r="I674" s="10" t="str">
        <f t="shared" ca="1" si="67"/>
        <v/>
      </c>
      <c r="K674" s="4" t="e">
        <f t="shared" ca="1" si="68"/>
        <v>#N/A</v>
      </c>
      <c r="L674" s="4" t="e">
        <f>VLOOKUP(C674,_resources!B:D,3,0)</f>
        <v>#N/A</v>
      </c>
      <c r="M674" s="4" t="e" cm="1">
        <f t="array" aca="1" ref="M674" ca="1">IF(abbrAtEnd,"",L674&amp;"-")&amp;E674&amp;"-"&amp;INDIRECT(OFFSET(element3,MATCH($C674,resources,0)-1,0))&amp;"-"&amp;INDIRECT(OFFSET(element4,MATCH($C674,resources,0)-1,0))&amp;"-"&amp;INDIRECT(OFFSET(element5,MATCH($C674,resources,0)-1,0))&amp;IF(OFFSET(element6,MATCH($C674,resources,0)-1,0)="","","-"&amp;INDIRECT(OFFSET(element6,MATCH($C674,resources,0)-1,0)))&amp;IF(abbrAtEnd,"-"&amp;L674,"")</f>
        <v>#N/A</v>
      </c>
      <c r="N674" s="4" t="str">
        <f t="shared" si="71"/>
        <v>-000</v>
      </c>
      <c r="O674" s="4">
        <f ca="1">IF(totalElements+COUNTIF(Entities!$C$10,"*")+COUNTIF(B674:C674,"*")+COUNTIF(E674:F674,"*")=9,1,0)</f>
        <v>0</v>
      </c>
      <c r="P674" s="4">
        <f>COUNTIF($C$6:C674,C674)</f>
        <v>0</v>
      </c>
      <c r="Q674" s="4">
        <f ca="1">IF(ISNA(M674),0,COUNTIF($M$6:M674,M674))</f>
        <v>0</v>
      </c>
      <c r="R674" s="4" t="e">
        <f t="shared" ca="1" si="70"/>
        <v>#N/A</v>
      </c>
      <c r="S674" s="4">
        <f ca="1">IF(ISNA(M674),0,COUNTIF($R$6:R674,R674))</f>
        <v>0</v>
      </c>
      <c r="T674" s="4" t="e">
        <f t="shared" ca="1" si="69"/>
        <v>#N/A</v>
      </c>
    </row>
    <row r="675" spans="2:20" x14ac:dyDescent="0.3">
      <c r="B675" s="48"/>
      <c r="C675" s="48"/>
      <c r="D675" s="10" t="str">
        <f t="shared" ca="1" si="66"/>
        <v/>
      </c>
      <c r="E675" s="48"/>
      <c r="F675" s="48"/>
      <c r="G675" s="10" t="str">
        <f t="shared" ca="1" si="72"/>
        <v/>
      </c>
      <c r="I675" s="10" t="str">
        <f t="shared" ca="1" si="67"/>
        <v/>
      </c>
      <c r="K675" s="4" t="e">
        <f t="shared" ca="1" si="68"/>
        <v>#N/A</v>
      </c>
      <c r="L675" s="4" t="e">
        <f>VLOOKUP(C675,_resources!B:D,3,0)</f>
        <v>#N/A</v>
      </c>
      <c r="M675" s="4" t="e" cm="1">
        <f t="array" aca="1" ref="M675" ca="1">IF(abbrAtEnd,"",L675&amp;"-")&amp;E675&amp;"-"&amp;INDIRECT(OFFSET(element3,MATCH($C675,resources,0)-1,0))&amp;"-"&amp;INDIRECT(OFFSET(element4,MATCH($C675,resources,0)-1,0))&amp;"-"&amp;INDIRECT(OFFSET(element5,MATCH($C675,resources,0)-1,0))&amp;IF(OFFSET(element6,MATCH($C675,resources,0)-1,0)="","","-"&amp;INDIRECT(OFFSET(element6,MATCH($C675,resources,0)-1,0)))&amp;IF(abbrAtEnd,"-"&amp;L675,"")</f>
        <v>#N/A</v>
      </c>
      <c r="N675" s="4" t="str">
        <f t="shared" si="71"/>
        <v>-000</v>
      </c>
      <c r="O675" s="4">
        <f ca="1">IF(totalElements+COUNTIF(Entities!$C$10,"*")+COUNTIF(B675:C675,"*")+COUNTIF(E675:F675,"*")=9,1,0)</f>
        <v>0</v>
      </c>
      <c r="P675" s="4">
        <f>COUNTIF($C$6:C675,C675)</f>
        <v>0</v>
      </c>
      <c r="Q675" s="4">
        <f ca="1">IF(ISNA(M675),0,COUNTIF($M$6:M675,M675))</f>
        <v>0</v>
      </c>
      <c r="R675" s="4" t="e">
        <f t="shared" ca="1" si="70"/>
        <v>#N/A</v>
      </c>
      <c r="S675" s="4">
        <f ca="1">IF(ISNA(M675),0,COUNTIF($R$6:R675,R675))</f>
        <v>0</v>
      </c>
      <c r="T675" s="4" t="e">
        <f t="shared" ca="1" si="69"/>
        <v>#N/A</v>
      </c>
    </row>
    <row r="676" spans="2:20" x14ac:dyDescent="0.3">
      <c r="B676" s="48"/>
      <c r="C676" s="48"/>
      <c r="D676" s="10" t="str">
        <f t="shared" ca="1" si="66"/>
        <v/>
      </c>
      <c r="E676" s="48"/>
      <c r="F676" s="48"/>
      <c r="G676" s="10" t="str">
        <f t="shared" ca="1" si="72"/>
        <v/>
      </c>
      <c r="I676" s="10" t="str">
        <f t="shared" ca="1" si="67"/>
        <v/>
      </c>
      <c r="K676" s="4" t="e">
        <f t="shared" ca="1" si="68"/>
        <v>#N/A</v>
      </c>
      <c r="L676" s="4" t="e">
        <f>VLOOKUP(C676,_resources!B:D,3,0)</f>
        <v>#N/A</v>
      </c>
      <c r="M676" s="4" t="e" cm="1">
        <f t="array" aca="1" ref="M676" ca="1">IF(abbrAtEnd,"",L676&amp;"-")&amp;E676&amp;"-"&amp;INDIRECT(OFFSET(element3,MATCH($C676,resources,0)-1,0))&amp;"-"&amp;INDIRECT(OFFSET(element4,MATCH($C676,resources,0)-1,0))&amp;"-"&amp;INDIRECT(OFFSET(element5,MATCH($C676,resources,0)-1,0))&amp;IF(OFFSET(element6,MATCH($C676,resources,0)-1,0)="","","-"&amp;INDIRECT(OFFSET(element6,MATCH($C676,resources,0)-1,0)))&amp;IF(abbrAtEnd,"-"&amp;L676,"")</f>
        <v>#N/A</v>
      </c>
      <c r="N676" s="4" t="str">
        <f t="shared" si="71"/>
        <v>-000</v>
      </c>
      <c r="O676" s="4">
        <f ca="1">IF(totalElements+COUNTIF(Entities!$C$10,"*")+COUNTIF(B676:C676,"*")+COUNTIF(E676:F676,"*")=9,1,0)</f>
        <v>0</v>
      </c>
      <c r="P676" s="4">
        <f>COUNTIF($C$6:C676,C676)</f>
        <v>0</v>
      </c>
      <c r="Q676" s="4">
        <f ca="1">IF(ISNA(M676),0,COUNTIF($M$6:M676,M676))</f>
        <v>0</v>
      </c>
      <c r="R676" s="4" t="e">
        <f t="shared" ca="1" si="70"/>
        <v>#N/A</v>
      </c>
      <c r="S676" s="4">
        <f ca="1">IF(ISNA(M676),0,COUNTIF($R$6:R676,R676))</f>
        <v>0</v>
      </c>
      <c r="T676" s="4" t="e">
        <f t="shared" ca="1" si="69"/>
        <v>#N/A</v>
      </c>
    </row>
    <row r="677" spans="2:20" x14ac:dyDescent="0.3">
      <c r="B677" s="48"/>
      <c r="C677" s="48"/>
      <c r="D677" s="10" t="str">
        <f t="shared" ca="1" si="66"/>
        <v/>
      </c>
      <c r="E677" s="48"/>
      <c r="F677" s="48"/>
      <c r="G677" s="10" t="str">
        <f t="shared" ca="1" si="72"/>
        <v/>
      </c>
      <c r="I677" s="10" t="str">
        <f t="shared" ca="1" si="67"/>
        <v/>
      </c>
      <c r="K677" s="4" t="e">
        <f t="shared" ca="1" si="68"/>
        <v>#N/A</v>
      </c>
      <c r="L677" s="4" t="e">
        <f>VLOOKUP(C677,_resources!B:D,3,0)</f>
        <v>#N/A</v>
      </c>
      <c r="M677" s="4" t="e" cm="1">
        <f t="array" aca="1" ref="M677" ca="1">IF(abbrAtEnd,"",L677&amp;"-")&amp;E677&amp;"-"&amp;INDIRECT(OFFSET(element3,MATCH($C677,resources,0)-1,0))&amp;"-"&amp;INDIRECT(OFFSET(element4,MATCH($C677,resources,0)-1,0))&amp;"-"&amp;INDIRECT(OFFSET(element5,MATCH($C677,resources,0)-1,0))&amp;IF(OFFSET(element6,MATCH($C677,resources,0)-1,0)="","","-"&amp;INDIRECT(OFFSET(element6,MATCH($C677,resources,0)-1,0)))&amp;IF(abbrAtEnd,"-"&amp;L677,"")</f>
        <v>#N/A</v>
      </c>
      <c r="N677" s="4" t="str">
        <f t="shared" si="71"/>
        <v>-000</v>
      </c>
      <c r="O677" s="4">
        <f ca="1">IF(totalElements+COUNTIF(Entities!$C$10,"*")+COUNTIF(B677:C677,"*")+COUNTIF(E677:F677,"*")=9,1,0)</f>
        <v>0</v>
      </c>
      <c r="P677" s="4">
        <f>COUNTIF($C$6:C677,C677)</f>
        <v>0</v>
      </c>
      <c r="Q677" s="4">
        <f ca="1">IF(ISNA(M677),0,COUNTIF($M$6:M677,M677))</f>
        <v>0</v>
      </c>
      <c r="R677" s="4" t="e">
        <f t="shared" ca="1" si="70"/>
        <v>#N/A</v>
      </c>
      <c r="S677" s="4">
        <f ca="1">IF(ISNA(M677),0,COUNTIF($R$6:R677,R677))</f>
        <v>0</v>
      </c>
      <c r="T677" s="4" t="e">
        <f t="shared" ca="1" si="69"/>
        <v>#N/A</v>
      </c>
    </row>
    <row r="678" spans="2:20" x14ac:dyDescent="0.3">
      <c r="B678" s="48"/>
      <c r="C678" s="48"/>
      <c r="D678" s="10" t="str">
        <f t="shared" ca="1" si="66"/>
        <v/>
      </c>
      <c r="E678" s="48"/>
      <c r="F678" s="48"/>
      <c r="G678" s="10" t="str">
        <f t="shared" ca="1" si="72"/>
        <v/>
      </c>
      <c r="I678" s="10" t="str">
        <f t="shared" ca="1" si="67"/>
        <v/>
      </c>
      <c r="K678" s="4" t="e">
        <f t="shared" ca="1" si="68"/>
        <v>#N/A</v>
      </c>
      <c r="L678" s="4" t="e">
        <f>VLOOKUP(C678,_resources!B:D,3,0)</f>
        <v>#N/A</v>
      </c>
      <c r="M678" s="4" t="e" cm="1">
        <f t="array" aca="1" ref="M678" ca="1">IF(abbrAtEnd,"",L678&amp;"-")&amp;E678&amp;"-"&amp;INDIRECT(OFFSET(element3,MATCH($C678,resources,0)-1,0))&amp;"-"&amp;INDIRECT(OFFSET(element4,MATCH($C678,resources,0)-1,0))&amp;"-"&amp;INDIRECT(OFFSET(element5,MATCH($C678,resources,0)-1,0))&amp;IF(OFFSET(element6,MATCH($C678,resources,0)-1,0)="","","-"&amp;INDIRECT(OFFSET(element6,MATCH($C678,resources,0)-1,0)))&amp;IF(abbrAtEnd,"-"&amp;L678,"")</f>
        <v>#N/A</v>
      </c>
      <c r="N678" s="4" t="str">
        <f t="shared" si="71"/>
        <v>-000</v>
      </c>
      <c r="O678" s="4">
        <f ca="1">IF(totalElements+COUNTIF(Entities!$C$10,"*")+COUNTIF(B678:C678,"*")+COUNTIF(E678:F678,"*")=9,1,0)</f>
        <v>0</v>
      </c>
      <c r="P678" s="4">
        <f>COUNTIF($C$6:C678,C678)</f>
        <v>0</v>
      </c>
      <c r="Q678" s="4">
        <f ca="1">IF(ISNA(M678),0,COUNTIF($M$6:M678,M678))</f>
        <v>0</v>
      </c>
      <c r="R678" s="4" t="e">
        <f t="shared" ca="1" si="70"/>
        <v>#N/A</v>
      </c>
      <c r="S678" s="4">
        <f ca="1">IF(ISNA(M678),0,COUNTIF($R$6:R678,R678))</f>
        <v>0</v>
      </c>
      <c r="T678" s="4" t="e">
        <f t="shared" ca="1" si="69"/>
        <v>#N/A</v>
      </c>
    </row>
    <row r="679" spans="2:20" x14ac:dyDescent="0.3">
      <c r="B679" s="48"/>
      <c r="C679" s="48"/>
      <c r="D679" s="10" t="str">
        <f t="shared" ca="1" si="66"/>
        <v/>
      </c>
      <c r="E679" s="48"/>
      <c r="F679" s="48"/>
      <c r="G679" s="10" t="str">
        <f t="shared" ca="1" si="72"/>
        <v/>
      </c>
      <c r="I679" s="10" t="str">
        <f t="shared" ca="1" si="67"/>
        <v/>
      </c>
      <c r="K679" s="4" t="e">
        <f t="shared" ca="1" si="68"/>
        <v>#N/A</v>
      </c>
      <c r="L679" s="4" t="e">
        <f>VLOOKUP(C679,_resources!B:D,3,0)</f>
        <v>#N/A</v>
      </c>
      <c r="M679" s="4" t="e" cm="1">
        <f t="array" aca="1" ref="M679" ca="1">IF(abbrAtEnd,"",L679&amp;"-")&amp;E679&amp;"-"&amp;INDIRECT(OFFSET(element3,MATCH($C679,resources,0)-1,0))&amp;"-"&amp;INDIRECT(OFFSET(element4,MATCH($C679,resources,0)-1,0))&amp;"-"&amp;INDIRECT(OFFSET(element5,MATCH($C679,resources,0)-1,0))&amp;IF(OFFSET(element6,MATCH($C679,resources,0)-1,0)="","","-"&amp;INDIRECT(OFFSET(element6,MATCH($C679,resources,0)-1,0)))&amp;IF(abbrAtEnd,"-"&amp;L679,"")</f>
        <v>#N/A</v>
      </c>
      <c r="N679" s="4" t="str">
        <f t="shared" si="71"/>
        <v>-000</v>
      </c>
      <c r="O679" s="4">
        <f ca="1">IF(totalElements+COUNTIF(Entities!$C$10,"*")+COUNTIF(B679:C679,"*")+COUNTIF(E679:F679,"*")=9,1,0)</f>
        <v>0</v>
      </c>
      <c r="P679" s="4">
        <f>COUNTIF($C$6:C679,C679)</f>
        <v>0</v>
      </c>
      <c r="Q679" s="4">
        <f ca="1">IF(ISNA(M679),0,COUNTIF($M$6:M679,M679))</f>
        <v>0</v>
      </c>
      <c r="R679" s="4" t="e">
        <f t="shared" ca="1" si="70"/>
        <v>#N/A</v>
      </c>
      <c r="S679" s="4">
        <f ca="1">IF(ISNA(M679),0,COUNTIF($R$6:R679,R679))</f>
        <v>0</v>
      </c>
      <c r="T679" s="4" t="e">
        <f t="shared" ca="1" si="69"/>
        <v>#N/A</v>
      </c>
    </row>
    <row r="680" spans="2:20" x14ac:dyDescent="0.3">
      <c r="B680" s="48"/>
      <c r="C680" s="48"/>
      <c r="D680" s="10" t="str">
        <f t="shared" ca="1" si="66"/>
        <v/>
      </c>
      <c r="E680" s="48"/>
      <c r="F680" s="48"/>
      <c r="G680" s="10" t="str">
        <f t="shared" ca="1" si="72"/>
        <v/>
      </c>
      <c r="I680" s="10" t="str">
        <f t="shared" ca="1" si="67"/>
        <v/>
      </c>
      <c r="K680" s="4" t="e">
        <f t="shared" ca="1" si="68"/>
        <v>#N/A</v>
      </c>
      <c r="L680" s="4" t="e">
        <f>VLOOKUP(C680,_resources!B:D,3,0)</f>
        <v>#N/A</v>
      </c>
      <c r="M680" s="4" t="e" cm="1">
        <f t="array" aca="1" ref="M680" ca="1">IF(abbrAtEnd,"",L680&amp;"-")&amp;E680&amp;"-"&amp;INDIRECT(OFFSET(element3,MATCH($C680,resources,0)-1,0))&amp;"-"&amp;INDIRECT(OFFSET(element4,MATCH($C680,resources,0)-1,0))&amp;"-"&amp;INDIRECT(OFFSET(element5,MATCH($C680,resources,0)-1,0))&amp;IF(OFFSET(element6,MATCH($C680,resources,0)-1,0)="","","-"&amp;INDIRECT(OFFSET(element6,MATCH($C680,resources,0)-1,0)))&amp;IF(abbrAtEnd,"-"&amp;L680,"")</f>
        <v>#N/A</v>
      </c>
      <c r="N680" s="4" t="str">
        <f t="shared" si="71"/>
        <v>-000</v>
      </c>
      <c r="O680" s="4">
        <f ca="1">IF(totalElements+COUNTIF(Entities!$C$10,"*")+COUNTIF(B680:C680,"*")+COUNTIF(E680:F680,"*")=9,1,0)</f>
        <v>0</v>
      </c>
      <c r="P680" s="4">
        <f>COUNTIF($C$6:C680,C680)</f>
        <v>0</v>
      </c>
      <c r="Q680" s="4">
        <f ca="1">IF(ISNA(M680),0,COUNTIF($M$6:M680,M680))</f>
        <v>0</v>
      </c>
      <c r="R680" s="4" t="e">
        <f t="shared" ca="1" si="70"/>
        <v>#N/A</v>
      </c>
      <c r="S680" s="4">
        <f ca="1">IF(ISNA(M680),0,COUNTIF($R$6:R680,R680))</f>
        <v>0</v>
      </c>
      <c r="T680" s="4" t="e">
        <f t="shared" ca="1" si="69"/>
        <v>#N/A</v>
      </c>
    </row>
    <row r="681" spans="2:20" x14ac:dyDescent="0.3">
      <c r="B681" s="48"/>
      <c r="C681" s="48"/>
      <c r="D681" s="10" t="str">
        <f t="shared" ca="1" si="66"/>
        <v/>
      </c>
      <c r="E681" s="48"/>
      <c r="F681" s="48"/>
      <c r="G681" s="10" t="str">
        <f t="shared" ca="1" si="72"/>
        <v/>
      </c>
      <c r="I681" s="10" t="str">
        <f t="shared" ca="1" si="67"/>
        <v/>
      </c>
      <c r="K681" s="4" t="e">
        <f t="shared" ca="1" si="68"/>
        <v>#N/A</v>
      </c>
      <c r="L681" s="4" t="e">
        <f>VLOOKUP(C681,_resources!B:D,3,0)</f>
        <v>#N/A</v>
      </c>
      <c r="M681" s="4" t="e" cm="1">
        <f t="array" aca="1" ref="M681" ca="1">IF(abbrAtEnd,"",L681&amp;"-")&amp;E681&amp;"-"&amp;INDIRECT(OFFSET(element3,MATCH($C681,resources,0)-1,0))&amp;"-"&amp;INDIRECT(OFFSET(element4,MATCH($C681,resources,0)-1,0))&amp;"-"&amp;INDIRECT(OFFSET(element5,MATCH($C681,resources,0)-1,0))&amp;IF(OFFSET(element6,MATCH($C681,resources,0)-1,0)="","","-"&amp;INDIRECT(OFFSET(element6,MATCH($C681,resources,0)-1,0)))&amp;IF(abbrAtEnd,"-"&amp;L681,"")</f>
        <v>#N/A</v>
      </c>
      <c r="N681" s="4" t="str">
        <f t="shared" si="71"/>
        <v>-000</v>
      </c>
      <c r="O681" s="4">
        <f ca="1">IF(totalElements+COUNTIF(Entities!$C$10,"*")+COUNTIF(B681:C681,"*")+COUNTIF(E681:F681,"*")=9,1,0)</f>
        <v>0</v>
      </c>
      <c r="P681" s="4">
        <f>COUNTIF($C$6:C681,C681)</f>
        <v>0</v>
      </c>
      <c r="Q681" s="4">
        <f ca="1">IF(ISNA(M681),0,COUNTIF($M$6:M681,M681))</f>
        <v>0</v>
      </c>
      <c r="R681" s="4" t="e">
        <f t="shared" ca="1" si="70"/>
        <v>#N/A</v>
      </c>
      <c r="S681" s="4">
        <f ca="1">IF(ISNA(M681),0,COUNTIF($R$6:R681,R681))</f>
        <v>0</v>
      </c>
      <c r="T681" s="4" t="e">
        <f t="shared" ca="1" si="69"/>
        <v>#N/A</v>
      </c>
    </row>
    <row r="682" spans="2:20" x14ac:dyDescent="0.3">
      <c r="B682" s="48"/>
      <c r="C682" s="48"/>
      <c r="D682" s="10" t="str">
        <f t="shared" ca="1" si="66"/>
        <v/>
      </c>
      <c r="E682" s="48"/>
      <c r="F682" s="48"/>
      <c r="G682" s="10" t="str">
        <f t="shared" ca="1" si="72"/>
        <v/>
      </c>
      <c r="I682" s="10" t="str">
        <f t="shared" ca="1" si="67"/>
        <v/>
      </c>
      <c r="K682" s="4" t="e">
        <f t="shared" ca="1" si="68"/>
        <v>#N/A</v>
      </c>
      <c r="L682" s="4" t="e">
        <f>VLOOKUP(C682,_resources!B:D,3,0)</f>
        <v>#N/A</v>
      </c>
      <c r="M682" s="4" t="e" cm="1">
        <f t="array" aca="1" ref="M682" ca="1">IF(abbrAtEnd,"",L682&amp;"-")&amp;E682&amp;"-"&amp;INDIRECT(OFFSET(element3,MATCH($C682,resources,0)-1,0))&amp;"-"&amp;INDIRECT(OFFSET(element4,MATCH($C682,resources,0)-1,0))&amp;"-"&amp;INDIRECT(OFFSET(element5,MATCH($C682,resources,0)-1,0))&amp;IF(OFFSET(element6,MATCH($C682,resources,0)-1,0)="","","-"&amp;INDIRECT(OFFSET(element6,MATCH($C682,resources,0)-1,0)))&amp;IF(abbrAtEnd,"-"&amp;L682,"")</f>
        <v>#N/A</v>
      </c>
      <c r="N682" s="4" t="str">
        <f t="shared" si="71"/>
        <v>-000</v>
      </c>
      <c r="O682" s="4">
        <f ca="1">IF(totalElements+COUNTIF(Entities!$C$10,"*")+COUNTIF(B682:C682,"*")+COUNTIF(E682:F682,"*")=9,1,0)</f>
        <v>0</v>
      </c>
      <c r="P682" s="4">
        <f>COUNTIF($C$6:C682,C682)</f>
        <v>0</v>
      </c>
      <c r="Q682" s="4">
        <f ca="1">IF(ISNA(M682),0,COUNTIF($M$6:M682,M682))</f>
        <v>0</v>
      </c>
      <c r="R682" s="4" t="e">
        <f t="shared" ca="1" si="70"/>
        <v>#N/A</v>
      </c>
      <c r="S682" s="4">
        <f ca="1">IF(ISNA(M682),0,COUNTIF($R$6:R682,R682))</f>
        <v>0</v>
      </c>
      <c r="T682" s="4" t="e">
        <f t="shared" ca="1" si="69"/>
        <v>#N/A</v>
      </c>
    </row>
    <row r="683" spans="2:20" x14ac:dyDescent="0.3">
      <c r="B683" s="48"/>
      <c r="C683" s="48"/>
      <c r="D683" s="10" t="str">
        <f t="shared" ca="1" si="66"/>
        <v/>
      </c>
      <c r="E683" s="48"/>
      <c r="F683" s="48"/>
      <c r="G683" s="10" t="str">
        <f t="shared" ca="1" si="72"/>
        <v/>
      </c>
      <c r="I683" s="10" t="str">
        <f t="shared" ca="1" si="67"/>
        <v/>
      </c>
      <c r="K683" s="4" t="e">
        <f t="shared" ca="1" si="68"/>
        <v>#N/A</v>
      </c>
      <c r="L683" s="4" t="e">
        <f>VLOOKUP(C683,_resources!B:D,3,0)</f>
        <v>#N/A</v>
      </c>
      <c r="M683" s="4" t="e" cm="1">
        <f t="array" aca="1" ref="M683" ca="1">IF(abbrAtEnd,"",L683&amp;"-")&amp;E683&amp;"-"&amp;INDIRECT(OFFSET(element3,MATCH($C683,resources,0)-1,0))&amp;"-"&amp;INDIRECT(OFFSET(element4,MATCH($C683,resources,0)-1,0))&amp;"-"&amp;INDIRECT(OFFSET(element5,MATCH($C683,resources,0)-1,0))&amp;IF(OFFSET(element6,MATCH($C683,resources,0)-1,0)="","","-"&amp;INDIRECT(OFFSET(element6,MATCH($C683,resources,0)-1,0)))&amp;IF(abbrAtEnd,"-"&amp;L683,"")</f>
        <v>#N/A</v>
      </c>
      <c r="N683" s="4" t="str">
        <f t="shared" si="71"/>
        <v>-000</v>
      </c>
      <c r="O683" s="4">
        <f ca="1">IF(totalElements+COUNTIF(Entities!$C$10,"*")+COUNTIF(B683:C683,"*")+COUNTIF(E683:F683,"*")=9,1,0)</f>
        <v>0</v>
      </c>
      <c r="P683" s="4">
        <f>COUNTIF($C$6:C683,C683)</f>
        <v>0</v>
      </c>
      <c r="Q683" s="4">
        <f ca="1">IF(ISNA(M683),0,COUNTIF($M$6:M683,M683))</f>
        <v>0</v>
      </c>
      <c r="R683" s="4" t="e">
        <f t="shared" ca="1" si="70"/>
        <v>#N/A</v>
      </c>
      <c r="S683" s="4">
        <f ca="1">IF(ISNA(M683),0,COUNTIF($R$6:R683,R683))</f>
        <v>0</v>
      </c>
      <c r="T683" s="4" t="e">
        <f t="shared" ca="1" si="69"/>
        <v>#N/A</v>
      </c>
    </row>
    <row r="684" spans="2:20" x14ac:dyDescent="0.3">
      <c r="B684" s="48"/>
      <c r="C684" s="48"/>
      <c r="D684" s="10" t="str">
        <f t="shared" ca="1" si="66"/>
        <v/>
      </c>
      <c r="E684" s="48"/>
      <c r="F684" s="48"/>
      <c r="G684" s="10" t="str">
        <f t="shared" ca="1" si="72"/>
        <v/>
      </c>
      <c r="I684" s="10" t="str">
        <f t="shared" ca="1" si="67"/>
        <v/>
      </c>
      <c r="K684" s="4" t="e">
        <f t="shared" ca="1" si="68"/>
        <v>#N/A</v>
      </c>
      <c r="L684" s="4" t="e">
        <f>VLOOKUP(C684,_resources!B:D,3,0)</f>
        <v>#N/A</v>
      </c>
      <c r="M684" s="4" t="e" cm="1">
        <f t="array" aca="1" ref="M684" ca="1">IF(abbrAtEnd,"",L684&amp;"-")&amp;E684&amp;"-"&amp;INDIRECT(OFFSET(element3,MATCH($C684,resources,0)-1,0))&amp;"-"&amp;INDIRECT(OFFSET(element4,MATCH($C684,resources,0)-1,0))&amp;"-"&amp;INDIRECT(OFFSET(element5,MATCH($C684,resources,0)-1,0))&amp;IF(OFFSET(element6,MATCH($C684,resources,0)-1,0)="","","-"&amp;INDIRECT(OFFSET(element6,MATCH($C684,resources,0)-1,0)))&amp;IF(abbrAtEnd,"-"&amp;L684,"")</f>
        <v>#N/A</v>
      </c>
      <c r="N684" s="4" t="str">
        <f t="shared" si="71"/>
        <v>-000</v>
      </c>
      <c r="O684" s="4">
        <f ca="1">IF(totalElements+COUNTIF(Entities!$C$10,"*")+COUNTIF(B684:C684,"*")+COUNTIF(E684:F684,"*")=9,1,0)</f>
        <v>0</v>
      </c>
      <c r="P684" s="4">
        <f>COUNTIF($C$6:C684,C684)</f>
        <v>0</v>
      </c>
      <c r="Q684" s="4">
        <f ca="1">IF(ISNA(M684),0,COUNTIF($M$6:M684,M684))</f>
        <v>0</v>
      </c>
      <c r="R684" s="4" t="e">
        <f t="shared" ca="1" si="70"/>
        <v>#N/A</v>
      </c>
      <c r="S684" s="4">
        <f ca="1">IF(ISNA(M684),0,COUNTIF($R$6:R684,R684))</f>
        <v>0</v>
      </c>
      <c r="T684" s="4" t="e">
        <f t="shared" ca="1" si="69"/>
        <v>#N/A</v>
      </c>
    </row>
    <row r="685" spans="2:20" x14ac:dyDescent="0.3">
      <c r="B685" s="48"/>
      <c r="C685" s="48"/>
      <c r="D685" s="10" t="str">
        <f t="shared" ca="1" si="66"/>
        <v/>
      </c>
      <c r="E685" s="48"/>
      <c r="F685" s="48"/>
      <c r="G685" s="10" t="str">
        <f t="shared" ca="1" si="72"/>
        <v/>
      </c>
      <c r="I685" s="10" t="str">
        <f t="shared" ca="1" si="67"/>
        <v/>
      </c>
      <c r="K685" s="4" t="e">
        <f t="shared" ca="1" si="68"/>
        <v>#N/A</v>
      </c>
      <c r="L685" s="4" t="e">
        <f>VLOOKUP(C685,_resources!B:D,3,0)</f>
        <v>#N/A</v>
      </c>
      <c r="M685" s="4" t="e" cm="1">
        <f t="array" aca="1" ref="M685" ca="1">IF(abbrAtEnd,"",L685&amp;"-")&amp;E685&amp;"-"&amp;INDIRECT(OFFSET(element3,MATCH($C685,resources,0)-1,0))&amp;"-"&amp;INDIRECT(OFFSET(element4,MATCH($C685,resources,0)-1,0))&amp;"-"&amp;INDIRECT(OFFSET(element5,MATCH($C685,resources,0)-1,0))&amp;IF(OFFSET(element6,MATCH($C685,resources,0)-1,0)="","","-"&amp;INDIRECT(OFFSET(element6,MATCH($C685,resources,0)-1,0)))&amp;IF(abbrAtEnd,"-"&amp;L685,"")</f>
        <v>#N/A</v>
      </c>
      <c r="N685" s="4" t="str">
        <f t="shared" si="71"/>
        <v>-000</v>
      </c>
      <c r="O685" s="4">
        <f ca="1">IF(totalElements+COUNTIF(Entities!$C$10,"*")+COUNTIF(B685:C685,"*")+COUNTIF(E685:F685,"*")=9,1,0)</f>
        <v>0</v>
      </c>
      <c r="P685" s="4">
        <f>COUNTIF($C$6:C685,C685)</f>
        <v>0</v>
      </c>
      <c r="Q685" s="4">
        <f ca="1">IF(ISNA(M685),0,COUNTIF($M$6:M685,M685))</f>
        <v>0</v>
      </c>
      <c r="R685" s="4" t="e">
        <f t="shared" ca="1" si="70"/>
        <v>#N/A</v>
      </c>
      <c r="S685" s="4">
        <f ca="1">IF(ISNA(M685),0,COUNTIF($R$6:R685,R685))</f>
        <v>0</v>
      </c>
      <c r="T685" s="4" t="e">
        <f t="shared" ca="1" si="69"/>
        <v>#N/A</v>
      </c>
    </row>
    <row r="686" spans="2:20" x14ac:dyDescent="0.3">
      <c r="B686" s="48"/>
      <c r="C686" s="48"/>
      <c r="D686" s="10" t="str">
        <f t="shared" ca="1" si="66"/>
        <v/>
      </c>
      <c r="E686" s="48"/>
      <c r="F686" s="48"/>
      <c r="G686" s="10" t="str">
        <f t="shared" ca="1" si="72"/>
        <v/>
      </c>
      <c r="I686" s="10" t="str">
        <f t="shared" ca="1" si="67"/>
        <v/>
      </c>
      <c r="K686" s="4" t="e">
        <f t="shared" ca="1" si="68"/>
        <v>#N/A</v>
      </c>
      <c r="L686" s="4" t="e">
        <f>VLOOKUP(C686,_resources!B:D,3,0)</f>
        <v>#N/A</v>
      </c>
      <c r="M686" s="4" t="e" cm="1">
        <f t="array" aca="1" ref="M686" ca="1">IF(abbrAtEnd,"",L686&amp;"-")&amp;E686&amp;"-"&amp;INDIRECT(OFFSET(element3,MATCH($C686,resources,0)-1,0))&amp;"-"&amp;INDIRECT(OFFSET(element4,MATCH($C686,resources,0)-1,0))&amp;"-"&amp;INDIRECT(OFFSET(element5,MATCH($C686,resources,0)-1,0))&amp;IF(OFFSET(element6,MATCH($C686,resources,0)-1,0)="","","-"&amp;INDIRECT(OFFSET(element6,MATCH($C686,resources,0)-1,0)))&amp;IF(abbrAtEnd,"-"&amp;L686,"")</f>
        <v>#N/A</v>
      </c>
      <c r="N686" s="4" t="str">
        <f t="shared" si="71"/>
        <v>-000</v>
      </c>
      <c r="O686" s="4">
        <f ca="1">IF(totalElements+COUNTIF(Entities!$C$10,"*")+COUNTIF(B686:C686,"*")+COUNTIF(E686:F686,"*")=9,1,0)</f>
        <v>0</v>
      </c>
      <c r="P686" s="4">
        <f>COUNTIF($C$6:C686,C686)</f>
        <v>0</v>
      </c>
      <c r="Q686" s="4">
        <f ca="1">IF(ISNA(M686),0,COUNTIF($M$6:M686,M686))</f>
        <v>0</v>
      </c>
      <c r="R686" s="4" t="e">
        <f t="shared" ca="1" si="70"/>
        <v>#N/A</v>
      </c>
      <c r="S686" s="4">
        <f ca="1">IF(ISNA(M686),0,COUNTIF($R$6:R686,R686))</f>
        <v>0</v>
      </c>
      <c r="T686" s="4" t="e">
        <f t="shared" ca="1" si="69"/>
        <v>#N/A</v>
      </c>
    </row>
    <row r="687" spans="2:20" x14ac:dyDescent="0.3">
      <c r="B687" s="48"/>
      <c r="C687" s="48"/>
      <c r="D687" s="10" t="str">
        <f t="shared" ca="1" si="66"/>
        <v/>
      </c>
      <c r="E687" s="48"/>
      <c r="F687" s="48"/>
      <c r="G687" s="10" t="str">
        <f t="shared" ca="1" si="72"/>
        <v/>
      </c>
      <c r="I687" s="10" t="str">
        <f t="shared" ca="1" si="67"/>
        <v/>
      </c>
      <c r="K687" s="4" t="e">
        <f t="shared" ca="1" si="68"/>
        <v>#N/A</v>
      </c>
      <c r="L687" s="4" t="e">
        <f>VLOOKUP(C687,_resources!B:D,3,0)</f>
        <v>#N/A</v>
      </c>
      <c r="M687" s="4" t="e" cm="1">
        <f t="array" aca="1" ref="M687" ca="1">IF(abbrAtEnd,"",L687&amp;"-")&amp;E687&amp;"-"&amp;INDIRECT(OFFSET(element3,MATCH($C687,resources,0)-1,0))&amp;"-"&amp;INDIRECT(OFFSET(element4,MATCH($C687,resources,0)-1,0))&amp;"-"&amp;INDIRECT(OFFSET(element5,MATCH($C687,resources,0)-1,0))&amp;IF(OFFSET(element6,MATCH($C687,resources,0)-1,0)="","","-"&amp;INDIRECT(OFFSET(element6,MATCH($C687,resources,0)-1,0)))&amp;IF(abbrAtEnd,"-"&amp;L687,"")</f>
        <v>#N/A</v>
      </c>
      <c r="N687" s="4" t="str">
        <f t="shared" si="71"/>
        <v>-000</v>
      </c>
      <c r="O687" s="4">
        <f ca="1">IF(totalElements+COUNTIF(Entities!$C$10,"*")+COUNTIF(B687:C687,"*")+COUNTIF(E687:F687,"*")=9,1,0)</f>
        <v>0</v>
      </c>
      <c r="P687" s="4">
        <f>COUNTIF($C$6:C687,C687)</f>
        <v>0</v>
      </c>
      <c r="Q687" s="4">
        <f ca="1">IF(ISNA(M687),0,COUNTIF($M$6:M687,M687))</f>
        <v>0</v>
      </c>
      <c r="R687" s="4" t="e">
        <f t="shared" ca="1" si="70"/>
        <v>#N/A</v>
      </c>
      <c r="S687" s="4">
        <f ca="1">IF(ISNA(M687),0,COUNTIF($R$6:R687,R687))</f>
        <v>0</v>
      </c>
      <c r="T687" s="4" t="e">
        <f t="shared" ca="1" si="69"/>
        <v>#N/A</v>
      </c>
    </row>
    <row r="688" spans="2:20" x14ac:dyDescent="0.3">
      <c r="B688" s="48"/>
      <c r="C688" s="48"/>
      <c r="D688" s="10" t="str">
        <f t="shared" ca="1" si="66"/>
        <v/>
      </c>
      <c r="E688" s="48"/>
      <c r="F688" s="48"/>
      <c r="G688" s="10" t="str">
        <f t="shared" ca="1" si="72"/>
        <v/>
      </c>
      <c r="I688" s="10" t="str">
        <f t="shared" ca="1" si="67"/>
        <v/>
      </c>
      <c r="K688" s="4" t="e">
        <f t="shared" ca="1" si="68"/>
        <v>#N/A</v>
      </c>
      <c r="L688" s="4" t="e">
        <f>VLOOKUP(C688,_resources!B:D,3,0)</f>
        <v>#N/A</v>
      </c>
      <c r="M688" s="4" t="e" cm="1">
        <f t="array" aca="1" ref="M688" ca="1">IF(abbrAtEnd,"",L688&amp;"-")&amp;E688&amp;"-"&amp;INDIRECT(OFFSET(element3,MATCH($C688,resources,0)-1,0))&amp;"-"&amp;INDIRECT(OFFSET(element4,MATCH($C688,resources,0)-1,0))&amp;"-"&amp;INDIRECT(OFFSET(element5,MATCH($C688,resources,0)-1,0))&amp;IF(OFFSET(element6,MATCH($C688,resources,0)-1,0)="","","-"&amp;INDIRECT(OFFSET(element6,MATCH($C688,resources,0)-1,0)))&amp;IF(abbrAtEnd,"-"&amp;L688,"")</f>
        <v>#N/A</v>
      </c>
      <c r="N688" s="4" t="str">
        <f t="shared" si="71"/>
        <v>-000</v>
      </c>
      <c r="O688" s="4">
        <f ca="1">IF(totalElements+COUNTIF(Entities!$C$10,"*")+COUNTIF(B688:C688,"*")+COUNTIF(E688:F688,"*")=9,1,0)</f>
        <v>0</v>
      </c>
      <c r="P688" s="4">
        <f>COUNTIF($C$6:C688,C688)</f>
        <v>0</v>
      </c>
      <c r="Q688" s="4">
        <f ca="1">IF(ISNA(M688),0,COUNTIF($M$6:M688,M688))</f>
        <v>0</v>
      </c>
      <c r="R688" s="4" t="e">
        <f t="shared" ca="1" si="70"/>
        <v>#N/A</v>
      </c>
      <c r="S688" s="4">
        <f ca="1">IF(ISNA(M688),0,COUNTIF($R$6:R688,R688))</f>
        <v>0</v>
      </c>
      <c r="T688" s="4" t="e">
        <f t="shared" ca="1" si="69"/>
        <v>#N/A</v>
      </c>
    </row>
    <row r="689" spans="2:20" x14ac:dyDescent="0.3">
      <c r="B689" s="48"/>
      <c r="C689" s="48"/>
      <c r="D689" s="10" t="str">
        <f t="shared" ref="D689:D752" ca="1" si="73">IF(ISBLANK(C689),"",OFFSET(element2,MATCH($C689,resources,0)-1,0))</f>
        <v/>
      </c>
      <c r="E689" s="48"/>
      <c r="F689" s="48"/>
      <c r="G689" s="10" t="str">
        <f t="shared" ca="1" si="72"/>
        <v/>
      </c>
      <c r="I689" s="10" t="str">
        <f t="shared" ref="I689:I752" ca="1" si="74">IF(O689,IF(LEN(G689)&gt;T689,"Name too Long (length: "&amp;LEN(G689)&amp;", max. "&amp;T689&amp;")","None"),"")</f>
        <v/>
      </c>
      <c r="K689" s="4" t="e">
        <f t="shared" ca="1" si="68"/>
        <v>#N/A</v>
      </c>
      <c r="L689" s="4" t="e">
        <f>VLOOKUP(C689,_resources!B:D,3,0)</f>
        <v>#N/A</v>
      </c>
      <c r="M689" s="4" t="e" cm="1">
        <f t="array" aca="1" ref="M689" ca="1">IF(abbrAtEnd,"",L689&amp;"-")&amp;E689&amp;"-"&amp;INDIRECT(OFFSET(element3,MATCH($C689,resources,0)-1,0))&amp;"-"&amp;INDIRECT(OFFSET(element4,MATCH($C689,resources,0)-1,0))&amp;"-"&amp;INDIRECT(OFFSET(element5,MATCH($C689,resources,0)-1,0))&amp;IF(OFFSET(element6,MATCH($C689,resources,0)-1,0)="","","-"&amp;INDIRECT(OFFSET(element6,MATCH($C689,resources,0)-1,0)))&amp;IF(abbrAtEnd,"-"&amp;L689,"")</f>
        <v>#N/A</v>
      </c>
      <c r="N689" s="4" t="str">
        <f t="shared" si="71"/>
        <v>-000</v>
      </c>
      <c r="O689" s="4">
        <f ca="1">IF(totalElements+COUNTIF(Entities!$C$10,"*")+COUNTIF(B689:C689,"*")+COUNTIF(E689:F689,"*")=9,1,0)</f>
        <v>0</v>
      </c>
      <c r="P689" s="4">
        <f>COUNTIF($C$6:C689,C689)</f>
        <v>0</v>
      </c>
      <c r="Q689" s="4">
        <f ca="1">IF(ISNA(M689),0,COUNTIF($M$6:M689,M689))</f>
        <v>0</v>
      </c>
      <c r="R689" s="4" t="e">
        <f t="shared" ca="1" si="70"/>
        <v>#N/A</v>
      </c>
      <c r="S689" s="4">
        <f ca="1">IF(ISNA(M689),0,COUNTIF($R$6:R689,R689))</f>
        <v>0</v>
      </c>
      <c r="T689" s="4" t="e">
        <f t="shared" ca="1" si="69"/>
        <v>#N/A</v>
      </c>
    </row>
    <row r="690" spans="2:20" x14ac:dyDescent="0.3">
      <c r="B690" s="48"/>
      <c r="C690" s="48"/>
      <c r="D690" s="10" t="str">
        <f t="shared" ca="1" si="73"/>
        <v/>
      </c>
      <c r="E690" s="48"/>
      <c r="F690" s="48"/>
      <c r="G690" s="10" t="str">
        <f t="shared" ca="1" si="72"/>
        <v/>
      </c>
      <c r="I690" s="10" t="str">
        <f t="shared" ca="1" si="74"/>
        <v/>
      </c>
      <c r="K690" s="4" t="e">
        <f t="shared" ca="1" si="68"/>
        <v>#N/A</v>
      </c>
      <c r="L690" s="4" t="e">
        <f>VLOOKUP(C690,_resources!B:D,3,0)</f>
        <v>#N/A</v>
      </c>
      <c r="M690" s="4" t="e" cm="1">
        <f t="array" aca="1" ref="M690" ca="1">IF(abbrAtEnd,"",L690&amp;"-")&amp;E690&amp;"-"&amp;INDIRECT(OFFSET(element3,MATCH($C690,resources,0)-1,0))&amp;"-"&amp;INDIRECT(OFFSET(element4,MATCH($C690,resources,0)-1,0))&amp;"-"&amp;INDIRECT(OFFSET(element5,MATCH($C690,resources,0)-1,0))&amp;IF(OFFSET(element6,MATCH($C690,resources,0)-1,0)="","","-"&amp;INDIRECT(OFFSET(element6,MATCH($C690,resources,0)-1,0)))&amp;IF(abbrAtEnd,"-"&amp;L690,"")</f>
        <v>#N/A</v>
      </c>
      <c r="N690" s="4" t="str">
        <f t="shared" si="71"/>
        <v>-000</v>
      </c>
      <c r="O690" s="4">
        <f ca="1">IF(totalElements+COUNTIF(Entities!$C$10,"*")+COUNTIF(B690:C690,"*")+COUNTIF(E690:F690,"*")=9,1,0)</f>
        <v>0</v>
      </c>
      <c r="P690" s="4">
        <f>COUNTIF($C$6:C690,C690)</f>
        <v>0</v>
      </c>
      <c r="Q690" s="4">
        <f ca="1">IF(ISNA(M690),0,COUNTIF($M$6:M690,M690))</f>
        <v>0</v>
      </c>
      <c r="R690" s="4" t="e">
        <f t="shared" ca="1" si="70"/>
        <v>#N/A</v>
      </c>
      <c r="S690" s="4">
        <f ca="1">IF(ISNA(M690),0,COUNTIF($R$6:R690,R690))</f>
        <v>0</v>
      </c>
      <c r="T690" s="4" t="e">
        <f t="shared" ca="1" si="69"/>
        <v>#N/A</v>
      </c>
    </row>
    <row r="691" spans="2:20" x14ac:dyDescent="0.3">
      <c r="B691" s="48"/>
      <c r="C691" s="48"/>
      <c r="D691" s="10" t="str">
        <f t="shared" ca="1" si="73"/>
        <v/>
      </c>
      <c r="E691" s="48"/>
      <c r="F691" s="48"/>
      <c r="G691" s="10" t="str">
        <f t="shared" ca="1" si="72"/>
        <v/>
      </c>
      <c r="I691" s="10" t="str">
        <f t="shared" ca="1" si="74"/>
        <v/>
      </c>
      <c r="K691" s="4" t="e">
        <f t="shared" ca="1" si="68"/>
        <v>#N/A</v>
      </c>
      <c r="L691" s="4" t="e">
        <f>VLOOKUP(C691,_resources!B:D,3,0)</f>
        <v>#N/A</v>
      </c>
      <c r="M691" s="4" t="e" cm="1">
        <f t="array" aca="1" ref="M691" ca="1">IF(abbrAtEnd,"",L691&amp;"-")&amp;E691&amp;"-"&amp;INDIRECT(OFFSET(element3,MATCH($C691,resources,0)-1,0))&amp;"-"&amp;INDIRECT(OFFSET(element4,MATCH($C691,resources,0)-1,0))&amp;"-"&amp;INDIRECT(OFFSET(element5,MATCH($C691,resources,0)-1,0))&amp;IF(OFFSET(element6,MATCH($C691,resources,0)-1,0)="","","-"&amp;INDIRECT(OFFSET(element6,MATCH($C691,resources,0)-1,0)))&amp;IF(abbrAtEnd,"-"&amp;L691,"")</f>
        <v>#N/A</v>
      </c>
      <c r="N691" s="4" t="str">
        <f t="shared" si="71"/>
        <v>-000</v>
      </c>
      <c r="O691" s="4">
        <f ca="1">IF(totalElements+COUNTIF(Entities!$C$10,"*")+COUNTIF(B691:C691,"*")+COUNTIF(E691:F691,"*")=9,1,0)</f>
        <v>0</v>
      </c>
      <c r="P691" s="4">
        <f>COUNTIF($C$6:C691,C691)</f>
        <v>0</v>
      </c>
      <c r="Q691" s="4">
        <f ca="1">IF(ISNA(M691),0,COUNTIF($M$6:M691,M691))</f>
        <v>0</v>
      </c>
      <c r="R691" s="4" t="e">
        <f t="shared" ca="1" si="70"/>
        <v>#N/A</v>
      </c>
      <c r="S691" s="4">
        <f ca="1">IF(ISNA(M691),0,COUNTIF($R$6:R691,R691))</f>
        <v>0</v>
      </c>
      <c r="T691" s="4" t="e">
        <f t="shared" ca="1" si="69"/>
        <v>#N/A</v>
      </c>
    </row>
    <row r="692" spans="2:20" x14ac:dyDescent="0.3">
      <c r="B692" s="48"/>
      <c r="C692" s="48"/>
      <c r="D692" s="10" t="str">
        <f t="shared" ca="1" si="73"/>
        <v/>
      </c>
      <c r="E692" s="48"/>
      <c r="F692" s="48"/>
      <c r="G692" s="10" t="str">
        <f t="shared" ca="1" si="72"/>
        <v/>
      </c>
      <c r="I692" s="10" t="str">
        <f t="shared" ca="1" si="74"/>
        <v/>
      </c>
      <c r="K692" s="4" t="e">
        <f t="shared" ca="1" si="68"/>
        <v>#N/A</v>
      </c>
      <c r="L692" s="4" t="e">
        <f>VLOOKUP(C692,_resources!B:D,3,0)</f>
        <v>#N/A</v>
      </c>
      <c r="M692" s="4" t="e" cm="1">
        <f t="array" aca="1" ref="M692" ca="1">IF(abbrAtEnd,"",L692&amp;"-")&amp;E692&amp;"-"&amp;INDIRECT(OFFSET(element3,MATCH($C692,resources,0)-1,0))&amp;"-"&amp;INDIRECT(OFFSET(element4,MATCH($C692,resources,0)-1,0))&amp;"-"&amp;INDIRECT(OFFSET(element5,MATCH($C692,resources,0)-1,0))&amp;IF(OFFSET(element6,MATCH($C692,resources,0)-1,0)="","","-"&amp;INDIRECT(OFFSET(element6,MATCH($C692,resources,0)-1,0)))&amp;IF(abbrAtEnd,"-"&amp;L692,"")</f>
        <v>#N/A</v>
      </c>
      <c r="N692" s="4" t="str">
        <f t="shared" si="71"/>
        <v>-000</v>
      </c>
      <c r="O692" s="4">
        <f ca="1">IF(totalElements+COUNTIF(Entities!$C$10,"*")+COUNTIF(B692:C692,"*")+COUNTIF(E692:F692,"*")=9,1,0)</f>
        <v>0</v>
      </c>
      <c r="P692" s="4">
        <f>COUNTIF($C$6:C692,C692)</f>
        <v>0</v>
      </c>
      <c r="Q692" s="4">
        <f ca="1">IF(ISNA(M692),0,COUNTIF($M$6:M692,M692))</f>
        <v>0</v>
      </c>
      <c r="R692" s="4" t="e">
        <f t="shared" ca="1" si="70"/>
        <v>#N/A</v>
      </c>
      <c r="S692" s="4">
        <f ca="1">IF(ISNA(M692),0,COUNTIF($R$6:R692,R692))</f>
        <v>0</v>
      </c>
      <c r="T692" s="4" t="e">
        <f t="shared" ca="1" si="69"/>
        <v>#N/A</v>
      </c>
    </row>
    <row r="693" spans="2:20" x14ac:dyDescent="0.3">
      <c r="B693" s="48"/>
      <c r="C693" s="48"/>
      <c r="D693" s="10" t="str">
        <f t="shared" ca="1" si="73"/>
        <v/>
      </c>
      <c r="E693" s="48"/>
      <c r="F693" s="48"/>
      <c r="G693" s="10" t="str">
        <f t="shared" ca="1" si="72"/>
        <v/>
      </c>
      <c r="I693" s="10" t="str">
        <f t="shared" ca="1" si="74"/>
        <v/>
      </c>
      <c r="K693" s="4" t="e">
        <f t="shared" ca="1" si="68"/>
        <v>#N/A</v>
      </c>
      <c r="L693" s="4" t="e">
        <f>VLOOKUP(C693,_resources!B:D,3,0)</f>
        <v>#N/A</v>
      </c>
      <c r="M693" s="4" t="e" cm="1">
        <f t="array" aca="1" ref="M693" ca="1">IF(abbrAtEnd,"",L693&amp;"-")&amp;E693&amp;"-"&amp;INDIRECT(OFFSET(element3,MATCH($C693,resources,0)-1,0))&amp;"-"&amp;INDIRECT(OFFSET(element4,MATCH($C693,resources,0)-1,0))&amp;"-"&amp;INDIRECT(OFFSET(element5,MATCH($C693,resources,0)-1,0))&amp;IF(OFFSET(element6,MATCH($C693,resources,0)-1,0)="","","-"&amp;INDIRECT(OFFSET(element6,MATCH($C693,resources,0)-1,0)))&amp;IF(abbrAtEnd,"-"&amp;L693,"")</f>
        <v>#N/A</v>
      </c>
      <c r="N693" s="4" t="str">
        <f t="shared" si="71"/>
        <v>-000</v>
      </c>
      <c r="O693" s="4">
        <f ca="1">IF(totalElements+COUNTIF(Entities!$C$10,"*")+COUNTIF(B693:C693,"*")+COUNTIF(E693:F693,"*")=9,1,0)</f>
        <v>0</v>
      </c>
      <c r="P693" s="4">
        <f>COUNTIF($C$6:C693,C693)</f>
        <v>0</v>
      </c>
      <c r="Q693" s="4">
        <f ca="1">IF(ISNA(M693),0,COUNTIF($M$6:M693,M693))</f>
        <v>0</v>
      </c>
      <c r="R693" s="4" t="e">
        <f t="shared" ca="1" si="70"/>
        <v>#N/A</v>
      </c>
      <c r="S693" s="4">
        <f ca="1">IF(ISNA(M693),0,COUNTIF($R$6:R693,R693))</f>
        <v>0</v>
      </c>
      <c r="T693" s="4" t="e">
        <f t="shared" ca="1" si="69"/>
        <v>#N/A</v>
      </c>
    </row>
    <row r="694" spans="2:20" x14ac:dyDescent="0.3">
      <c r="B694" s="48"/>
      <c r="C694" s="48"/>
      <c r="D694" s="10" t="str">
        <f t="shared" ca="1" si="73"/>
        <v/>
      </c>
      <c r="E694" s="48"/>
      <c r="F694" s="48"/>
      <c r="G694" s="10" t="str">
        <f t="shared" ca="1" si="72"/>
        <v/>
      </c>
      <c r="I694" s="10" t="str">
        <f t="shared" ca="1" si="74"/>
        <v/>
      </c>
      <c r="K694" s="4" t="e">
        <f t="shared" ca="1" si="68"/>
        <v>#N/A</v>
      </c>
      <c r="L694" s="4" t="e">
        <f>VLOOKUP(C694,_resources!B:D,3,0)</f>
        <v>#N/A</v>
      </c>
      <c r="M694" s="4" t="e" cm="1">
        <f t="array" aca="1" ref="M694" ca="1">IF(abbrAtEnd,"",L694&amp;"-")&amp;E694&amp;"-"&amp;INDIRECT(OFFSET(element3,MATCH($C694,resources,0)-1,0))&amp;"-"&amp;INDIRECT(OFFSET(element4,MATCH($C694,resources,0)-1,0))&amp;"-"&amp;INDIRECT(OFFSET(element5,MATCH($C694,resources,0)-1,0))&amp;IF(OFFSET(element6,MATCH($C694,resources,0)-1,0)="","","-"&amp;INDIRECT(OFFSET(element6,MATCH($C694,resources,0)-1,0)))&amp;IF(abbrAtEnd,"-"&amp;L694,"")</f>
        <v>#N/A</v>
      </c>
      <c r="N694" s="4" t="str">
        <f t="shared" si="71"/>
        <v>-000</v>
      </c>
      <c r="O694" s="4">
        <f ca="1">IF(totalElements+COUNTIF(Entities!$C$10,"*")+COUNTIF(B694:C694,"*")+COUNTIF(E694:F694,"*")=9,1,0)</f>
        <v>0</v>
      </c>
      <c r="P694" s="4">
        <f>COUNTIF($C$6:C694,C694)</f>
        <v>0</v>
      </c>
      <c r="Q694" s="4">
        <f ca="1">IF(ISNA(M694),0,COUNTIF($M$6:M694,M694))</f>
        <v>0</v>
      </c>
      <c r="R694" s="4" t="e">
        <f t="shared" ca="1" si="70"/>
        <v>#N/A</v>
      </c>
      <c r="S694" s="4">
        <f ca="1">IF(ISNA(M694),0,COUNTIF($R$6:R694,R694))</f>
        <v>0</v>
      </c>
      <c r="T694" s="4" t="e">
        <f t="shared" ca="1" si="69"/>
        <v>#N/A</v>
      </c>
    </row>
    <row r="695" spans="2:20" x14ac:dyDescent="0.3">
      <c r="B695" s="48"/>
      <c r="C695" s="48"/>
      <c r="D695" s="10" t="str">
        <f t="shared" ca="1" si="73"/>
        <v/>
      </c>
      <c r="E695" s="48"/>
      <c r="F695" s="48"/>
      <c r="G695" s="10" t="str">
        <f t="shared" ca="1" si="72"/>
        <v/>
      </c>
      <c r="I695" s="10" t="str">
        <f t="shared" ca="1" si="74"/>
        <v/>
      </c>
      <c r="K695" s="4" t="e">
        <f t="shared" ca="1" si="68"/>
        <v>#N/A</v>
      </c>
      <c r="L695" s="4" t="e">
        <f>VLOOKUP(C695,_resources!B:D,3,0)</f>
        <v>#N/A</v>
      </c>
      <c r="M695" s="4" t="e" cm="1">
        <f t="array" aca="1" ref="M695" ca="1">IF(abbrAtEnd,"",L695&amp;"-")&amp;E695&amp;"-"&amp;INDIRECT(OFFSET(element3,MATCH($C695,resources,0)-1,0))&amp;"-"&amp;INDIRECT(OFFSET(element4,MATCH($C695,resources,0)-1,0))&amp;"-"&amp;INDIRECT(OFFSET(element5,MATCH($C695,resources,0)-1,0))&amp;IF(OFFSET(element6,MATCH($C695,resources,0)-1,0)="","","-"&amp;INDIRECT(OFFSET(element6,MATCH($C695,resources,0)-1,0)))&amp;IF(abbrAtEnd,"-"&amp;L695,"")</f>
        <v>#N/A</v>
      </c>
      <c r="N695" s="4" t="str">
        <f t="shared" si="71"/>
        <v>-000</v>
      </c>
      <c r="O695" s="4">
        <f ca="1">IF(totalElements+COUNTIF(Entities!$C$10,"*")+COUNTIF(B695:C695,"*")+COUNTIF(E695:F695,"*")=9,1,0)</f>
        <v>0</v>
      </c>
      <c r="P695" s="4">
        <f>COUNTIF($C$6:C695,C695)</f>
        <v>0</v>
      </c>
      <c r="Q695" s="4">
        <f ca="1">IF(ISNA(M695),0,COUNTIF($M$6:M695,M695))</f>
        <v>0</v>
      </c>
      <c r="R695" s="4" t="e">
        <f t="shared" ca="1" si="70"/>
        <v>#N/A</v>
      </c>
      <c r="S695" s="4">
        <f ca="1">IF(ISNA(M695),0,COUNTIF($R$6:R695,R695))</f>
        <v>0</v>
      </c>
      <c r="T695" s="4" t="e">
        <f t="shared" ca="1" si="69"/>
        <v>#N/A</v>
      </c>
    </row>
    <row r="696" spans="2:20" x14ac:dyDescent="0.3">
      <c r="B696" s="48"/>
      <c r="C696" s="48"/>
      <c r="D696" s="10" t="str">
        <f t="shared" ca="1" si="73"/>
        <v/>
      </c>
      <c r="E696" s="48"/>
      <c r="F696" s="48"/>
      <c r="G696" s="10" t="str">
        <f t="shared" ca="1" si="72"/>
        <v/>
      </c>
      <c r="I696" s="10" t="str">
        <f t="shared" ca="1" si="74"/>
        <v/>
      </c>
      <c r="K696" s="4" t="e">
        <f t="shared" ca="1" si="68"/>
        <v>#N/A</v>
      </c>
      <c r="L696" s="4" t="e">
        <f>VLOOKUP(C696,_resources!B:D,3,0)</f>
        <v>#N/A</v>
      </c>
      <c r="M696" s="4" t="e" cm="1">
        <f t="array" aca="1" ref="M696" ca="1">IF(abbrAtEnd,"",L696&amp;"-")&amp;E696&amp;"-"&amp;INDIRECT(OFFSET(element3,MATCH($C696,resources,0)-1,0))&amp;"-"&amp;INDIRECT(OFFSET(element4,MATCH($C696,resources,0)-1,0))&amp;"-"&amp;INDIRECT(OFFSET(element5,MATCH($C696,resources,0)-1,0))&amp;IF(OFFSET(element6,MATCH($C696,resources,0)-1,0)="","","-"&amp;INDIRECT(OFFSET(element6,MATCH($C696,resources,0)-1,0)))&amp;IF(abbrAtEnd,"-"&amp;L696,"")</f>
        <v>#N/A</v>
      </c>
      <c r="N696" s="4" t="str">
        <f t="shared" si="71"/>
        <v>-000</v>
      </c>
      <c r="O696" s="4">
        <f ca="1">IF(totalElements+COUNTIF(Entities!$C$10,"*")+COUNTIF(B696:C696,"*")+COUNTIF(E696:F696,"*")=9,1,0)</f>
        <v>0</v>
      </c>
      <c r="P696" s="4">
        <f>COUNTIF($C$6:C696,C696)</f>
        <v>0</v>
      </c>
      <c r="Q696" s="4">
        <f ca="1">IF(ISNA(M696),0,COUNTIF($M$6:M696,M696))</f>
        <v>0</v>
      </c>
      <c r="R696" s="4" t="e">
        <f t="shared" ca="1" si="70"/>
        <v>#N/A</v>
      </c>
      <c r="S696" s="4">
        <f ca="1">IF(ISNA(M696),0,COUNTIF($R$6:R696,R696))</f>
        <v>0</v>
      </c>
      <c r="T696" s="4" t="e">
        <f t="shared" ca="1" si="69"/>
        <v>#N/A</v>
      </c>
    </row>
    <row r="697" spans="2:20" x14ac:dyDescent="0.3">
      <c r="B697" s="48"/>
      <c r="C697" s="48"/>
      <c r="D697" s="10" t="str">
        <f t="shared" ca="1" si="73"/>
        <v/>
      </c>
      <c r="E697" s="48"/>
      <c r="F697" s="48"/>
      <c r="G697" s="10" t="str">
        <f t="shared" ca="1" si="72"/>
        <v/>
      </c>
      <c r="I697" s="10" t="str">
        <f t="shared" ca="1" si="74"/>
        <v/>
      </c>
      <c r="K697" s="4" t="e">
        <f t="shared" ca="1" si="68"/>
        <v>#N/A</v>
      </c>
      <c r="L697" s="4" t="e">
        <f>VLOOKUP(C697,_resources!B:D,3,0)</f>
        <v>#N/A</v>
      </c>
      <c r="M697" s="4" t="e" cm="1">
        <f t="array" aca="1" ref="M697" ca="1">IF(abbrAtEnd,"",L697&amp;"-")&amp;E697&amp;"-"&amp;INDIRECT(OFFSET(element3,MATCH($C697,resources,0)-1,0))&amp;"-"&amp;INDIRECT(OFFSET(element4,MATCH($C697,resources,0)-1,0))&amp;"-"&amp;INDIRECT(OFFSET(element5,MATCH($C697,resources,0)-1,0))&amp;IF(OFFSET(element6,MATCH($C697,resources,0)-1,0)="","","-"&amp;INDIRECT(OFFSET(element6,MATCH($C697,resources,0)-1,0)))&amp;IF(abbrAtEnd,"-"&amp;L697,"")</f>
        <v>#N/A</v>
      </c>
      <c r="N697" s="4" t="str">
        <f t="shared" si="71"/>
        <v>-000</v>
      </c>
      <c r="O697" s="4">
        <f ca="1">IF(totalElements+COUNTIF(Entities!$C$10,"*")+COUNTIF(B697:C697,"*")+COUNTIF(E697:F697,"*")=9,1,0)</f>
        <v>0</v>
      </c>
      <c r="P697" s="4">
        <f>COUNTIF($C$6:C697,C697)</f>
        <v>0</v>
      </c>
      <c r="Q697" s="4">
        <f ca="1">IF(ISNA(M697),0,COUNTIF($M$6:M697,M697))</f>
        <v>0</v>
      </c>
      <c r="R697" s="4" t="e">
        <f t="shared" ca="1" si="70"/>
        <v>#N/A</v>
      </c>
      <c r="S697" s="4">
        <f ca="1">IF(ISNA(M697),0,COUNTIF($R$6:R697,R697))</f>
        <v>0</v>
      </c>
      <c r="T697" s="4" t="e">
        <f t="shared" ca="1" si="69"/>
        <v>#N/A</v>
      </c>
    </row>
    <row r="698" spans="2:20" x14ac:dyDescent="0.3">
      <c r="B698" s="48"/>
      <c r="C698" s="48"/>
      <c r="D698" s="10" t="str">
        <f t="shared" ca="1" si="73"/>
        <v/>
      </c>
      <c r="E698" s="48"/>
      <c r="F698" s="48"/>
      <c r="G698" s="10" t="str">
        <f t="shared" ca="1" si="72"/>
        <v/>
      </c>
      <c r="I698" s="10" t="str">
        <f t="shared" ca="1" si="74"/>
        <v/>
      </c>
      <c r="K698" s="4" t="e">
        <f t="shared" ca="1" si="68"/>
        <v>#N/A</v>
      </c>
      <c r="L698" s="4" t="e">
        <f>VLOOKUP(C698,_resources!B:D,3,0)</f>
        <v>#N/A</v>
      </c>
      <c r="M698" s="4" t="e" cm="1">
        <f t="array" aca="1" ref="M698" ca="1">IF(abbrAtEnd,"",L698&amp;"-")&amp;E698&amp;"-"&amp;INDIRECT(OFFSET(element3,MATCH($C698,resources,0)-1,0))&amp;"-"&amp;INDIRECT(OFFSET(element4,MATCH($C698,resources,0)-1,0))&amp;"-"&amp;INDIRECT(OFFSET(element5,MATCH($C698,resources,0)-1,0))&amp;IF(OFFSET(element6,MATCH($C698,resources,0)-1,0)="","","-"&amp;INDIRECT(OFFSET(element6,MATCH($C698,resources,0)-1,0)))&amp;IF(abbrAtEnd,"-"&amp;L698,"")</f>
        <v>#N/A</v>
      </c>
      <c r="N698" s="4" t="str">
        <f t="shared" si="71"/>
        <v>-000</v>
      </c>
      <c r="O698" s="4">
        <f ca="1">IF(totalElements+COUNTIF(Entities!$C$10,"*")+COUNTIF(B698:C698,"*")+COUNTIF(E698:F698,"*")=9,1,0)</f>
        <v>0</v>
      </c>
      <c r="P698" s="4">
        <f>COUNTIF($C$6:C698,C698)</f>
        <v>0</v>
      </c>
      <c r="Q698" s="4">
        <f ca="1">IF(ISNA(M698),0,COUNTIF($M$6:M698,M698))</f>
        <v>0</v>
      </c>
      <c r="R698" s="4" t="e">
        <f t="shared" ca="1" si="70"/>
        <v>#N/A</v>
      </c>
      <c r="S698" s="4">
        <f ca="1">IF(ISNA(M698),0,COUNTIF($R$6:R698,R698))</f>
        <v>0</v>
      </c>
      <c r="T698" s="4" t="e">
        <f t="shared" ca="1" si="69"/>
        <v>#N/A</v>
      </c>
    </row>
    <row r="699" spans="2:20" x14ac:dyDescent="0.3">
      <c r="B699" s="48"/>
      <c r="C699" s="48"/>
      <c r="D699" s="10" t="str">
        <f t="shared" ca="1" si="73"/>
        <v/>
      </c>
      <c r="E699" s="48"/>
      <c r="F699" s="48"/>
      <c r="G699" s="10" t="str">
        <f t="shared" ca="1" si="72"/>
        <v/>
      </c>
      <c r="I699" s="10" t="str">
        <f t="shared" ca="1" si="74"/>
        <v/>
      </c>
      <c r="K699" s="4" t="e">
        <f t="shared" ca="1" si="68"/>
        <v>#N/A</v>
      </c>
      <c r="L699" s="4" t="e">
        <f>VLOOKUP(C699,_resources!B:D,3,0)</f>
        <v>#N/A</v>
      </c>
      <c r="M699" s="4" t="e" cm="1">
        <f t="array" aca="1" ref="M699" ca="1">IF(abbrAtEnd,"",L699&amp;"-")&amp;E699&amp;"-"&amp;INDIRECT(OFFSET(element3,MATCH($C699,resources,0)-1,0))&amp;"-"&amp;INDIRECT(OFFSET(element4,MATCH($C699,resources,0)-1,0))&amp;"-"&amp;INDIRECT(OFFSET(element5,MATCH($C699,resources,0)-1,0))&amp;IF(OFFSET(element6,MATCH($C699,resources,0)-1,0)="","","-"&amp;INDIRECT(OFFSET(element6,MATCH($C699,resources,0)-1,0)))&amp;IF(abbrAtEnd,"-"&amp;L699,"")</f>
        <v>#N/A</v>
      </c>
      <c r="N699" s="4" t="str">
        <f t="shared" si="71"/>
        <v>-000</v>
      </c>
      <c r="O699" s="4">
        <f ca="1">IF(totalElements+COUNTIF(Entities!$C$10,"*")+COUNTIF(B699:C699,"*")+COUNTIF(E699:F699,"*")=9,1,0)</f>
        <v>0</v>
      </c>
      <c r="P699" s="4">
        <f>COUNTIF($C$6:C699,C699)</f>
        <v>0</v>
      </c>
      <c r="Q699" s="4">
        <f ca="1">IF(ISNA(M699),0,COUNTIF($M$6:M699,M699))</f>
        <v>0</v>
      </c>
      <c r="R699" s="4" t="e">
        <f t="shared" ca="1" si="70"/>
        <v>#N/A</v>
      </c>
      <c r="S699" s="4">
        <f ca="1">IF(ISNA(M699),0,COUNTIF($R$6:R699,R699))</f>
        <v>0</v>
      </c>
      <c r="T699" s="4" t="e">
        <f t="shared" ca="1" si="69"/>
        <v>#N/A</v>
      </c>
    </row>
    <row r="700" spans="2:20" x14ac:dyDescent="0.3">
      <c r="B700" s="48"/>
      <c r="C700" s="48"/>
      <c r="D700" s="10" t="str">
        <f t="shared" ca="1" si="73"/>
        <v/>
      </c>
      <c r="E700" s="48"/>
      <c r="F700" s="48"/>
      <c r="G700" s="10" t="str">
        <f t="shared" ca="1" si="72"/>
        <v/>
      </c>
      <c r="I700" s="10" t="str">
        <f t="shared" ca="1" si="74"/>
        <v/>
      </c>
      <c r="K700" s="4" t="e">
        <f t="shared" ca="1" si="68"/>
        <v>#N/A</v>
      </c>
      <c r="L700" s="4" t="e">
        <f>VLOOKUP(C700,_resources!B:D,3,0)</f>
        <v>#N/A</v>
      </c>
      <c r="M700" s="4" t="e" cm="1">
        <f t="array" aca="1" ref="M700" ca="1">IF(abbrAtEnd,"",L700&amp;"-")&amp;E700&amp;"-"&amp;INDIRECT(OFFSET(element3,MATCH($C700,resources,0)-1,0))&amp;"-"&amp;INDIRECT(OFFSET(element4,MATCH($C700,resources,0)-1,0))&amp;"-"&amp;INDIRECT(OFFSET(element5,MATCH($C700,resources,0)-1,0))&amp;IF(OFFSET(element6,MATCH($C700,resources,0)-1,0)="","","-"&amp;INDIRECT(OFFSET(element6,MATCH($C700,resources,0)-1,0)))&amp;IF(abbrAtEnd,"-"&amp;L700,"")</f>
        <v>#N/A</v>
      </c>
      <c r="N700" s="4" t="str">
        <f t="shared" si="71"/>
        <v>-000</v>
      </c>
      <c r="O700" s="4">
        <f ca="1">IF(totalElements+COUNTIF(Entities!$C$10,"*")+COUNTIF(B700:C700,"*")+COUNTIF(E700:F700,"*")=9,1,0)</f>
        <v>0</v>
      </c>
      <c r="P700" s="4">
        <f>COUNTIF($C$6:C700,C700)</f>
        <v>0</v>
      </c>
      <c r="Q700" s="4">
        <f ca="1">IF(ISNA(M700),0,COUNTIF($M$6:M700,M700))</f>
        <v>0</v>
      </c>
      <c r="R700" s="4" t="e">
        <f t="shared" ca="1" si="70"/>
        <v>#N/A</v>
      </c>
      <c r="S700" s="4">
        <f ca="1">IF(ISNA(M700),0,COUNTIF($R$6:R700,R700))</f>
        <v>0</v>
      </c>
      <c r="T700" s="4" t="e">
        <f t="shared" ca="1" si="69"/>
        <v>#N/A</v>
      </c>
    </row>
    <row r="701" spans="2:20" x14ac:dyDescent="0.3">
      <c r="B701" s="48"/>
      <c r="C701" s="48"/>
      <c r="D701" s="10" t="str">
        <f t="shared" ca="1" si="73"/>
        <v/>
      </c>
      <c r="E701" s="48"/>
      <c r="F701" s="48"/>
      <c r="G701" s="10" t="str">
        <f t="shared" ca="1" si="72"/>
        <v/>
      </c>
      <c r="I701" s="10" t="str">
        <f t="shared" ca="1" si="74"/>
        <v/>
      </c>
      <c r="K701" s="4" t="e">
        <f t="shared" ca="1" si="68"/>
        <v>#N/A</v>
      </c>
      <c r="L701" s="4" t="e">
        <f>VLOOKUP(C701,_resources!B:D,3,0)</f>
        <v>#N/A</v>
      </c>
      <c r="M701" s="4" t="e" cm="1">
        <f t="array" aca="1" ref="M701" ca="1">IF(abbrAtEnd,"",L701&amp;"-")&amp;E701&amp;"-"&amp;INDIRECT(OFFSET(element3,MATCH($C701,resources,0)-1,0))&amp;"-"&amp;INDIRECT(OFFSET(element4,MATCH($C701,resources,0)-1,0))&amp;"-"&amp;INDIRECT(OFFSET(element5,MATCH($C701,resources,0)-1,0))&amp;IF(OFFSET(element6,MATCH($C701,resources,0)-1,0)="","","-"&amp;INDIRECT(OFFSET(element6,MATCH($C701,resources,0)-1,0)))&amp;IF(abbrAtEnd,"-"&amp;L701,"")</f>
        <v>#N/A</v>
      </c>
      <c r="N701" s="4" t="str">
        <f t="shared" si="71"/>
        <v>-000</v>
      </c>
      <c r="O701" s="4">
        <f ca="1">IF(totalElements+COUNTIF(Entities!$C$10,"*")+COUNTIF(B701:C701,"*")+COUNTIF(E701:F701,"*")=9,1,0)</f>
        <v>0</v>
      </c>
      <c r="P701" s="4">
        <f>COUNTIF($C$6:C701,C701)</f>
        <v>0</v>
      </c>
      <c r="Q701" s="4">
        <f ca="1">IF(ISNA(M701),0,COUNTIF($M$6:M701,M701))</f>
        <v>0</v>
      </c>
      <c r="R701" s="4" t="e">
        <f t="shared" ca="1" si="70"/>
        <v>#N/A</v>
      </c>
      <c r="S701" s="4">
        <f ca="1">IF(ISNA(M701),0,COUNTIF($R$6:R701,R701))</f>
        <v>0</v>
      </c>
      <c r="T701" s="4" t="e">
        <f t="shared" ca="1" si="69"/>
        <v>#N/A</v>
      </c>
    </row>
    <row r="702" spans="2:20" x14ac:dyDescent="0.3">
      <c r="B702" s="48"/>
      <c r="C702" s="48"/>
      <c r="D702" s="10" t="str">
        <f t="shared" ca="1" si="73"/>
        <v/>
      </c>
      <c r="E702" s="48"/>
      <c r="F702" s="48"/>
      <c r="G702" s="10" t="str">
        <f t="shared" ca="1" si="72"/>
        <v/>
      </c>
      <c r="I702" s="10" t="str">
        <f t="shared" ca="1" si="74"/>
        <v/>
      </c>
      <c r="K702" s="4" t="e">
        <f t="shared" ca="1" si="68"/>
        <v>#N/A</v>
      </c>
      <c r="L702" s="4" t="e">
        <f>VLOOKUP(C702,_resources!B:D,3,0)</f>
        <v>#N/A</v>
      </c>
      <c r="M702" s="4" t="e" cm="1">
        <f t="array" aca="1" ref="M702" ca="1">IF(abbrAtEnd,"",L702&amp;"-")&amp;E702&amp;"-"&amp;INDIRECT(OFFSET(element3,MATCH($C702,resources,0)-1,0))&amp;"-"&amp;INDIRECT(OFFSET(element4,MATCH($C702,resources,0)-1,0))&amp;"-"&amp;INDIRECT(OFFSET(element5,MATCH($C702,resources,0)-1,0))&amp;IF(OFFSET(element6,MATCH($C702,resources,0)-1,0)="","","-"&amp;INDIRECT(OFFSET(element6,MATCH($C702,resources,0)-1,0)))&amp;IF(abbrAtEnd,"-"&amp;L702,"")</f>
        <v>#N/A</v>
      </c>
      <c r="N702" s="4" t="str">
        <f t="shared" si="71"/>
        <v>-000</v>
      </c>
      <c r="O702" s="4">
        <f ca="1">IF(totalElements+COUNTIF(Entities!$C$10,"*")+COUNTIF(B702:C702,"*")+COUNTIF(E702:F702,"*")=9,1,0)</f>
        <v>0</v>
      </c>
      <c r="P702" s="4">
        <f>COUNTIF($C$6:C702,C702)</f>
        <v>0</v>
      </c>
      <c r="Q702" s="4">
        <f ca="1">IF(ISNA(M702),0,COUNTIF($M$6:M702,M702))</f>
        <v>0</v>
      </c>
      <c r="R702" s="4" t="e">
        <f t="shared" ca="1" si="70"/>
        <v>#N/A</v>
      </c>
      <c r="S702" s="4">
        <f ca="1">IF(ISNA(M702),0,COUNTIF($R$6:R702,R702))</f>
        <v>0</v>
      </c>
      <c r="T702" s="4" t="e">
        <f t="shared" ca="1" si="69"/>
        <v>#N/A</v>
      </c>
    </row>
    <row r="703" spans="2:20" x14ac:dyDescent="0.3">
      <c r="B703" s="48"/>
      <c r="C703" s="48"/>
      <c r="D703" s="10" t="str">
        <f t="shared" ca="1" si="73"/>
        <v/>
      </c>
      <c r="E703" s="48"/>
      <c r="F703" s="48"/>
      <c r="G703" s="10" t="str">
        <f t="shared" ca="1" si="72"/>
        <v/>
      </c>
      <c r="I703" s="10" t="str">
        <f t="shared" ca="1" si="74"/>
        <v/>
      </c>
      <c r="K703" s="4" t="e">
        <f t="shared" ca="1" si="68"/>
        <v>#N/A</v>
      </c>
      <c r="L703" s="4" t="e">
        <f>VLOOKUP(C703,_resources!B:D,3,0)</f>
        <v>#N/A</v>
      </c>
      <c r="M703" s="4" t="e" cm="1">
        <f t="array" aca="1" ref="M703" ca="1">IF(abbrAtEnd,"",L703&amp;"-")&amp;E703&amp;"-"&amp;INDIRECT(OFFSET(element3,MATCH($C703,resources,0)-1,0))&amp;"-"&amp;INDIRECT(OFFSET(element4,MATCH($C703,resources,0)-1,0))&amp;"-"&amp;INDIRECT(OFFSET(element5,MATCH($C703,resources,0)-1,0))&amp;IF(OFFSET(element6,MATCH($C703,resources,0)-1,0)="","","-"&amp;INDIRECT(OFFSET(element6,MATCH($C703,resources,0)-1,0)))&amp;IF(abbrAtEnd,"-"&amp;L703,"")</f>
        <v>#N/A</v>
      </c>
      <c r="N703" s="4" t="str">
        <f t="shared" si="71"/>
        <v>-000</v>
      </c>
      <c r="O703" s="4">
        <f ca="1">IF(totalElements+COUNTIF(Entities!$C$10,"*")+COUNTIF(B703:C703,"*")+COUNTIF(E703:F703,"*")=9,1,0)</f>
        <v>0</v>
      </c>
      <c r="P703" s="4">
        <f>COUNTIF($C$6:C703,C703)</f>
        <v>0</v>
      </c>
      <c r="Q703" s="4">
        <f ca="1">IF(ISNA(M703),0,COUNTIF($M$6:M703,M703))</f>
        <v>0</v>
      </c>
      <c r="R703" s="4" t="e">
        <f t="shared" ca="1" si="70"/>
        <v>#N/A</v>
      </c>
      <c r="S703" s="4">
        <f ca="1">IF(ISNA(M703),0,COUNTIF($R$6:R703,R703))</f>
        <v>0</v>
      </c>
      <c r="T703" s="4" t="e">
        <f t="shared" ca="1" si="69"/>
        <v>#N/A</v>
      </c>
    </row>
    <row r="704" spans="2:20" x14ac:dyDescent="0.3">
      <c r="B704" s="48"/>
      <c r="C704" s="48"/>
      <c r="D704" s="10" t="str">
        <f t="shared" ca="1" si="73"/>
        <v/>
      </c>
      <c r="E704" s="48"/>
      <c r="F704" s="48"/>
      <c r="G704" s="10" t="str">
        <f t="shared" ca="1" si="72"/>
        <v/>
      </c>
      <c r="I704" s="10" t="str">
        <f t="shared" ca="1" si="74"/>
        <v/>
      </c>
      <c r="K704" s="4" t="e">
        <f t="shared" ca="1" si="68"/>
        <v>#N/A</v>
      </c>
      <c r="L704" s="4" t="e">
        <f>VLOOKUP(C704,_resources!B:D,3,0)</f>
        <v>#N/A</v>
      </c>
      <c r="M704" s="4" t="e" cm="1">
        <f t="array" aca="1" ref="M704" ca="1">IF(abbrAtEnd,"",L704&amp;"-")&amp;E704&amp;"-"&amp;INDIRECT(OFFSET(element3,MATCH($C704,resources,0)-1,0))&amp;"-"&amp;INDIRECT(OFFSET(element4,MATCH($C704,resources,0)-1,0))&amp;"-"&amp;INDIRECT(OFFSET(element5,MATCH($C704,resources,0)-1,0))&amp;IF(OFFSET(element6,MATCH($C704,resources,0)-1,0)="","","-"&amp;INDIRECT(OFFSET(element6,MATCH($C704,resources,0)-1,0)))&amp;IF(abbrAtEnd,"-"&amp;L704,"")</f>
        <v>#N/A</v>
      </c>
      <c r="N704" s="4" t="str">
        <f t="shared" si="71"/>
        <v>-000</v>
      </c>
      <c r="O704" s="4">
        <f ca="1">IF(totalElements+COUNTIF(Entities!$C$10,"*")+COUNTIF(B704:C704,"*")+COUNTIF(E704:F704,"*")=9,1,0)</f>
        <v>0</v>
      </c>
      <c r="P704" s="4">
        <f>COUNTIF($C$6:C704,C704)</f>
        <v>0</v>
      </c>
      <c r="Q704" s="4">
        <f ca="1">IF(ISNA(M704),0,COUNTIF($M$6:M704,M704))</f>
        <v>0</v>
      </c>
      <c r="R704" s="4" t="e">
        <f t="shared" ca="1" si="70"/>
        <v>#N/A</v>
      </c>
      <c r="S704" s="4">
        <f ca="1">IF(ISNA(M704),0,COUNTIF($R$6:R704,R704))</f>
        <v>0</v>
      </c>
      <c r="T704" s="4" t="e">
        <f t="shared" ca="1" si="69"/>
        <v>#N/A</v>
      </c>
    </row>
    <row r="705" spans="2:20" x14ac:dyDescent="0.3">
      <c r="B705" s="48"/>
      <c r="C705" s="48"/>
      <c r="D705" s="10" t="str">
        <f t="shared" ca="1" si="73"/>
        <v/>
      </c>
      <c r="E705" s="48"/>
      <c r="F705" s="48"/>
      <c r="G705" s="10" t="str">
        <f t="shared" ca="1" si="72"/>
        <v/>
      </c>
      <c r="I705" s="10" t="str">
        <f t="shared" ca="1" si="74"/>
        <v/>
      </c>
      <c r="K705" s="4" t="e">
        <f t="shared" ca="1" si="68"/>
        <v>#N/A</v>
      </c>
      <c r="L705" s="4" t="e">
        <f>VLOOKUP(C705,_resources!B:D,3,0)</f>
        <v>#N/A</v>
      </c>
      <c r="M705" s="4" t="e" cm="1">
        <f t="array" aca="1" ref="M705" ca="1">IF(abbrAtEnd,"",L705&amp;"-")&amp;E705&amp;"-"&amp;INDIRECT(OFFSET(element3,MATCH($C705,resources,0)-1,0))&amp;"-"&amp;INDIRECT(OFFSET(element4,MATCH($C705,resources,0)-1,0))&amp;"-"&amp;INDIRECT(OFFSET(element5,MATCH($C705,resources,0)-1,0))&amp;IF(OFFSET(element6,MATCH($C705,resources,0)-1,0)="","","-"&amp;INDIRECT(OFFSET(element6,MATCH($C705,resources,0)-1,0)))&amp;IF(abbrAtEnd,"-"&amp;L705,"")</f>
        <v>#N/A</v>
      </c>
      <c r="N705" s="4" t="str">
        <f t="shared" si="71"/>
        <v>-000</v>
      </c>
      <c r="O705" s="4">
        <f ca="1">IF(totalElements+COUNTIF(Entities!$C$10,"*")+COUNTIF(B705:C705,"*")+COUNTIF(E705:F705,"*")=9,1,0)</f>
        <v>0</v>
      </c>
      <c r="P705" s="4">
        <f>COUNTIF($C$6:C705,C705)</f>
        <v>0</v>
      </c>
      <c r="Q705" s="4">
        <f ca="1">IF(ISNA(M705),0,COUNTIF($M$6:M705,M705))</f>
        <v>0</v>
      </c>
      <c r="R705" s="4" t="e">
        <f t="shared" ca="1" si="70"/>
        <v>#N/A</v>
      </c>
      <c r="S705" s="4">
        <f ca="1">IF(ISNA(M705),0,COUNTIF($R$6:R705,R705))</f>
        <v>0</v>
      </c>
      <c r="T705" s="4" t="e">
        <f t="shared" ca="1" si="69"/>
        <v>#N/A</v>
      </c>
    </row>
    <row r="706" spans="2:20" x14ac:dyDescent="0.3">
      <c r="B706" s="48"/>
      <c r="C706" s="48"/>
      <c r="D706" s="10" t="str">
        <f t="shared" ca="1" si="73"/>
        <v/>
      </c>
      <c r="E706" s="48"/>
      <c r="F706" s="48"/>
      <c r="G706" s="10" t="str">
        <f t="shared" ca="1" si="72"/>
        <v/>
      </c>
      <c r="I706" s="10" t="str">
        <f t="shared" ca="1" si="74"/>
        <v/>
      </c>
      <c r="K706" s="4" t="e">
        <f t="shared" ca="1" si="68"/>
        <v>#N/A</v>
      </c>
      <c r="L706" s="4" t="e">
        <f>VLOOKUP(C706,_resources!B:D,3,0)</f>
        <v>#N/A</v>
      </c>
      <c r="M706" s="4" t="e" cm="1">
        <f t="array" aca="1" ref="M706" ca="1">IF(abbrAtEnd,"",L706&amp;"-")&amp;E706&amp;"-"&amp;INDIRECT(OFFSET(element3,MATCH($C706,resources,0)-1,0))&amp;"-"&amp;INDIRECT(OFFSET(element4,MATCH($C706,resources,0)-1,0))&amp;"-"&amp;INDIRECT(OFFSET(element5,MATCH($C706,resources,0)-1,0))&amp;IF(OFFSET(element6,MATCH($C706,resources,0)-1,0)="","","-"&amp;INDIRECT(OFFSET(element6,MATCH($C706,resources,0)-1,0)))&amp;IF(abbrAtEnd,"-"&amp;L706,"")</f>
        <v>#N/A</v>
      </c>
      <c r="N706" s="4" t="str">
        <f t="shared" si="71"/>
        <v>-000</v>
      </c>
      <c r="O706" s="4">
        <f ca="1">IF(totalElements+COUNTIF(Entities!$C$10,"*")+COUNTIF(B706:C706,"*")+COUNTIF(E706:F706,"*")=9,1,0)</f>
        <v>0</v>
      </c>
      <c r="P706" s="4">
        <f>COUNTIF($C$6:C706,C706)</f>
        <v>0</v>
      </c>
      <c r="Q706" s="4">
        <f ca="1">IF(ISNA(M706),0,COUNTIF($M$6:M706,M706))</f>
        <v>0</v>
      </c>
      <c r="R706" s="4" t="e">
        <f t="shared" ca="1" si="70"/>
        <v>#N/A</v>
      </c>
      <c r="S706" s="4">
        <f ca="1">IF(ISNA(M706),0,COUNTIF($R$6:R706,R706))</f>
        <v>0</v>
      </c>
      <c r="T706" s="4" t="e">
        <f t="shared" ca="1" si="69"/>
        <v>#N/A</v>
      </c>
    </row>
    <row r="707" spans="2:20" x14ac:dyDescent="0.3">
      <c r="B707" s="48"/>
      <c r="C707" s="48"/>
      <c r="D707" s="10" t="str">
        <f t="shared" ca="1" si="73"/>
        <v/>
      </c>
      <c r="E707" s="48"/>
      <c r="F707" s="48"/>
      <c r="G707" s="10" t="str">
        <f t="shared" ca="1" si="72"/>
        <v/>
      </c>
      <c r="I707" s="10" t="str">
        <f t="shared" ca="1" si="74"/>
        <v/>
      </c>
      <c r="K707" s="4" t="e">
        <f t="shared" ca="1" si="68"/>
        <v>#N/A</v>
      </c>
      <c r="L707" s="4" t="e">
        <f>VLOOKUP(C707,_resources!B:D,3,0)</f>
        <v>#N/A</v>
      </c>
      <c r="M707" s="4" t="e" cm="1">
        <f t="array" aca="1" ref="M707" ca="1">IF(abbrAtEnd,"",L707&amp;"-")&amp;E707&amp;"-"&amp;INDIRECT(OFFSET(element3,MATCH($C707,resources,0)-1,0))&amp;"-"&amp;INDIRECT(OFFSET(element4,MATCH($C707,resources,0)-1,0))&amp;"-"&amp;INDIRECT(OFFSET(element5,MATCH($C707,resources,0)-1,0))&amp;IF(OFFSET(element6,MATCH($C707,resources,0)-1,0)="","","-"&amp;INDIRECT(OFFSET(element6,MATCH($C707,resources,0)-1,0)))&amp;IF(abbrAtEnd,"-"&amp;L707,"")</f>
        <v>#N/A</v>
      </c>
      <c r="N707" s="4" t="str">
        <f t="shared" si="71"/>
        <v>-000</v>
      </c>
      <c r="O707" s="4">
        <f ca="1">IF(totalElements+COUNTIF(Entities!$C$10,"*")+COUNTIF(B707:C707,"*")+COUNTIF(E707:F707,"*")=9,1,0)</f>
        <v>0</v>
      </c>
      <c r="P707" s="4">
        <f>COUNTIF($C$6:C707,C707)</f>
        <v>0</v>
      </c>
      <c r="Q707" s="4">
        <f ca="1">IF(ISNA(M707),0,COUNTIF($M$6:M707,M707))</f>
        <v>0</v>
      </c>
      <c r="R707" s="4" t="e">
        <f t="shared" ca="1" si="70"/>
        <v>#N/A</v>
      </c>
      <c r="S707" s="4">
        <f ca="1">IF(ISNA(M707),0,COUNTIF($R$6:R707,R707))</f>
        <v>0</v>
      </c>
      <c r="T707" s="4" t="e">
        <f t="shared" ca="1" si="69"/>
        <v>#N/A</v>
      </c>
    </row>
    <row r="708" spans="2:20" x14ac:dyDescent="0.3">
      <c r="B708" s="48"/>
      <c r="C708" s="48"/>
      <c r="D708" s="10" t="str">
        <f t="shared" ca="1" si="73"/>
        <v/>
      </c>
      <c r="E708" s="48"/>
      <c r="F708" s="48"/>
      <c r="G708" s="10" t="str">
        <f t="shared" ca="1" si="72"/>
        <v/>
      </c>
      <c r="I708" s="10" t="str">
        <f t="shared" ca="1" si="74"/>
        <v/>
      </c>
      <c r="K708" s="4" t="e">
        <f t="shared" ca="1" si="68"/>
        <v>#N/A</v>
      </c>
      <c r="L708" s="4" t="e">
        <f>VLOOKUP(C708,_resources!B:D,3,0)</f>
        <v>#N/A</v>
      </c>
      <c r="M708" s="4" t="e" cm="1">
        <f t="array" aca="1" ref="M708" ca="1">IF(abbrAtEnd,"",L708&amp;"-")&amp;E708&amp;"-"&amp;INDIRECT(OFFSET(element3,MATCH($C708,resources,0)-1,0))&amp;"-"&amp;INDIRECT(OFFSET(element4,MATCH($C708,resources,0)-1,0))&amp;"-"&amp;INDIRECT(OFFSET(element5,MATCH($C708,resources,0)-1,0))&amp;IF(OFFSET(element6,MATCH($C708,resources,0)-1,0)="","","-"&amp;INDIRECT(OFFSET(element6,MATCH($C708,resources,0)-1,0)))&amp;IF(abbrAtEnd,"-"&amp;L708,"")</f>
        <v>#N/A</v>
      </c>
      <c r="N708" s="4" t="str">
        <f t="shared" si="71"/>
        <v>-000</v>
      </c>
      <c r="O708" s="4">
        <f ca="1">IF(totalElements+COUNTIF(Entities!$C$10,"*")+COUNTIF(B708:C708,"*")+COUNTIF(E708:F708,"*")=9,1,0)</f>
        <v>0</v>
      </c>
      <c r="P708" s="4">
        <f>COUNTIF($C$6:C708,C708)</f>
        <v>0</v>
      </c>
      <c r="Q708" s="4">
        <f ca="1">IF(ISNA(M708),0,COUNTIF($M$6:M708,M708))</f>
        <v>0</v>
      </c>
      <c r="R708" s="4" t="e">
        <f t="shared" ca="1" si="70"/>
        <v>#N/A</v>
      </c>
      <c r="S708" s="4">
        <f ca="1">IF(ISNA(M708),0,COUNTIF($R$6:R708,R708))</f>
        <v>0</v>
      </c>
      <c r="T708" s="4" t="e">
        <f t="shared" ca="1" si="69"/>
        <v>#N/A</v>
      </c>
    </row>
    <row r="709" spans="2:20" x14ac:dyDescent="0.3">
      <c r="B709" s="48"/>
      <c r="C709" s="48"/>
      <c r="D709" s="10" t="str">
        <f t="shared" ca="1" si="73"/>
        <v/>
      </c>
      <c r="E709" s="48"/>
      <c r="F709" s="48"/>
      <c r="G709" s="10" t="str">
        <f t="shared" ca="1" si="72"/>
        <v/>
      </c>
      <c r="I709" s="10" t="str">
        <f t="shared" ca="1" si="74"/>
        <v/>
      </c>
      <c r="K709" s="4" t="e">
        <f t="shared" ca="1" si="68"/>
        <v>#N/A</v>
      </c>
      <c r="L709" s="4" t="e">
        <f>VLOOKUP(C709,_resources!B:D,3,0)</f>
        <v>#N/A</v>
      </c>
      <c r="M709" s="4" t="e" cm="1">
        <f t="array" aca="1" ref="M709" ca="1">IF(abbrAtEnd,"",L709&amp;"-")&amp;E709&amp;"-"&amp;INDIRECT(OFFSET(element3,MATCH($C709,resources,0)-1,0))&amp;"-"&amp;INDIRECT(OFFSET(element4,MATCH($C709,resources,0)-1,0))&amp;"-"&amp;INDIRECT(OFFSET(element5,MATCH($C709,resources,0)-1,0))&amp;IF(OFFSET(element6,MATCH($C709,resources,0)-1,0)="","","-"&amp;INDIRECT(OFFSET(element6,MATCH($C709,resources,0)-1,0)))&amp;IF(abbrAtEnd,"-"&amp;L709,"")</f>
        <v>#N/A</v>
      </c>
      <c r="N709" s="4" t="str">
        <f t="shared" si="71"/>
        <v>-000</v>
      </c>
      <c r="O709" s="4">
        <f ca="1">IF(totalElements+COUNTIF(Entities!$C$10,"*")+COUNTIF(B709:C709,"*")+COUNTIF(E709:F709,"*")=9,1,0)</f>
        <v>0</v>
      </c>
      <c r="P709" s="4">
        <f>COUNTIF($C$6:C709,C709)</f>
        <v>0</v>
      </c>
      <c r="Q709" s="4">
        <f ca="1">IF(ISNA(M709),0,COUNTIF($M$6:M709,M709))</f>
        <v>0</v>
      </c>
      <c r="R709" s="4" t="e">
        <f t="shared" ca="1" si="70"/>
        <v>#N/A</v>
      </c>
      <c r="S709" s="4">
        <f ca="1">IF(ISNA(M709),0,COUNTIF($R$6:R709,R709))</f>
        <v>0</v>
      </c>
      <c r="T709" s="4" t="e">
        <f t="shared" ca="1" si="69"/>
        <v>#N/A</v>
      </c>
    </row>
    <row r="710" spans="2:20" x14ac:dyDescent="0.3">
      <c r="B710" s="48"/>
      <c r="C710" s="48"/>
      <c r="D710" s="10" t="str">
        <f t="shared" ca="1" si="73"/>
        <v/>
      </c>
      <c r="E710" s="48"/>
      <c r="F710" s="48"/>
      <c r="G710" s="10" t="str">
        <f t="shared" ca="1" si="72"/>
        <v/>
      </c>
      <c r="I710" s="10" t="str">
        <f t="shared" ca="1" si="74"/>
        <v/>
      </c>
      <c r="K710" s="4" t="e">
        <f t="shared" ref="K710:K773" ca="1" si="75">OFFSET(structure,MATCH($C710,resources,0)-1,0)</f>
        <v>#N/A</v>
      </c>
      <c r="L710" s="4" t="e">
        <f>VLOOKUP(C710,_resources!B:D,3,0)</f>
        <v>#N/A</v>
      </c>
      <c r="M710" s="4" t="e" cm="1">
        <f t="array" aca="1" ref="M710" ca="1">IF(abbrAtEnd,"",L710&amp;"-")&amp;E710&amp;"-"&amp;INDIRECT(OFFSET(element3,MATCH($C710,resources,0)-1,0))&amp;"-"&amp;INDIRECT(OFFSET(element4,MATCH($C710,resources,0)-1,0))&amp;"-"&amp;INDIRECT(OFFSET(element5,MATCH($C710,resources,0)-1,0))&amp;IF(OFFSET(element6,MATCH($C710,resources,0)-1,0)="","","-"&amp;INDIRECT(OFFSET(element6,MATCH($C710,resources,0)-1,0)))&amp;IF(abbrAtEnd,"-"&amp;L710,"")</f>
        <v>#N/A</v>
      </c>
      <c r="N710" s="4" t="str">
        <f t="shared" si="71"/>
        <v>-000</v>
      </c>
      <c r="O710" s="4">
        <f ca="1">IF(totalElements+COUNTIF(Entities!$C$10,"*")+COUNTIF(B710:C710,"*")+COUNTIF(E710:F710,"*")=9,1,0)</f>
        <v>0</v>
      </c>
      <c r="P710" s="4">
        <f>COUNTIF($C$6:C710,C710)</f>
        <v>0</v>
      </c>
      <c r="Q710" s="4">
        <f ca="1">IF(ISNA(M710),0,COUNTIF($M$6:M710,M710))</f>
        <v>0</v>
      </c>
      <c r="R710" s="4" t="e">
        <f t="shared" ca="1" si="70"/>
        <v>#N/A</v>
      </c>
      <c r="S710" s="4">
        <f ca="1">IF(ISNA(M710),0,COUNTIF($R$6:R710,R710))</f>
        <v>0</v>
      </c>
      <c r="T710" s="4" t="e">
        <f t="shared" ref="T710:T773" ca="1" si="76">OFFSET(maxLength,MATCH($C710,resources,0)-1,0)</f>
        <v>#N/A</v>
      </c>
    </row>
    <row r="711" spans="2:20" x14ac:dyDescent="0.3">
      <c r="B711" s="48"/>
      <c r="C711" s="48"/>
      <c r="D711" s="10" t="str">
        <f t="shared" ca="1" si="73"/>
        <v/>
      </c>
      <c r="E711" s="48"/>
      <c r="F711" s="48"/>
      <c r="G711" s="10" t="str">
        <f t="shared" ca="1" si="72"/>
        <v/>
      </c>
      <c r="I711" s="10" t="str">
        <f t="shared" ca="1" si="74"/>
        <v/>
      </c>
      <c r="K711" s="4" t="e">
        <f t="shared" ca="1" si="75"/>
        <v>#N/A</v>
      </c>
      <c r="L711" s="4" t="e">
        <f>VLOOKUP(C711,_resources!B:D,3,0)</f>
        <v>#N/A</v>
      </c>
      <c r="M711" s="4" t="e" cm="1">
        <f t="array" aca="1" ref="M711" ca="1">IF(abbrAtEnd,"",L711&amp;"-")&amp;E711&amp;"-"&amp;INDIRECT(OFFSET(element3,MATCH($C711,resources,0)-1,0))&amp;"-"&amp;INDIRECT(OFFSET(element4,MATCH($C711,resources,0)-1,0))&amp;"-"&amp;INDIRECT(OFFSET(element5,MATCH($C711,resources,0)-1,0))&amp;IF(OFFSET(element6,MATCH($C711,resources,0)-1,0)="","","-"&amp;INDIRECT(OFFSET(element6,MATCH($C711,resources,0)-1,0)))&amp;IF(abbrAtEnd,"-"&amp;L711,"")</f>
        <v>#N/A</v>
      </c>
      <c r="N711" s="4" t="str">
        <f t="shared" si="71"/>
        <v>-000</v>
      </c>
      <c r="O711" s="4">
        <f ca="1">IF(totalElements+COUNTIF(Entities!$C$10,"*")+COUNTIF(B711:C711,"*")+COUNTIF(E711:F711,"*")=9,1,0)</f>
        <v>0</v>
      </c>
      <c r="P711" s="4">
        <f>COUNTIF($C$6:C711,C711)</f>
        <v>0</v>
      </c>
      <c r="Q711" s="4">
        <f ca="1">IF(ISNA(M711),0,COUNTIF($M$6:M711,M711))</f>
        <v>0</v>
      </c>
      <c r="R711" s="4" t="e">
        <f t="shared" ref="R711:R774" ca="1" si="77">F711&amp;"__"&amp;M711</f>
        <v>#N/A</v>
      </c>
      <c r="S711" s="4">
        <f ca="1">IF(ISNA(M711),0,COUNTIF($R$6:R711,R711))</f>
        <v>0</v>
      </c>
      <c r="T711" s="4" t="e">
        <f t="shared" ca="1" si="76"/>
        <v>#N/A</v>
      </c>
    </row>
    <row r="712" spans="2:20" x14ac:dyDescent="0.3">
      <c r="B712" s="48"/>
      <c r="C712" s="48"/>
      <c r="D712" s="10" t="str">
        <f t="shared" ca="1" si="73"/>
        <v/>
      </c>
      <c r="E712" s="48"/>
      <c r="F712" s="48"/>
      <c r="G712" s="10" t="str">
        <f t="shared" ca="1" si="72"/>
        <v/>
      </c>
      <c r="I712" s="10" t="str">
        <f t="shared" ca="1" si="74"/>
        <v/>
      </c>
      <c r="K712" s="4" t="e">
        <f t="shared" ca="1" si="75"/>
        <v>#N/A</v>
      </c>
      <c r="L712" s="4" t="e">
        <f>VLOOKUP(C712,_resources!B:D,3,0)</f>
        <v>#N/A</v>
      </c>
      <c r="M712" s="4" t="e" cm="1">
        <f t="array" aca="1" ref="M712" ca="1">IF(abbrAtEnd,"",L712&amp;"-")&amp;E712&amp;"-"&amp;INDIRECT(OFFSET(element3,MATCH($C712,resources,0)-1,0))&amp;"-"&amp;INDIRECT(OFFSET(element4,MATCH($C712,resources,0)-1,0))&amp;"-"&amp;INDIRECT(OFFSET(element5,MATCH($C712,resources,0)-1,0))&amp;IF(OFFSET(element6,MATCH($C712,resources,0)-1,0)="","","-"&amp;INDIRECT(OFFSET(element6,MATCH($C712,resources,0)-1,0)))&amp;IF(abbrAtEnd,"-"&amp;L712,"")</f>
        <v>#N/A</v>
      </c>
      <c r="N712" s="4" t="str">
        <f t="shared" si="71"/>
        <v>-000</v>
      </c>
      <c r="O712" s="4">
        <f ca="1">IF(totalElements+COUNTIF(Entities!$C$10,"*")+COUNTIF(B712:C712,"*")+COUNTIF(E712:F712,"*")=9,1,0)</f>
        <v>0</v>
      </c>
      <c r="P712" s="4">
        <f>COUNTIF($C$6:C712,C712)</f>
        <v>0</v>
      </c>
      <c r="Q712" s="4">
        <f ca="1">IF(ISNA(M712),0,COUNTIF($M$6:M712,M712))</f>
        <v>0</v>
      </c>
      <c r="R712" s="4" t="e">
        <f t="shared" ca="1" si="77"/>
        <v>#N/A</v>
      </c>
      <c r="S712" s="4">
        <f ca="1">IF(ISNA(M712),0,COUNTIF($R$6:R712,R712))</f>
        <v>0</v>
      </c>
      <c r="T712" s="4" t="e">
        <f t="shared" ca="1" si="76"/>
        <v>#N/A</v>
      </c>
    </row>
    <row r="713" spans="2:20" x14ac:dyDescent="0.3">
      <c r="B713" s="48"/>
      <c r="C713" s="48"/>
      <c r="D713" s="10" t="str">
        <f t="shared" ca="1" si="73"/>
        <v/>
      </c>
      <c r="E713" s="48"/>
      <c r="F713" s="48"/>
      <c r="G713" s="10" t="str">
        <f t="shared" ca="1" si="72"/>
        <v/>
      </c>
      <c r="I713" s="10" t="str">
        <f t="shared" ca="1" si="74"/>
        <v/>
      </c>
      <c r="K713" s="4" t="e">
        <f t="shared" ca="1" si="75"/>
        <v>#N/A</v>
      </c>
      <c r="L713" s="4" t="e">
        <f>VLOOKUP(C713,_resources!B:D,3,0)</f>
        <v>#N/A</v>
      </c>
      <c r="M713" s="4" t="e" cm="1">
        <f t="array" aca="1" ref="M713" ca="1">IF(abbrAtEnd,"",L713&amp;"-")&amp;E713&amp;"-"&amp;INDIRECT(OFFSET(element3,MATCH($C713,resources,0)-1,0))&amp;"-"&amp;INDIRECT(OFFSET(element4,MATCH($C713,resources,0)-1,0))&amp;"-"&amp;INDIRECT(OFFSET(element5,MATCH($C713,resources,0)-1,0))&amp;IF(OFFSET(element6,MATCH($C713,resources,0)-1,0)="","","-"&amp;INDIRECT(OFFSET(element6,MATCH($C713,resources,0)-1,0)))&amp;IF(abbrAtEnd,"-"&amp;L713,"")</f>
        <v>#N/A</v>
      </c>
      <c r="N713" s="4" t="str">
        <f t="shared" si="71"/>
        <v>-000</v>
      </c>
      <c r="O713" s="4">
        <f ca="1">IF(totalElements+COUNTIF(Entities!$C$10,"*")+COUNTIF(B713:C713,"*")+COUNTIF(E713:F713,"*")=9,1,0)</f>
        <v>0</v>
      </c>
      <c r="P713" s="4">
        <f>COUNTIF($C$6:C713,C713)</f>
        <v>0</v>
      </c>
      <c r="Q713" s="4">
        <f ca="1">IF(ISNA(M713),0,COUNTIF($M$6:M713,M713))</f>
        <v>0</v>
      </c>
      <c r="R713" s="4" t="e">
        <f t="shared" ca="1" si="77"/>
        <v>#N/A</v>
      </c>
      <c r="S713" s="4">
        <f ca="1">IF(ISNA(M713),0,COUNTIF($R$6:R713,R713))</f>
        <v>0</v>
      </c>
      <c r="T713" s="4" t="e">
        <f t="shared" ca="1" si="76"/>
        <v>#N/A</v>
      </c>
    </row>
    <row r="714" spans="2:20" x14ac:dyDescent="0.3">
      <c r="B714" s="48"/>
      <c r="C714" s="48"/>
      <c r="D714" s="10" t="str">
        <f t="shared" ca="1" si="73"/>
        <v/>
      </c>
      <c r="E714" s="48"/>
      <c r="F714" s="48"/>
      <c r="G714" s="10" t="str">
        <f t="shared" ca="1" si="72"/>
        <v/>
      </c>
      <c r="I714" s="10" t="str">
        <f t="shared" ca="1" si="74"/>
        <v/>
      </c>
      <c r="K714" s="4" t="e">
        <f t="shared" ca="1" si="75"/>
        <v>#N/A</v>
      </c>
      <c r="L714" s="4" t="e">
        <f>VLOOKUP(C714,_resources!B:D,3,0)</f>
        <v>#N/A</v>
      </c>
      <c r="M714" s="4" t="e" cm="1">
        <f t="array" aca="1" ref="M714" ca="1">IF(abbrAtEnd,"",L714&amp;"-")&amp;E714&amp;"-"&amp;INDIRECT(OFFSET(element3,MATCH($C714,resources,0)-1,0))&amp;"-"&amp;INDIRECT(OFFSET(element4,MATCH($C714,resources,0)-1,0))&amp;"-"&amp;INDIRECT(OFFSET(element5,MATCH($C714,resources,0)-1,0))&amp;IF(OFFSET(element6,MATCH($C714,resources,0)-1,0)="","","-"&amp;INDIRECT(OFFSET(element6,MATCH($C714,resources,0)-1,0)))&amp;IF(abbrAtEnd,"-"&amp;L714,"")</f>
        <v>#N/A</v>
      </c>
      <c r="N714" s="4" t="str">
        <f t="shared" si="71"/>
        <v>-000</v>
      </c>
      <c r="O714" s="4">
        <f ca="1">IF(totalElements+COUNTIF(Entities!$C$10,"*")+COUNTIF(B714:C714,"*")+COUNTIF(E714:F714,"*")=9,1,0)</f>
        <v>0</v>
      </c>
      <c r="P714" s="4">
        <f>COUNTIF($C$6:C714,C714)</f>
        <v>0</v>
      </c>
      <c r="Q714" s="4">
        <f ca="1">IF(ISNA(M714),0,COUNTIF($M$6:M714,M714))</f>
        <v>0</v>
      </c>
      <c r="R714" s="4" t="e">
        <f t="shared" ca="1" si="77"/>
        <v>#N/A</v>
      </c>
      <c r="S714" s="4">
        <f ca="1">IF(ISNA(M714),0,COUNTIF($R$6:R714,R714))</f>
        <v>0</v>
      </c>
      <c r="T714" s="4" t="e">
        <f t="shared" ca="1" si="76"/>
        <v>#N/A</v>
      </c>
    </row>
    <row r="715" spans="2:20" x14ac:dyDescent="0.3">
      <c r="B715" s="48"/>
      <c r="C715" s="48"/>
      <c r="D715" s="10" t="str">
        <f t="shared" ca="1" si="73"/>
        <v/>
      </c>
      <c r="E715" s="48"/>
      <c r="F715" s="48"/>
      <c r="G715" s="10" t="str">
        <f t="shared" ca="1" si="72"/>
        <v/>
      </c>
      <c r="I715" s="10" t="str">
        <f t="shared" ca="1" si="74"/>
        <v/>
      </c>
      <c r="K715" s="4" t="e">
        <f t="shared" ca="1" si="75"/>
        <v>#N/A</v>
      </c>
      <c r="L715" s="4" t="e">
        <f>VLOOKUP(C715,_resources!B:D,3,0)</f>
        <v>#N/A</v>
      </c>
      <c r="M715" s="4" t="e" cm="1">
        <f t="array" aca="1" ref="M715" ca="1">IF(abbrAtEnd,"",L715&amp;"-")&amp;E715&amp;"-"&amp;INDIRECT(OFFSET(element3,MATCH($C715,resources,0)-1,0))&amp;"-"&amp;INDIRECT(OFFSET(element4,MATCH($C715,resources,0)-1,0))&amp;"-"&amp;INDIRECT(OFFSET(element5,MATCH($C715,resources,0)-1,0))&amp;IF(OFFSET(element6,MATCH($C715,resources,0)-1,0)="","","-"&amp;INDIRECT(OFFSET(element6,MATCH($C715,resources,0)-1,0)))&amp;IF(abbrAtEnd,"-"&amp;L715,"")</f>
        <v>#N/A</v>
      </c>
      <c r="N715" s="4" t="str">
        <f t="shared" si="71"/>
        <v>-000</v>
      </c>
      <c r="O715" s="4">
        <f ca="1">IF(totalElements+COUNTIF(Entities!$C$10,"*")+COUNTIF(B715:C715,"*")+COUNTIF(E715:F715,"*")=9,1,0)</f>
        <v>0</v>
      </c>
      <c r="P715" s="4">
        <f>COUNTIF($C$6:C715,C715)</f>
        <v>0</v>
      </c>
      <c r="Q715" s="4">
        <f ca="1">IF(ISNA(M715),0,COUNTIF($M$6:M715,M715))</f>
        <v>0</v>
      </c>
      <c r="R715" s="4" t="e">
        <f t="shared" ca="1" si="77"/>
        <v>#N/A</v>
      </c>
      <c r="S715" s="4">
        <f ca="1">IF(ISNA(M715),0,COUNTIF($R$6:R715,R715))</f>
        <v>0</v>
      </c>
      <c r="T715" s="4" t="e">
        <f t="shared" ca="1" si="76"/>
        <v>#N/A</v>
      </c>
    </row>
    <row r="716" spans="2:20" x14ac:dyDescent="0.3">
      <c r="B716" s="48"/>
      <c r="C716" s="48"/>
      <c r="D716" s="10" t="str">
        <f t="shared" ca="1" si="73"/>
        <v/>
      </c>
      <c r="E716" s="48"/>
      <c r="F716" s="48"/>
      <c r="G716" s="10" t="str">
        <f t="shared" ca="1" si="72"/>
        <v/>
      </c>
      <c r="I716" s="10" t="str">
        <f t="shared" ca="1" si="74"/>
        <v/>
      </c>
      <c r="K716" s="4" t="e">
        <f t="shared" ca="1" si="75"/>
        <v>#N/A</v>
      </c>
      <c r="L716" s="4" t="e">
        <f>VLOOKUP(C716,_resources!B:D,3,0)</f>
        <v>#N/A</v>
      </c>
      <c r="M716" s="4" t="e" cm="1">
        <f t="array" aca="1" ref="M716" ca="1">IF(abbrAtEnd,"",L716&amp;"-")&amp;E716&amp;"-"&amp;INDIRECT(OFFSET(element3,MATCH($C716,resources,0)-1,0))&amp;"-"&amp;INDIRECT(OFFSET(element4,MATCH($C716,resources,0)-1,0))&amp;"-"&amp;INDIRECT(OFFSET(element5,MATCH($C716,resources,0)-1,0))&amp;IF(OFFSET(element6,MATCH($C716,resources,0)-1,0)="","","-"&amp;INDIRECT(OFFSET(element6,MATCH($C716,resources,0)-1,0)))&amp;IF(abbrAtEnd,"-"&amp;L716,"")</f>
        <v>#N/A</v>
      </c>
      <c r="N716" s="4" t="str">
        <f t="shared" si="71"/>
        <v>-000</v>
      </c>
      <c r="O716" s="4">
        <f ca="1">IF(totalElements+COUNTIF(Entities!$C$10,"*")+COUNTIF(B716:C716,"*")+COUNTIF(E716:F716,"*")=9,1,0)</f>
        <v>0</v>
      </c>
      <c r="P716" s="4">
        <f>COUNTIF($C$6:C716,C716)</f>
        <v>0</v>
      </c>
      <c r="Q716" s="4">
        <f ca="1">IF(ISNA(M716),0,COUNTIF($M$6:M716,M716))</f>
        <v>0</v>
      </c>
      <c r="R716" s="4" t="e">
        <f t="shared" ca="1" si="77"/>
        <v>#N/A</v>
      </c>
      <c r="S716" s="4">
        <f ca="1">IF(ISNA(M716),0,COUNTIF($R$6:R716,R716))</f>
        <v>0</v>
      </c>
      <c r="T716" s="4" t="e">
        <f t="shared" ca="1" si="76"/>
        <v>#N/A</v>
      </c>
    </row>
    <row r="717" spans="2:20" x14ac:dyDescent="0.3">
      <c r="B717" s="48"/>
      <c r="C717" s="48"/>
      <c r="D717" s="10" t="str">
        <f t="shared" ca="1" si="73"/>
        <v/>
      </c>
      <c r="E717" s="48"/>
      <c r="F717" s="48"/>
      <c r="G717" s="10" t="str">
        <f t="shared" ca="1" si="72"/>
        <v/>
      </c>
      <c r="I717" s="10" t="str">
        <f t="shared" ca="1" si="74"/>
        <v/>
      </c>
      <c r="K717" s="4" t="e">
        <f t="shared" ca="1" si="75"/>
        <v>#N/A</v>
      </c>
      <c r="L717" s="4" t="e">
        <f>VLOOKUP(C717,_resources!B:D,3,0)</f>
        <v>#N/A</v>
      </c>
      <c r="M717" s="4" t="e" cm="1">
        <f t="array" aca="1" ref="M717" ca="1">IF(abbrAtEnd,"",L717&amp;"-")&amp;E717&amp;"-"&amp;INDIRECT(OFFSET(element3,MATCH($C717,resources,0)-1,0))&amp;"-"&amp;INDIRECT(OFFSET(element4,MATCH($C717,resources,0)-1,0))&amp;"-"&amp;INDIRECT(OFFSET(element5,MATCH($C717,resources,0)-1,0))&amp;IF(OFFSET(element6,MATCH($C717,resources,0)-1,0)="","","-"&amp;INDIRECT(OFFSET(element6,MATCH($C717,resources,0)-1,0)))&amp;IF(abbrAtEnd,"-"&amp;L717,"")</f>
        <v>#N/A</v>
      </c>
      <c r="N717" s="4" t="str">
        <f t="shared" si="71"/>
        <v>-000</v>
      </c>
      <c r="O717" s="4">
        <f ca="1">IF(totalElements+COUNTIF(Entities!$C$10,"*")+COUNTIF(B717:C717,"*")+COUNTIF(E717:F717,"*")=9,1,0)</f>
        <v>0</v>
      </c>
      <c r="P717" s="4">
        <f>COUNTIF($C$6:C717,C717)</f>
        <v>0</v>
      </c>
      <c r="Q717" s="4">
        <f ca="1">IF(ISNA(M717),0,COUNTIF($M$6:M717,M717))</f>
        <v>0</v>
      </c>
      <c r="R717" s="4" t="e">
        <f t="shared" ca="1" si="77"/>
        <v>#N/A</v>
      </c>
      <c r="S717" s="4">
        <f ca="1">IF(ISNA(M717),0,COUNTIF($R$6:R717,R717))</f>
        <v>0</v>
      </c>
      <c r="T717" s="4" t="e">
        <f t="shared" ca="1" si="76"/>
        <v>#N/A</v>
      </c>
    </row>
    <row r="718" spans="2:20" x14ac:dyDescent="0.3">
      <c r="B718" s="48"/>
      <c r="C718" s="48"/>
      <c r="D718" s="10" t="str">
        <f t="shared" ca="1" si="73"/>
        <v/>
      </c>
      <c r="E718" s="48"/>
      <c r="F718" s="48"/>
      <c r="G718" s="10" t="str">
        <f t="shared" ca="1" si="72"/>
        <v/>
      </c>
      <c r="I718" s="10" t="str">
        <f t="shared" ca="1" si="74"/>
        <v/>
      </c>
      <c r="K718" s="4" t="e">
        <f t="shared" ca="1" si="75"/>
        <v>#N/A</v>
      </c>
      <c r="L718" s="4" t="e">
        <f>VLOOKUP(C718,_resources!B:D,3,0)</f>
        <v>#N/A</v>
      </c>
      <c r="M718" s="4" t="e" cm="1">
        <f t="array" aca="1" ref="M718" ca="1">IF(abbrAtEnd,"",L718&amp;"-")&amp;E718&amp;"-"&amp;INDIRECT(OFFSET(element3,MATCH($C718,resources,0)-1,0))&amp;"-"&amp;INDIRECT(OFFSET(element4,MATCH($C718,resources,0)-1,0))&amp;"-"&amp;INDIRECT(OFFSET(element5,MATCH($C718,resources,0)-1,0))&amp;IF(OFFSET(element6,MATCH($C718,resources,0)-1,0)="","","-"&amp;INDIRECT(OFFSET(element6,MATCH($C718,resources,0)-1,0)))&amp;IF(abbrAtEnd,"-"&amp;L718,"")</f>
        <v>#N/A</v>
      </c>
      <c r="N718" s="4" t="str">
        <f t="shared" ref="N718:N781" si="78">IF($M$4,"-"&amp;TEXT(P718,"000"),"-"&amp;TEXT(Q718,"000"))</f>
        <v>-000</v>
      </c>
      <c r="O718" s="4">
        <f ca="1">IF(totalElements+COUNTIF(Entities!$C$10,"*")+COUNTIF(B718:C718,"*")+COUNTIF(E718:F718,"*")=9,1,0)</f>
        <v>0</v>
      </c>
      <c r="P718" s="4">
        <f>COUNTIF($C$6:C718,C718)</f>
        <v>0</v>
      </c>
      <c r="Q718" s="4">
        <f ca="1">IF(ISNA(M718),0,COUNTIF($M$6:M718,M718))</f>
        <v>0</v>
      </c>
      <c r="R718" s="4" t="e">
        <f t="shared" ca="1" si="77"/>
        <v>#N/A</v>
      </c>
      <c r="S718" s="4">
        <f ca="1">IF(ISNA(M718),0,COUNTIF($R$6:R718,R718))</f>
        <v>0</v>
      </c>
      <c r="T718" s="4" t="e">
        <f t="shared" ca="1" si="76"/>
        <v>#N/A</v>
      </c>
    </row>
    <row r="719" spans="2:20" x14ac:dyDescent="0.3">
      <c r="B719" s="48"/>
      <c r="C719" s="48"/>
      <c r="D719" s="10" t="str">
        <f t="shared" ca="1" si="73"/>
        <v/>
      </c>
      <c r="E719" s="48"/>
      <c r="F719" s="48"/>
      <c r="G719" s="10" t="str">
        <f t="shared" ca="1" si="72"/>
        <v/>
      </c>
      <c r="I719" s="10" t="str">
        <f t="shared" ca="1" si="74"/>
        <v/>
      </c>
      <c r="K719" s="4" t="e">
        <f t="shared" ca="1" si="75"/>
        <v>#N/A</v>
      </c>
      <c r="L719" s="4" t="e">
        <f>VLOOKUP(C719,_resources!B:D,3,0)</f>
        <v>#N/A</v>
      </c>
      <c r="M719" s="4" t="e" cm="1">
        <f t="array" aca="1" ref="M719" ca="1">IF(abbrAtEnd,"",L719&amp;"-")&amp;E719&amp;"-"&amp;INDIRECT(OFFSET(element3,MATCH($C719,resources,0)-1,0))&amp;"-"&amp;INDIRECT(OFFSET(element4,MATCH($C719,resources,0)-1,0))&amp;"-"&amp;INDIRECT(OFFSET(element5,MATCH($C719,resources,0)-1,0))&amp;IF(OFFSET(element6,MATCH($C719,resources,0)-1,0)="","","-"&amp;INDIRECT(OFFSET(element6,MATCH($C719,resources,0)-1,0)))&amp;IF(abbrAtEnd,"-"&amp;L719,"")</f>
        <v>#N/A</v>
      </c>
      <c r="N719" s="4" t="str">
        <f t="shared" si="78"/>
        <v>-000</v>
      </c>
      <c r="O719" s="4">
        <f ca="1">IF(totalElements+COUNTIF(Entities!$C$10,"*")+COUNTIF(B719:C719,"*")+COUNTIF(E719:F719,"*")=9,1,0)</f>
        <v>0</v>
      </c>
      <c r="P719" s="4">
        <f>COUNTIF($C$6:C719,C719)</f>
        <v>0</v>
      </c>
      <c r="Q719" s="4">
        <f ca="1">IF(ISNA(M719),0,COUNTIF($M$6:M719,M719))</f>
        <v>0</v>
      </c>
      <c r="R719" s="4" t="e">
        <f t="shared" ca="1" si="77"/>
        <v>#N/A</v>
      </c>
      <c r="S719" s="4">
        <f ca="1">IF(ISNA(M719),0,COUNTIF($R$6:R719,R719))</f>
        <v>0</v>
      </c>
      <c r="T719" s="4" t="e">
        <f t="shared" ca="1" si="76"/>
        <v>#N/A</v>
      </c>
    </row>
    <row r="720" spans="2:20" x14ac:dyDescent="0.3">
      <c r="B720" s="48"/>
      <c r="C720" s="48"/>
      <c r="D720" s="10" t="str">
        <f t="shared" ca="1" si="73"/>
        <v/>
      </c>
      <c r="E720" s="48"/>
      <c r="F720" s="48"/>
      <c r="G720" s="10" t="str">
        <f t="shared" ca="1" si="72"/>
        <v/>
      </c>
      <c r="I720" s="10" t="str">
        <f t="shared" ca="1" si="74"/>
        <v/>
      </c>
      <c r="K720" s="4" t="e">
        <f t="shared" ca="1" si="75"/>
        <v>#N/A</v>
      </c>
      <c r="L720" s="4" t="e">
        <f>VLOOKUP(C720,_resources!B:D,3,0)</f>
        <v>#N/A</v>
      </c>
      <c r="M720" s="4" t="e" cm="1">
        <f t="array" aca="1" ref="M720" ca="1">IF(abbrAtEnd,"",L720&amp;"-")&amp;E720&amp;"-"&amp;INDIRECT(OFFSET(element3,MATCH($C720,resources,0)-1,0))&amp;"-"&amp;INDIRECT(OFFSET(element4,MATCH($C720,resources,0)-1,0))&amp;"-"&amp;INDIRECT(OFFSET(element5,MATCH($C720,resources,0)-1,0))&amp;IF(OFFSET(element6,MATCH($C720,resources,0)-1,0)="","","-"&amp;INDIRECT(OFFSET(element6,MATCH($C720,resources,0)-1,0)))&amp;IF(abbrAtEnd,"-"&amp;L720,"")</f>
        <v>#N/A</v>
      </c>
      <c r="N720" s="4" t="str">
        <f t="shared" si="78"/>
        <v>-000</v>
      </c>
      <c r="O720" s="4">
        <f ca="1">IF(totalElements+COUNTIF(Entities!$C$10,"*")+COUNTIF(B720:C720,"*")+COUNTIF(E720:F720,"*")=9,1,0)</f>
        <v>0</v>
      </c>
      <c r="P720" s="4">
        <f>COUNTIF($C$6:C720,C720)</f>
        <v>0</v>
      </c>
      <c r="Q720" s="4">
        <f ca="1">IF(ISNA(M720),0,COUNTIF($M$6:M720,M720))</f>
        <v>0</v>
      </c>
      <c r="R720" s="4" t="e">
        <f t="shared" ca="1" si="77"/>
        <v>#N/A</v>
      </c>
      <c r="S720" s="4">
        <f ca="1">IF(ISNA(M720),0,COUNTIF($R$6:R720,R720))</f>
        <v>0</v>
      </c>
      <c r="T720" s="4" t="e">
        <f t="shared" ca="1" si="76"/>
        <v>#N/A</v>
      </c>
    </row>
    <row r="721" spans="2:20" x14ac:dyDescent="0.3">
      <c r="B721" s="48"/>
      <c r="C721" s="48"/>
      <c r="D721" s="10" t="str">
        <f t="shared" ca="1" si="73"/>
        <v/>
      </c>
      <c r="E721" s="48"/>
      <c r="F721" s="48"/>
      <c r="G721" s="10" t="str">
        <f t="shared" ca="1" si="72"/>
        <v/>
      </c>
      <c r="I721" s="10" t="str">
        <f t="shared" ca="1" si="74"/>
        <v/>
      </c>
      <c r="K721" s="4" t="e">
        <f t="shared" ca="1" si="75"/>
        <v>#N/A</v>
      </c>
      <c r="L721" s="4" t="e">
        <f>VLOOKUP(C721,_resources!B:D,3,0)</f>
        <v>#N/A</v>
      </c>
      <c r="M721" s="4" t="e" cm="1">
        <f t="array" aca="1" ref="M721" ca="1">IF(abbrAtEnd,"",L721&amp;"-")&amp;E721&amp;"-"&amp;INDIRECT(OFFSET(element3,MATCH($C721,resources,0)-1,0))&amp;"-"&amp;INDIRECT(OFFSET(element4,MATCH($C721,resources,0)-1,0))&amp;"-"&amp;INDIRECT(OFFSET(element5,MATCH($C721,resources,0)-1,0))&amp;IF(OFFSET(element6,MATCH($C721,resources,0)-1,0)="","","-"&amp;INDIRECT(OFFSET(element6,MATCH($C721,resources,0)-1,0)))&amp;IF(abbrAtEnd,"-"&amp;L721,"")</f>
        <v>#N/A</v>
      </c>
      <c r="N721" s="4" t="str">
        <f t="shared" si="78"/>
        <v>-000</v>
      </c>
      <c r="O721" s="4">
        <f ca="1">IF(totalElements+COUNTIF(Entities!$C$10,"*")+COUNTIF(B721:C721,"*")+COUNTIF(E721:F721,"*")=9,1,0)</f>
        <v>0</v>
      </c>
      <c r="P721" s="4">
        <f>COUNTIF($C$6:C721,C721)</f>
        <v>0</v>
      </c>
      <c r="Q721" s="4">
        <f ca="1">IF(ISNA(M721),0,COUNTIF($M$6:M721,M721))</f>
        <v>0</v>
      </c>
      <c r="R721" s="4" t="e">
        <f t="shared" ca="1" si="77"/>
        <v>#N/A</v>
      </c>
      <c r="S721" s="4">
        <f ca="1">IF(ISNA(M721),0,COUNTIF($R$6:R721,R721))</f>
        <v>0</v>
      </c>
      <c r="T721" s="4" t="e">
        <f t="shared" ca="1" si="76"/>
        <v>#N/A</v>
      </c>
    </row>
    <row r="722" spans="2:20" x14ac:dyDescent="0.3">
      <c r="B722" s="48"/>
      <c r="C722" s="48"/>
      <c r="D722" s="10" t="str">
        <f t="shared" ca="1" si="73"/>
        <v/>
      </c>
      <c r="E722" s="48"/>
      <c r="F722" s="48"/>
      <c r="G722" s="10" t="str">
        <f t="shared" ca="1" si="72"/>
        <v/>
      </c>
      <c r="I722" s="10" t="str">
        <f t="shared" ca="1" si="74"/>
        <v/>
      </c>
      <c r="K722" s="4" t="e">
        <f t="shared" ca="1" si="75"/>
        <v>#N/A</v>
      </c>
      <c r="L722" s="4" t="e">
        <f>VLOOKUP(C722,_resources!B:D,3,0)</f>
        <v>#N/A</v>
      </c>
      <c r="M722" s="4" t="e" cm="1">
        <f t="array" aca="1" ref="M722" ca="1">IF(abbrAtEnd,"",L722&amp;"-")&amp;E722&amp;"-"&amp;INDIRECT(OFFSET(element3,MATCH($C722,resources,0)-1,0))&amp;"-"&amp;INDIRECT(OFFSET(element4,MATCH($C722,resources,0)-1,0))&amp;"-"&amp;INDIRECT(OFFSET(element5,MATCH($C722,resources,0)-1,0))&amp;IF(OFFSET(element6,MATCH($C722,resources,0)-1,0)="","","-"&amp;INDIRECT(OFFSET(element6,MATCH($C722,resources,0)-1,0)))&amp;IF(abbrAtEnd,"-"&amp;L722,"")</f>
        <v>#N/A</v>
      </c>
      <c r="N722" s="4" t="str">
        <f t="shared" si="78"/>
        <v>-000</v>
      </c>
      <c r="O722" s="4">
        <f ca="1">IF(totalElements+COUNTIF(Entities!$C$10,"*")+COUNTIF(B722:C722,"*")+COUNTIF(E722:F722,"*")=9,1,0)</f>
        <v>0</v>
      </c>
      <c r="P722" s="4">
        <f>COUNTIF($C$6:C722,C722)</f>
        <v>0</v>
      </c>
      <c r="Q722" s="4">
        <f ca="1">IF(ISNA(M722),0,COUNTIF($M$6:M722,M722))</f>
        <v>0</v>
      </c>
      <c r="R722" s="4" t="e">
        <f t="shared" ca="1" si="77"/>
        <v>#N/A</v>
      </c>
      <c r="S722" s="4">
        <f ca="1">IF(ISNA(M722),0,COUNTIF($R$6:R722,R722))</f>
        <v>0</v>
      </c>
      <c r="T722" s="4" t="e">
        <f t="shared" ca="1" si="76"/>
        <v>#N/A</v>
      </c>
    </row>
    <row r="723" spans="2:20" x14ac:dyDescent="0.3">
      <c r="B723" s="48"/>
      <c r="C723" s="48"/>
      <c r="D723" s="10" t="str">
        <f t="shared" ca="1" si="73"/>
        <v/>
      </c>
      <c r="E723" s="48"/>
      <c r="F723" s="48"/>
      <c r="G723" s="10" t="str">
        <f t="shared" ref="G723:G786" ca="1" si="79">IF(O723,IF(K723="hyphenated",M723&amp;N723,IF(K723="dnsname",E723,IF(K723="alphanumeric",SUBSTITUTE(M723&amp;N723,"-",""),"unknown or missing resource structure"))),"")</f>
        <v/>
      </c>
      <c r="I723" s="10" t="str">
        <f t="shared" ca="1" si="74"/>
        <v/>
      </c>
      <c r="K723" s="4" t="e">
        <f t="shared" ca="1" si="75"/>
        <v>#N/A</v>
      </c>
      <c r="L723" s="4" t="e">
        <f>VLOOKUP(C723,_resources!B:D,3,0)</f>
        <v>#N/A</v>
      </c>
      <c r="M723" s="4" t="e" cm="1">
        <f t="array" aca="1" ref="M723" ca="1">IF(abbrAtEnd,"",L723&amp;"-")&amp;E723&amp;"-"&amp;INDIRECT(OFFSET(element3,MATCH($C723,resources,0)-1,0))&amp;"-"&amp;INDIRECT(OFFSET(element4,MATCH($C723,resources,0)-1,0))&amp;"-"&amp;INDIRECT(OFFSET(element5,MATCH($C723,resources,0)-1,0))&amp;IF(OFFSET(element6,MATCH($C723,resources,0)-1,0)="","","-"&amp;INDIRECT(OFFSET(element6,MATCH($C723,resources,0)-1,0)))&amp;IF(abbrAtEnd,"-"&amp;L723,"")</f>
        <v>#N/A</v>
      </c>
      <c r="N723" s="4" t="str">
        <f t="shared" si="78"/>
        <v>-000</v>
      </c>
      <c r="O723" s="4">
        <f ca="1">IF(totalElements+COUNTIF(Entities!$C$10,"*")+COUNTIF(B723:C723,"*")+COUNTIF(E723:F723,"*")=9,1,0)</f>
        <v>0</v>
      </c>
      <c r="P723" s="4">
        <f>COUNTIF($C$6:C723,C723)</f>
        <v>0</v>
      </c>
      <c r="Q723" s="4">
        <f ca="1">IF(ISNA(M723),0,COUNTIF($M$6:M723,M723))</f>
        <v>0</v>
      </c>
      <c r="R723" s="4" t="e">
        <f t="shared" ca="1" si="77"/>
        <v>#N/A</v>
      </c>
      <c r="S723" s="4">
        <f ca="1">IF(ISNA(M723),0,COUNTIF($R$6:R723,R723))</f>
        <v>0</v>
      </c>
      <c r="T723" s="4" t="e">
        <f t="shared" ca="1" si="76"/>
        <v>#N/A</v>
      </c>
    </row>
    <row r="724" spans="2:20" x14ac:dyDescent="0.3">
      <c r="B724" s="48"/>
      <c r="C724" s="48"/>
      <c r="D724" s="10" t="str">
        <f t="shared" ca="1" si="73"/>
        <v/>
      </c>
      <c r="E724" s="48"/>
      <c r="F724" s="48"/>
      <c r="G724" s="10" t="str">
        <f t="shared" ca="1" si="79"/>
        <v/>
      </c>
      <c r="I724" s="10" t="str">
        <f t="shared" ca="1" si="74"/>
        <v/>
      </c>
      <c r="K724" s="4" t="e">
        <f t="shared" ca="1" si="75"/>
        <v>#N/A</v>
      </c>
      <c r="L724" s="4" t="e">
        <f>VLOOKUP(C724,_resources!B:D,3,0)</f>
        <v>#N/A</v>
      </c>
      <c r="M724" s="4" t="e" cm="1">
        <f t="array" aca="1" ref="M724" ca="1">IF(abbrAtEnd,"",L724&amp;"-")&amp;E724&amp;"-"&amp;INDIRECT(OFFSET(element3,MATCH($C724,resources,0)-1,0))&amp;"-"&amp;INDIRECT(OFFSET(element4,MATCH($C724,resources,0)-1,0))&amp;"-"&amp;INDIRECT(OFFSET(element5,MATCH($C724,resources,0)-1,0))&amp;IF(OFFSET(element6,MATCH($C724,resources,0)-1,0)="","","-"&amp;INDIRECT(OFFSET(element6,MATCH($C724,resources,0)-1,0)))&amp;IF(abbrAtEnd,"-"&amp;L724,"")</f>
        <v>#N/A</v>
      </c>
      <c r="N724" s="4" t="str">
        <f t="shared" si="78"/>
        <v>-000</v>
      </c>
      <c r="O724" s="4">
        <f ca="1">IF(totalElements+COUNTIF(Entities!$C$10,"*")+COUNTIF(B724:C724,"*")+COUNTIF(E724:F724,"*")=9,1,0)</f>
        <v>0</v>
      </c>
      <c r="P724" s="4">
        <f>COUNTIF($C$6:C724,C724)</f>
        <v>0</v>
      </c>
      <c r="Q724" s="4">
        <f ca="1">IF(ISNA(M724),0,COUNTIF($M$6:M724,M724))</f>
        <v>0</v>
      </c>
      <c r="R724" s="4" t="e">
        <f t="shared" ca="1" si="77"/>
        <v>#N/A</v>
      </c>
      <c r="S724" s="4">
        <f ca="1">IF(ISNA(M724),0,COUNTIF($R$6:R724,R724))</f>
        <v>0</v>
      </c>
      <c r="T724" s="4" t="e">
        <f t="shared" ca="1" si="76"/>
        <v>#N/A</v>
      </c>
    </row>
    <row r="725" spans="2:20" x14ac:dyDescent="0.3">
      <c r="B725" s="48"/>
      <c r="C725" s="48"/>
      <c r="D725" s="10" t="str">
        <f t="shared" ca="1" si="73"/>
        <v/>
      </c>
      <c r="E725" s="48"/>
      <c r="F725" s="48"/>
      <c r="G725" s="10" t="str">
        <f t="shared" ca="1" si="79"/>
        <v/>
      </c>
      <c r="I725" s="10" t="str">
        <f t="shared" ca="1" si="74"/>
        <v/>
      </c>
      <c r="K725" s="4" t="e">
        <f t="shared" ca="1" si="75"/>
        <v>#N/A</v>
      </c>
      <c r="L725" s="4" t="e">
        <f>VLOOKUP(C725,_resources!B:D,3,0)</f>
        <v>#N/A</v>
      </c>
      <c r="M725" s="4" t="e" cm="1">
        <f t="array" aca="1" ref="M725" ca="1">IF(abbrAtEnd,"",L725&amp;"-")&amp;E725&amp;"-"&amp;INDIRECT(OFFSET(element3,MATCH($C725,resources,0)-1,0))&amp;"-"&amp;INDIRECT(OFFSET(element4,MATCH($C725,resources,0)-1,0))&amp;"-"&amp;INDIRECT(OFFSET(element5,MATCH($C725,resources,0)-1,0))&amp;IF(OFFSET(element6,MATCH($C725,resources,0)-1,0)="","","-"&amp;INDIRECT(OFFSET(element6,MATCH($C725,resources,0)-1,0)))&amp;IF(abbrAtEnd,"-"&amp;L725,"")</f>
        <v>#N/A</v>
      </c>
      <c r="N725" s="4" t="str">
        <f t="shared" si="78"/>
        <v>-000</v>
      </c>
      <c r="O725" s="4">
        <f ca="1">IF(totalElements+COUNTIF(Entities!$C$10,"*")+COUNTIF(B725:C725,"*")+COUNTIF(E725:F725,"*")=9,1,0)</f>
        <v>0</v>
      </c>
      <c r="P725" s="4">
        <f>COUNTIF($C$6:C725,C725)</f>
        <v>0</v>
      </c>
      <c r="Q725" s="4">
        <f ca="1">IF(ISNA(M725),0,COUNTIF($M$6:M725,M725))</f>
        <v>0</v>
      </c>
      <c r="R725" s="4" t="e">
        <f t="shared" ca="1" si="77"/>
        <v>#N/A</v>
      </c>
      <c r="S725" s="4">
        <f ca="1">IF(ISNA(M725),0,COUNTIF($R$6:R725,R725))</f>
        <v>0</v>
      </c>
      <c r="T725" s="4" t="e">
        <f t="shared" ca="1" si="76"/>
        <v>#N/A</v>
      </c>
    </row>
    <row r="726" spans="2:20" x14ac:dyDescent="0.3">
      <c r="B726" s="48"/>
      <c r="C726" s="48"/>
      <c r="D726" s="10" t="str">
        <f t="shared" ca="1" si="73"/>
        <v/>
      </c>
      <c r="E726" s="48"/>
      <c r="F726" s="48"/>
      <c r="G726" s="10" t="str">
        <f t="shared" ca="1" si="79"/>
        <v/>
      </c>
      <c r="I726" s="10" t="str">
        <f t="shared" ca="1" si="74"/>
        <v/>
      </c>
      <c r="K726" s="4" t="e">
        <f t="shared" ca="1" si="75"/>
        <v>#N/A</v>
      </c>
      <c r="L726" s="4" t="e">
        <f>VLOOKUP(C726,_resources!B:D,3,0)</f>
        <v>#N/A</v>
      </c>
      <c r="M726" s="4" t="e" cm="1">
        <f t="array" aca="1" ref="M726" ca="1">IF(abbrAtEnd,"",L726&amp;"-")&amp;E726&amp;"-"&amp;INDIRECT(OFFSET(element3,MATCH($C726,resources,0)-1,0))&amp;"-"&amp;INDIRECT(OFFSET(element4,MATCH($C726,resources,0)-1,0))&amp;"-"&amp;INDIRECT(OFFSET(element5,MATCH($C726,resources,0)-1,0))&amp;IF(OFFSET(element6,MATCH($C726,resources,0)-1,0)="","","-"&amp;INDIRECT(OFFSET(element6,MATCH($C726,resources,0)-1,0)))&amp;IF(abbrAtEnd,"-"&amp;L726,"")</f>
        <v>#N/A</v>
      </c>
      <c r="N726" s="4" t="str">
        <f t="shared" si="78"/>
        <v>-000</v>
      </c>
      <c r="O726" s="4">
        <f ca="1">IF(totalElements+COUNTIF(Entities!$C$10,"*")+COUNTIF(B726:C726,"*")+COUNTIF(E726:F726,"*")=9,1,0)</f>
        <v>0</v>
      </c>
      <c r="P726" s="4">
        <f>COUNTIF($C$6:C726,C726)</f>
        <v>0</v>
      </c>
      <c r="Q726" s="4">
        <f ca="1">IF(ISNA(M726),0,COUNTIF($M$6:M726,M726))</f>
        <v>0</v>
      </c>
      <c r="R726" s="4" t="e">
        <f t="shared" ca="1" si="77"/>
        <v>#N/A</v>
      </c>
      <c r="S726" s="4">
        <f ca="1">IF(ISNA(M726),0,COUNTIF($R$6:R726,R726))</f>
        <v>0</v>
      </c>
      <c r="T726" s="4" t="e">
        <f t="shared" ca="1" si="76"/>
        <v>#N/A</v>
      </c>
    </row>
    <row r="727" spans="2:20" x14ac:dyDescent="0.3">
      <c r="B727" s="48"/>
      <c r="C727" s="48"/>
      <c r="D727" s="10" t="str">
        <f t="shared" ca="1" si="73"/>
        <v/>
      </c>
      <c r="E727" s="48"/>
      <c r="F727" s="48"/>
      <c r="G727" s="10" t="str">
        <f t="shared" ca="1" si="79"/>
        <v/>
      </c>
      <c r="I727" s="10" t="str">
        <f t="shared" ca="1" si="74"/>
        <v/>
      </c>
      <c r="K727" s="4" t="e">
        <f t="shared" ca="1" si="75"/>
        <v>#N/A</v>
      </c>
      <c r="L727" s="4" t="e">
        <f>VLOOKUP(C727,_resources!B:D,3,0)</f>
        <v>#N/A</v>
      </c>
      <c r="M727" s="4" t="e" cm="1">
        <f t="array" aca="1" ref="M727" ca="1">IF(abbrAtEnd,"",L727&amp;"-")&amp;E727&amp;"-"&amp;INDIRECT(OFFSET(element3,MATCH($C727,resources,0)-1,0))&amp;"-"&amp;INDIRECT(OFFSET(element4,MATCH($C727,resources,0)-1,0))&amp;"-"&amp;INDIRECT(OFFSET(element5,MATCH($C727,resources,0)-1,0))&amp;IF(OFFSET(element6,MATCH($C727,resources,0)-1,0)="","","-"&amp;INDIRECT(OFFSET(element6,MATCH($C727,resources,0)-1,0)))&amp;IF(abbrAtEnd,"-"&amp;L727,"")</f>
        <v>#N/A</v>
      </c>
      <c r="N727" s="4" t="str">
        <f t="shared" si="78"/>
        <v>-000</v>
      </c>
      <c r="O727" s="4">
        <f ca="1">IF(totalElements+COUNTIF(Entities!$C$10,"*")+COUNTIF(B727:C727,"*")+COUNTIF(E727:F727,"*")=9,1,0)</f>
        <v>0</v>
      </c>
      <c r="P727" s="4">
        <f>COUNTIF($C$6:C727,C727)</f>
        <v>0</v>
      </c>
      <c r="Q727" s="4">
        <f ca="1">IF(ISNA(M727),0,COUNTIF($M$6:M727,M727))</f>
        <v>0</v>
      </c>
      <c r="R727" s="4" t="e">
        <f t="shared" ca="1" si="77"/>
        <v>#N/A</v>
      </c>
      <c r="S727" s="4">
        <f ca="1">IF(ISNA(M727),0,COUNTIF($R$6:R727,R727))</f>
        <v>0</v>
      </c>
      <c r="T727" s="4" t="e">
        <f t="shared" ca="1" si="76"/>
        <v>#N/A</v>
      </c>
    </row>
    <row r="728" spans="2:20" x14ac:dyDescent="0.3">
      <c r="B728" s="48"/>
      <c r="C728" s="48"/>
      <c r="D728" s="10" t="str">
        <f t="shared" ca="1" si="73"/>
        <v/>
      </c>
      <c r="E728" s="48"/>
      <c r="F728" s="48"/>
      <c r="G728" s="10" t="str">
        <f t="shared" ca="1" si="79"/>
        <v/>
      </c>
      <c r="I728" s="10" t="str">
        <f t="shared" ca="1" si="74"/>
        <v/>
      </c>
      <c r="K728" s="4" t="e">
        <f t="shared" ca="1" si="75"/>
        <v>#N/A</v>
      </c>
      <c r="L728" s="4" t="e">
        <f>VLOOKUP(C728,_resources!B:D,3,0)</f>
        <v>#N/A</v>
      </c>
      <c r="M728" s="4" t="e" cm="1">
        <f t="array" aca="1" ref="M728" ca="1">IF(abbrAtEnd,"",L728&amp;"-")&amp;E728&amp;"-"&amp;INDIRECT(OFFSET(element3,MATCH($C728,resources,0)-1,0))&amp;"-"&amp;INDIRECT(OFFSET(element4,MATCH($C728,resources,0)-1,0))&amp;"-"&amp;INDIRECT(OFFSET(element5,MATCH($C728,resources,0)-1,0))&amp;IF(OFFSET(element6,MATCH($C728,resources,0)-1,0)="","","-"&amp;INDIRECT(OFFSET(element6,MATCH($C728,resources,0)-1,0)))&amp;IF(abbrAtEnd,"-"&amp;L728,"")</f>
        <v>#N/A</v>
      </c>
      <c r="N728" s="4" t="str">
        <f t="shared" si="78"/>
        <v>-000</v>
      </c>
      <c r="O728" s="4">
        <f ca="1">IF(totalElements+COUNTIF(Entities!$C$10,"*")+COUNTIF(B728:C728,"*")+COUNTIF(E728:F728,"*")=9,1,0)</f>
        <v>0</v>
      </c>
      <c r="P728" s="4">
        <f>COUNTIF($C$6:C728,C728)</f>
        <v>0</v>
      </c>
      <c r="Q728" s="4">
        <f ca="1">IF(ISNA(M728),0,COUNTIF($M$6:M728,M728))</f>
        <v>0</v>
      </c>
      <c r="R728" s="4" t="e">
        <f t="shared" ca="1" si="77"/>
        <v>#N/A</v>
      </c>
      <c r="S728" s="4">
        <f ca="1">IF(ISNA(M728),0,COUNTIF($R$6:R728,R728))</f>
        <v>0</v>
      </c>
      <c r="T728" s="4" t="e">
        <f t="shared" ca="1" si="76"/>
        <v>#N/A</v>
      </c>
    </row>
    <row r="729" spans="2:20" x14ac:dyDescent="0.3">
      <c r="B729" s="48"/>
      <c r="C729" s="48"/>
      <c r="D729" s="10" t="str">
        <f t="shared" ca="1" si="73"/>
        <v/>
      </c>
      <c r="E729" s="48"/>
      <c r="F729" s="48"/>
      <c r="G729" s="10" t="str">
        <f t="shared" ca="1" si="79"/>
        <v/>
      </c>
      <c r="I729" s="10" t="str">
        <f t="shared" ca="1" si="74"/>
        <v/>
      </c>
      <c r="K729" s="4" t="e">
        <f t="shared" ca="1" si="75"/>
        <v>#N/A</v>
      </c>
      <c r="L729" s="4" t="e">
        <f>VLOOKUP(C729,_resources!B:D,3,0)</f>
        <v>#N/A</v>
      </c>
      <c r="M729" s="4" t="e" cm="1">
        <f t="array" aca="1" ref="M729" ca="1">IF(abbrAtEnd,"",L729&amp;"-")&amp;E729&amp;"-"&amp;INDIRECT(OFFSET(element3,MATCH($C729,resources,0)-1,0))&amp;"-"&amp;INDIRECT(OFFSET(element4,MATCH($C729,resources,0)-1,0))&amp;"-"&amp;INDIRECT(OFFSET(element5,MATCH($C729,resources,0)-1,0))&amp;IF(OFFSET(element6,MATCH($C729,resources,0)-1,0)="","","-"&amp;INDIRECT(OFFSET(element6,MATCH($C729,resources,0)-1,0)))&amp;IF(abbrAtEnd,"-"&amp;L729,"")</f>
        <v>#N/A</v>
      </c>
      <c r="N729" s="4" t="str">
        <f t="shared" si="78"/>
        <v>-000</v>
      </c>
      <c r="O729" s="4">
        <f ca="1">IF(totalElements+COUNTIF(Entities!$C$10,"*")+COUNTIF(B729:C729,"*")+COUNTIF(E729:F729,"*")=9,1,0)</f>
        <v>0</v>
      </c>
      <c r="P729" s="4">
        <f>COUNTIF($C$6:C729,C729)</f>
        <v>0</v>
      </c>
      <c r="Q729" s="4">
        <f ca="1">IF(ISNA(M729),0,COUNTIF($M$6:M729,M729))</f>
        <v>0</v>
      </c>
      <c r="R729" s="4" t="e">
        <f t="shared" ca="1" si="77"/>
        <v>#N/A</v>
      </c>
      <c r="S729" s="4">
        <f ca="1">IF(ISNA(M729),0,COUNTIF($R$6:R729,R729))</f>
        <v>0</v>
      </c>
      <c r="T729" s="4" t="e">
        <f t="shared" ca="1" si="76"/>
        <v>#N/A</v>
      </c>
    </row>
    <row r="730" spans="2:20" x14ac:dyDescent="0.3">
      <c r="B730" s="48"/>
      <c r="C730" s="48"/>
      <c r="D730" s="10" t="str">
        <f t="shared" ca="1" si="73"/>
        <v/>
      </c>
      <c r="E730" s="48"/>
      <c r="F730" s="48"/>
      <c r="G730" s="10" t="str">
        <f t="shared" ca="1" si="79"/>
        <v/>
      </c>
      <c r="I730" s="10" t="str">
        <f t="shared" ca="1" si="74"/>
        <v/>
      </c>
      <c r="K730" s="4" t="e">
        <f t="shared" ca="1" si="75"/>
        <v>#N/A</v>
      </c>
      <c r="L730" s="4" t="e">
        <f>VLOOKUP(C730,_resources!B:D,3,0)</f>
        <v>#N/A</v>
      </c>
      <c r="M730" s="4" t="e" cm="1">
        <f t="array" aca="1" ref="M730" ca="1">IF(abbrAtEnd,"",L730&amp;"-")&amp;E730&amp;"-"&amp;INDIRECT(OFFSET(element3,MATCH($C730,resources,0)-1,0))&amp;"-"&amp;INDIRECT(OFFSET(element4,MATCH($C730,resources,0)-1,0))&amp;"-"&amp;INDIRECT(OFFSET(element5,MATCH($C730,resources,0)-1,0))&amp;IF(OFFSET(element6,MATCH($C730,resources,0)-1,0)="","","-"&amp;INDIRECT(OFFSET(element6,MATCH($C730,resources,0)-1,0)))&amp;IF(abbrAtEnd,"-"&amp;L730,"")</f>
        <v>#N/A</v>
      </c>
      <c r="N730" s="4" t="str">
        <f t="shared" si="78"/>
        <v>-000</v>
      </c>
      <c r="O730" s="4">
        <f ca="1">IF(totalElements+COUNTIF(Entities!$C$10,"*")+COUNTIF(B730:C730,"*")+COUNTIF(E730:F730,"*")=9,1,0)</f>
        <v>0</v>
      </c>
      <c r="P730" s="4">
        <f>COUNTIF($C$6:C730,C730)</f>
        <v>0</v>
      </c>
      <c r="Q730" s="4">
        <f ca="1">IF(ISNA(M730),0,COUNTIF($M$6:M730,M730))</f>
        <v>0</v>
      </c>
      <c r="R730" s="4" t="e">
        <f t="shared" ca="1" si="77"/>
        <v>#N/A</v>
      </c>
      <c r="S730" s="4">
        <f ca="1">IF(ISNA(M730),0,COUNTIF($R$6:R730,R730))</f>
        <v>0</v>
      </c>
      <c r="T730" s="4" t="e">
        <f t="shared" ca="1" si="76"/>
        <v>#N/A</v>
      </c>
    </row>
    <row r="731" spans="2:20" x14ac:dyDescent="0.3">
      <c r="B731" s="48"/>
      <c r="C731" s="48"/>
      <c r="D731" s="10" t="str">
        <f t="shared" ca="1" si="73"/>
        <v/>
      </c>
      <c r="E731" s="48"/>
      <c r="F731" s="48"/>
      <c r="G731" s="10" t="str">
        <f t="shared" ca="1" si="79"/>
        <v/>
      </c>
      <c r="I731" s="10" t="str">
        <f t="shared" ca="1" si="74"/>
        <v/>
      </c>
      <c r="K731" s="4" t="e">
        <f t="shared" ca="1" si="75"/>
        <v>#N/A</v>
      </c>
      <c r="L731" s="4" t="e">
        <f>VLOOKUP(C731,_resources!B:D,3,0)</f>
        <v>#N/A</v>
      </c>
      <c r="M731" s="4" t="e" cm="1">
        <f t="array" aca="1" ref="M731" ca="1">IF(abbrAtEnd,"",L731&amp;"-")&amp;E731&amp;"-"&amp;INDIRECT(OFFSET(element3,MATCH($C731,resources,0)-1,0))&amp;"-"&amp;INDIRECT(OFFSET(element4,MATCH($C731,resources,0)-1,0))&amp;"-"&amp;INDIRECT(OFFSET(element5,MATCH($C731,resources,0)-1,0))&amp;IF(OFFSET(element6,MATCH($C731,resources,0)-1,0)="","","-"&amp;INDIRECT(OFFSET(element6,MATCH($C731,resources,0)-1,0)))&amp;IF(abbrAtEnd,"-"&amp;L731,"")</f>
        <v>#N/A</v>
      </c>
      <c r="N731" s="4" t="str">
        <f t="shared" si="78"/>
        <v>-000</v>
      </c>
      <c r="O731" s="4">
        <f ca="1">IF(totalElements+COUNTIF(Entities!$C$10,"*")+COUNTIF(B731:C731,"*")+COUNTIF(E731:F731,"*")=9,1,0)</f>
        <v>0</v>
      </c>
      <c r="P731" s="4">
        <f>COUNTIF($C$6:C731,C731)</f>
        <v>0</v>
      </c>
      <c r="Q731" s="4">
        <f ca="1">IF(ISNA(M731),0,COUNTIF($M$6:M731,M731))</f>
        <v>0</v>
      </c>
      <c r="R731" s="4" t="e">
        <f t="shared" ca="1" si="77"/>
        <v>#N/A</v>
      </c>
      <c r="S731" s="4">
        <f ca="1">IF(ISNA(M731),0,COUNTIF($R$6:R731,R731))</f>
        <v>0</v>
      </c>
      <c r="T731" s="4" t="e">
        <f t="shared" ca="1" si="76"/>
        <v>#N/A</v>
      </c>
    </row>
    <row r="732" spans="2:20" x14ac:dyDescent="0.3">
      <c r="B732" s="48"/>
      <c r="C732" s="48"/>
      <c r="D732" s="10" t="str">
        <f t="shared" ca="1" si="73"/>
        <v/>
      </c>
      <c r="E732" s="48"/>
      <c r="F732" s="48"/>
      <c r="G732" s="10" t="str">
        <f t="shared" ca="1" si="79"/>
        <v/>
      </c>
      <c r="I732" s="10" t="str">
        <f t="shared" ca="1" si="74"/>
        <v/>
      </c>
      <c r="K732" s="4" t="e">
        <f t="shared" ca="1" si="75"/>
        <v>#N/A</v>
      </c>
      <c r="L732" s="4" t="e">
        <f>VLOOKUP(C732,_resources!B:D,3,0)</f>
        <v>#N/A</v>
      </c>
      <c r="M732" s="4" t="e" cm="1">
        <f t="array" aca="1" ref="M732" ca="1">IF(abbrAtEnd,"",L732&amp;"-")&amp;E732&amp;"-"&amp;INDIRECT(OFFSET(element3,MATCH($C732,resources,0)-1,0))&amp;"-"&amp;INDIRECT(OFFSET(element4,MATCH($C732,resources,0)-1,0))&amp;"-"&amp;INDIRECT(OFFSET(element5,MATCH($C732,resources,0)-1,0))&amp;IF(OFFSET(element6,MATCH($C732,resources,0)-1,0)="","","-"&amp;INDIRECT(OFFSET(element6,MATCH($C732,resources,0)-1,0)))&amp;IF(abbrAtEnd,"-"&amp;L732,"")</f>
        <v>#N/A</v>
      </c>
      <c r="N732" s="4" t="str">
        <f t="shared" si="78"/>
        <v>-000</v>
      </c>
      <c r="O732" s="4">
        <f ca="1">IF(totalElements+COUNTIF(Entities!$C$10,"*")+COUNTIF(B732:C732,"*")+COUNTIF(E732:F732,"*")=9,1,0)</f>
        <v>0</v>
      </c>
      <c r="P732" s="4">
        <f>COUNTIF($C$6:C732,C732)</f>
        <v>0</v>
      </c>
      <c r="Q732" s="4">
        <f ca="1">IF(ISNA(M732),0,COUNTIF($M$6:M732,M732))</f>
        <v>0</v>
      </c>
      <c r="R732" s="4" t="e">
        <f t="shared" ca="1" si="77"/>
        <v>#N/A</v>
      </c>
      <c r="S732" s="4">
        <f ca="1">IF(ISNA(M732),0,COUNTIF($R$6:R732,R732))</f>
        <v>0</v>
      </c>
      <c r="T732" s="4" t="e">
        <f t="shared" ca="1" si="76"/>
        <v>#N/A</v>
      </c>
    </row>
    <row r="733" spans="2:20" x14ac:dyDescent="0.3">
      <c r="B733" s="48"/>
      <c r="C733" s="48"/>
      <c r="D733" s="10" t="str">
        <f t="shared" ca="1" si="73"/>
        <v/>
      </c>
      <c r="E733" s="48"/>
      <c r="F733" s="48"/>
      <c r="G733" s="10" t="str">
        <f t="shared" ca="1" si="79"/>
        <v/>
      </c>
      <c r="I733" s="10" t="str">
        <f t="shared" ca="1" si="74"/>
        <v/>
      </c>
      <c r="K733" s="4" t="e">
        <f t="shared" ca="1" si="75"/>
        <v>#N/A</v>
      </c>
      <c r="L733" s="4" t="e">
        <f>VLOOKUP(C733,_resources!B:D,3,0)</f>
        <v>#N/A</v>
      </c>
      <c r="M733" s="4" t="e" cm="1">
        <f t="array" aca="1" ref="M733" ca="1">IF(abbrAtEnd,"",L733&amp;"-")&amp;E733&amp;"-"&amp;INDIRECT(OFFSET(element3,MATCH($C733,resources,0)-1,0))&amp;"-"&amp;INDIRECT(OFFSET(element4,MATCH($C733,resources,0)-1,0))&amp;"-"&amp;INDIRECT(OFFSET(element5,MATCH($C733,resources,0)-1,0))&amp;IF(OFFSET(element6,MATCH($C733,resources,0)-1,0)="","","-"&amp;INDIRECT(OFFSET(element6,MATCH($C733,resources,0)-1,0)))&amp;IF(abbrAtEnd,"-"&amp;L733,"")</f>
        <v>#N/A</v>
      </c>
      <c r="N733" s="4" t="str">
        <f t="shared" si="78"/>
        <v>-000</v>
      </c>
      <c r="O733" s="4">
        <f ca="1">IF(totalElements+COUNTIF(Entities!$C$10,"*")+COUNTIF(B733:C733,"*")+COUNTIF(E733:F733,"*")=9,1,0)</f>
        <v>0</v>
      </c>
      <c r="P733" s="4">
        <f>COUNTIF($C$6:C733,C733)</f>
        <v>0</v>
      </c>
      <c r="Q733" s="4">
        <f ca="1">IF(ISNA(M733),0,COUNTIF($M$6:M733,M733))</f>
        <v>0</v>
      </c>
      <c r="R733" s="4" t="e">
        <f t="shared" ca="1" si="77"/>
        <v>#N/A</v>
      </c>
      <c r="S733" s="4">
        <f ca="1">IF(ISNA(M733),0,COUNTIF($R$6:R733,R733))</f>
        <v>0</v>
      </c>
      <c r="T733" s="4" t="e">
        <f t="shared" ca="1" si="76"/>
        <v>#N/A</v>
      </c>
    </row>
    <row r="734" spans="2:20" x14ac:dyDescent="0.3">
      <c r="B734" s="48"/>
      <c r="C734" s="48"/>
      <c r="D734" s="10" t="str">
        <f t="shared" ca="1" si="73"/>
        <v/>
      </c>
      <c r="E734" s="48"/>
      <c r="F734" s="48"/>
      <c r="G734" s="10" t="str">
        <f t="shared" ca="1" si="79"/>
        <v/>
      </c>
      <c r="I734" s="10" t="str">
        <f t="shared" ca="1" si="74"/>
        <v/>
      </c>
      <c r="K734" s="4" t="e">
        <f t="shared" ca="1" si="75"/>
        <v>#N/A</v>
      </c>
      <c r="L734" s="4" t="e">
        <f>VLOOKUP(C734,_resources!B:D,3,0)</f>
        <v>#N/A</v>
      </c>
      <c r="M734" s="4" t="e" cm="1">
        <f t="array" aca="1" ref="M734" ca="1">IF(abbrAtEnd,"",L734&amp;"-")&amp;E734&amp;"-"&amp;INDIRECT(OFFSET(element3,MATCH($C734,resources,0)-1,0))&amp;"-"&amp;INDIRECT(OFFSET(element4,MATCH($C734,resources,0)-1,0))&amp;"-"&amp;INDIRECT(OFFSET(element5,MATCH($C734,resources,0)-1,0))&amp;IF(OFFSET(element6,MATCH($C734,resources,0)-1,0)="","","-"&amp;INDIRECT(OFFSET(element6,MATCH($C734,resources,0)-1,0)))&amp;IF(abbrAtEnd,"-"&amp;L734,"")</f>
        <v>#N/A</v>
      </c>
      <c r="N734" s="4" t="str">
        <f t="shared" si="78"/>
        <v>-000</v>
      </c>
      <c r="O734" s="4">
        <f ca="1">IF(totalElements+COUNTIF(Entities!$C$10,"*")+COUNTIF(B734:C734,"*")+COUNTIF(E734:F734,"*")=9,1,0)</f>
        <v>0</v>
      </c>
      <c r="P734" s="4">
        <f>COUNTIF($C$6:C734,C734)</f>
        <v>0</v>
      </c>
      <c r="Q734" s="4">
        <f ca="1">IF(ISNA(M734),0,COUNTIF($M$6:M734,M734))</f>
        <v>0</v>
      </c>
      <c r="R734" s="4" t="e">
        <f t="shared" ca="1" si="77"/>
        <v>#N/A</v>
      </c>
      <c r="S734" s="4">
        <f ca="1">IF(ISNA(M734),0,COUNTIF($R$6:R734,R734))</f>
        <v>0</v>
      </c>
      <c r="T734" s="4" t="e">
        <f t="shared" ca="1" si="76"/>
        <v>#N/A</v>
      </c>
    </row>
    <row r="735" spans="2:20" x14ac:dyDescent="0.3">
      <c r="B735" s="48"/>
      <c r="C735" s="48"/>
      <c r="D735" s="10" t="str">
        <f t="shared" ca="1" si="73"/>
        <v/>
      </c>
      <c r="E735" s="48"/>
      <c r="F735" s="48"/>
      <c r="G735" s="10" t="str">
        <f t="shared" ca="1" si="79"/>
        <v/>
      </c>
      <c r="I735" s="10" t="str">
        <f t="shared" ca="1" si="74"/>
        <v/>
      </c>
      <c r="K735" s="4" t="e">
        <f t="shared" ca="1" si="75"/>
        <v>#N/A</v>
      </c>
      <c r="L735" s="4" t="e">
        <f>VLOOKUP(C735,_resources!B:D,3,0)</f>
        <v>#N/A</v>
      </c>
      <c r="M735" s="4" t="e" cm="1">
        <f t="array" aca="1" ref="M735" ca="1">IF(abbrAtEnd,"",L735&amp;"-")&amp;E735&amp;"-"&amp;INDIRECT(OFFSET(element3,MATCH($C735,resources,0)-1,0))&amp;"-"&amp;INDIRECT(OFFSET(element4,MATCH($C735,resources,0)-1,0))&amp;"-"&amp;INDIRECT(OFFSET(element5,MATCH($C735,resources,0)-1,0))&amp;IF(OFFSET(element6,MATCH($C735,resources,0)-1,0)="","","-"&amp;INDIRECT(OFFSET(element6,MATCH($C735,resources,0)-1,0)))&amp;IF(abbrAtEnd,"-"&amp;L735,"")</f>
        <v>#N/A</v>
      </c>
      <c r="N735" s="4" t="str">
        <f t="shared" si="78"/>
        <v>-000</v>
      </c>
      <c r="O735" s="4">
        <f ca="1">IF(totalElements+COUNTIF(Entities!$C$10,"*")+COUNTIF(B735:C735,"*")+COUNTIF(E735:F735,"*")=9,1,0)</f>
        <v>0</v>
      </c>
      <c r="P735" s="4">
        <f>COUNTIF($C$6:C735,C735)</f>
        <v>0</v>
      </c>
      <c r="Q735" s="4">
        <f ca="1">IF(ISNA(M735),0,COUNTIF($M$6:M735,M735))</f>
        <v>0</v>
      </c>
      <c r="R735" s="4" t="e">
        <f t="shared" ca="1" si="77"/>
        <v>#N/A</v>
      </c>
      <c r="S735" s="4">
        <f ca="1">IF(ISNA(M735),0,COUNTIF($R$6:R735,R735))</f>
        <v>0</v>
      </c>
      <c r="T735" s="4" t="e">
        <f t="shared" ca="1" si="76"/>
        <v>#N/A</v>
      </c>
    </row>
    <row r="736" spans="2:20" x14ac:dyDescent="0.3">
      <c r="B736" s="48"/>
      <c r="C736" s="48"/>
      <c r="D736" s="10" t="str">
        <f t="shared" ca="1" si="73"/>
        <v/>
      </c>
      <c r="E736" s="48"/>
      <c r="F736" s="48"/>
      <c r="G736" s="10" t="str">
        <f t="shared" ca="1" si="79"/>
        <v/>
      </c>
      <c r="I736" s="10" t="str">
        <f t="shared" ca="1" si="74"/>
        <v/>
      </c>
      <c r="K736" s="4" t="e">
        <f t="shared" ca="1" si="75"/>
        <v>#N/A</v>
      </c>
      <c r="L736" s="4" t="e">
        <f>VLOOKUP(C736,_resources!B:D,3,0)</f>
        <v>#N/A</v>
      </c>
      <c r="M736" s="4" t="e" cm="1">
        <f t="array" aca="1" ref="M736" ca="1">IF(abbrAtEnd,"",L736&amp;"-")&amp;E736&amp;"-"&amp;INDIRECT(OFFSET(element3,MATCH($C736,resources,0)-1,0))&amp;"-"&amp;INDIRECT(OFFSET(element4,MATCH($C736,resources,0)-1,0))&amp;"-"&amp;INDIRECT(OFFSET(element5,MATCH($C736,resources,0)-1,0))&amp;IF(OFFSET(element6,MATCH($C736,resources,0)-1,0)="","","-"&amp;INDIRECT(OFFSET(element6,MATCH($C736,resources,0)-1,0)))&amp;IF(abbrAtEnd,"-"&amp;L736,"")</f>
        <v>#N/A</v>
      </c>
      <c r="N736" s="4" t="str">
        <f t="shared" si="78"/>
        <v>-000</v>
      </c>
      <c r="O736" s="4">
        <f ca="1">IF(totalElements+COUNTIF(Entities!$C$10,"*")+COUNTIF(B736:C736,"*")+COUNTIF(E736:F736,"*")=9,1,0)</f>
        <v>0</v>
      </c>
      <c r="P736" s="4">
        <f>COUNTIF($C$6:C736,C736)</f>
        <v>0</v>
      </c>
      <c r="Q736" s="4">
        <f ca="1">IF(ISNA(M736),0,COUNTIF($M$6:M736,M736))</f>
        <v>0</v>
      </c>
      <c r="R736" s="4" t="e">
        <f t="shared" ca="1" si="77"/>
        <v>#N/A</v>
      </c>
      <c r="S736" s="4">
        <f ca="1">IF(ISNA(M736),0,COUNTIF($R$6:R736,R736))</f>
        <v>0</v>
      </c>
      <c r="T736" s="4" t="e">
        <f t="shared" ca="1" si="76"/>
        <v>#N/A</v>
      </c>
    </row>
    <row r="737" spans="2:20" x14ac:dyDescent="0.3">
      <c r="B737" s="48"/>
      <c r="C737" s="48"/>
      <c r="D737" s="10" t="str">
        <f t="shared" ca="1" si="73"/>
        <v/>
      </c>
      <c r="E737" s="48"/>
      <c r="F737" s="48"/>
      <c r="G737" s="10" t="str">
        <f t="shared" ca="1" si="79"/>
        <v/>
      </c>
      <c r="I737" s="10" t="str">
        <f t="shared" ca="1" si="74"/>
        <v/>
      </c>
      <c r="K737" s="4" t="e">
        <f t="shared" ca="1" si="75"/>
        <v>#N/A</v>
      </c>
      <c r="L737" s="4" t="e">
        <f>VLOOKUP(C737,_resources!B:D,3,0)</f>
        <v>#N/A</v>
      </c>
      <c r="M737" s="4" t="e" cm="1">
        <f t="array" aca="1" ref="M737" ca="1">IF(abbrAtEnd,"",L737&amp;"-")&amp;E737&amp;"-"&amp;INDIRECT(OFFSET(element3,MATCH($C737,resources,0)-1,0))&amp;"-"&amp;INDIRECT(OFFSET(element4,MATCH($C737,resources,0)-1,0))&amp;"-"&amp;INDIRECT(OFFSET(element5,MATCH($C737,resources,0)-1,0))&amp;IF(OFFSET(element6,MATCH($C737,resources,0)-1,0)="","","-"&amp;INDIRECT(OFFSET(element6,MATCH($C737,resources,0)-1,0)))&amp;IF(abbrAtEnd,"-"&amp;L737,"")</f>
        <v>#N/A</v>
      </c>
      <c r="N737" s="4" t="str">
        <f t="shared" si="78"/>
        <v>-000</v>
      </c>
      <c r="O737" s="4">
        <f ca="1">IF(totalElements+COUNTIF(Entities!$C$10,"*")+COUNTIF(B737:C737,"*")+COUNTIF(E737:F737,"*")=9,1,0)</f>
        <v>0</v>
      </c>
      <c r="P737" s="4">
        <f>COUNTIF($C$6:C737,C737)</f>
        <v>0</v>
      </c>
      <c r="Q737" s="4">
        <f ca="1">IF(ISNA(M737),0,COUNTIF($M$6:M737,M737))</f>
        <v>0</v>
      </c>
      <c r="R737" s="4" t="e">
        <f t="shared" ca="1" si="77"/>
        <v>#N/A</v>
      </c>
      <c r="S737" s="4">
        <f ca="1">IF(ISNA(M737),0,COUNTIF($R$6:R737,R737))</f>
        <v>0</v>
      </c>
      <c r="T737" s="4" t="e">
        <f t="shared" ca="1" si="76"/>
        <v>#N/A</v>
      </c>
    </row>
    <row r="738" spans="2:20" x14ac:dyDescent="0.3">
      <c r="B738" s="48"/>
      <c r="C738" s="48"/>
      <c r="D738" s="10" t="str">
        <f t="shared" ca="1" si="73"/>
        <v/>
      </c>
      <c r="E738" s="48"/>
      <c r="F738" s="48"/>
      <c r="G738" s="10" t="str">
        <f t="shared" ca="1" si="79"/>
        <v/>
      </c>
      <c r="I738" s="10" t="str">
        <f t="shared" ca="1" si="74"/>
        <v/>
      </c>
      <c r="K738" s="4" t="e">
        <f t="shared" ca="1" si="75"/>
        <v>#N/A</v>
      </c>
      <c r="L738" s="4" t="e">
        <f>VLOOKUP(C738,_resources!B:D,3,0)</f>
        <v>#N/A</v>
      </c>
      <c r="M738" s="4" t="e" cm="1">
        <f t="array" aca="1" ref="M738" ca="1">IF(abbrAtEnd,"",L738&amp;"-")&amp;E738&amp;"-"&amp;INDIRECT(OFFSET(element3,MATCH($C738,resources,0)-1,0))&amp;"-"&amp;INDIRECT(OFFSET(element4,MATCH($C738,resources,0)-1,0))&amp;"-"&amp;INDIRECT(OFFSET(element5,MATCH($C738,resources,0)-1,0))&amp;IF(OFFSET(element6,MATCH($C738,resources,0)-1,0)="","","-"&amp;INDIRECT(OFFSET(element6,MATCH($C738,resources,0)-1,0)))&amp;IF(abbrAtEnd,"-"&amp;L738,"")</f>
        <v>#N/A</v>
      </c>
      <c r="N738" s="4" t="str">
        <f t="shared" si="78"/>
        <v>-000</v>
      </c>
      <c r="O738" s="4">
        <f ca="1">IF(totalElements+COUNTIF(Entities!$C$10,"*")+COUNTIF(B738:C738,"*")+COUNTIF(E738:F738,"*")=9,1,0)</f>
        <v>0</v>
      </c>
      <c r="P738" s="4">
        <f>COUNTIF($C$6:C738,C738)</f>
        <v>0</v>
      </c>
      <c r="Q738" s="4">
        <f ca="1">IF(ISNA(M738),0,COUNTIF($M$6:M738,M738))</f>
        <v>0</v>
      </c>
      <c r="R738" s="4" t="e">
        <f t="shared" ca="1" si="77"/>
        <v>#N/A</v>
      </c>
      <c r="S738" s="4">
        <f ca="1">IF(ISNA(M738),0,COUNTIF($R$6:R738,R738))</f>
        <v>0</v>
      </c>
      <c r="T738" s="4" t="e">
        <f t="shared" ca="1" si="76"/>
        <v>#N/A</v>
      </c>
    </row>
    <row r="739" spans="2:20" x14ac:dyDescent="0.3">
      <c r="B739" s="48"/>
      <c r="C739" s="48"/>
      <c r="D739" s="10" t="str">
        <f t="shared" ca="1" si="73"/>
        <v/>
      </c>
      <c r="E739" s="48"/>
      <c r="F739" s="48"/>
      <c r="G739" s="10" t="str">
        <f t="shared" ca="1" si="79"/>
        <v/>
      </c>
      <c r="I739" s="10" t="str">
        <f t="shared" ca="1" si="74"/>
        <v/>
      </c>
      <c r="K739" s="4" t="e">
        <f t="shared" ca="1" si="75"/>
        <v>#N/A</v>
      </c>
      <c r="L739" s="4" t="e">
        <f>VLOOKUP(C739,_resources!B:D,3,0)</f>
        <v>#N/A</v>
      </c>
      <c r="M739" s="4" t="e" cm="1">
        <f t="array" aca="1" ref="M739" ca="1">IF(abbrAtEnd,"",L739&amp;"-")&amp;E739&amp;"-"&amp;INDIRECT(OFFSET(element3,MATCH($C739,resources,0)-1,0))&amp;"-"&amp;INDIRECT(OFFSET(element4,MATCH($C739,resources,0)-1,0))&amp;"-"&amp;INDIRECT(OFFSET(element5,MATCH($C739,resources,0)-1,0))&amp;IF(OFFSET(element6,MATCH($C739,resources,0)-1,0)="","","-"&amp;INDIRECT(OFFSET(element6,MATCH($C739,resources,0)-1,0)))&amp;IF(abbrAtEnd,"-"&amp;L739,"")</f>
        <v>#N/A</v>
      </c>
      <c r="N739" s="4" t="str">
        <f t="shared" si="78"/>
        <v>-000</v>
      </c>
      <c r="O739" s="4">
        <f ca="1">IF(totalElements+COUNTIF(Entities!$C$10,"*")+COUNTIF(B739:C739,"*")+COUNTIF(E739:F739,"*")=9,1,0)</f>
        <v>0</v>
      </c>
      <c r="P739" s="4">
        <f>COUNTIF($C$6:C739,C739)</f>
        <v>0</v>
      </c>
      <c r="Q739" s="4">
        <f ca="1">IF(ISNA(M739),0,COUNTIF($M$6:M739,M739))</f>
        <v>0</v>
      </c>
      <c r="R739" s="4" t="e">
        <f t="shared" ca="1" si="77"/>
        <v>#N/A</v>
      </c>
      <c r="S739" s="4">
        <f ca="1">IF(ISNA(M739),0,COUNTIF($R$6:R739,R739))</f>
        <v>0</v>
      </c>
      <c r="T739" s="4" t="e">
        <f t="shared" ca="1" si="76"/>
        <v>#N/A</v>
      </c>
    </row>
    <row r="740" spans="2:20" x14ac:dyDescent="0.3">
      <c r="B740" s="48"/>
      <c r="C740" s="48"/>
      <c r="D740" s="10" t="str">
        <f t="shared" ca="1" si="73"/>
        <v/>
      </c>
      <c r="E740" s="48"/>
      <c r="F740" s="48"/>
      <c r="G740" s="10" t="str">
        <f t="shared" ca="1" si="79"/>
        <v/>
      </c>
      <c r="I740" s="10" t="str">
        <f t="shared" ca="1" si="74"/>
        <v/>
      </c>
      <c r="K740" s="4" t="e">
        <f t="shared" ca="1" si="75"/>
        <v>#N/A</v>
      </c>
      <c r="L740" s="4" t="e">
        <f>VLOOKUP(C740,_resources!B:D,3,0)</f>
        <v>#N/A</v>
      </c>
      <c r="M740" s="4" t="e" cm="1">
        <f t="array" aca="1" ref="M740" ca="1">IF(abbrAtEnd,"",L740&amp;"-")&amp;E740&amp;"-"&amp;INDIRECT(OFFSET(element3,MATCH($C740,resources,0)-1,0))&amp;"-"&amp;INDIRECT(OFFSET(element4,MATCH($C740,resources,0)-1,0))&amp;"-"&amp;INDIRECT(OFFSET(element5,MATCH($C740,resources,0)-1,0))&amp;IF(OFFSET(element6,MATCH($C740,resources,0)-1,0)="","","-"&amp;INDIRECT(OFFSET(element6,MATCH($C740,resources,0)-1,0)))&amp;IF(abbrAtEnd,"-"&amp;L740,"")</f>
        <v>#N/A</v>
      </c>
      <c r="N740" s="4" t="str">
        <f t="shared" si="78"/>
        <v>-000</v>
      </c>
      <c r="O740" s="4">
        <f ca="1">IF(totalElements+COUNTIF(Entities!$C$10,"*")+COUNTIF(B740:C740,"*")+COUNTIF(E740:F740,"*")=9,1,0)</f>
        <v>0</v>
      </c>
      <c r="P740" s="4">
        <f>COUNTIF($C$6:C740,C740)</f>
        <v>0</v>
      </c>
      <c r="Q740" s="4">
        <f ca="1">IF(ISNA(M740),0,COUNTIF($M$6:M740,M740))</f>
        <v>0</v>
      </c>
      <c r="R740" s="4" t="e">
        <f t="shared" ca="1" si="77"/>
        <v>#N/A</v>
      </c>
      <c r="S740" s="4">
        <f ca="1">IF(ISNA(M740),0,COUNTIF($R$6:R740,R740))</f>
        <v>0</v>
      </c>
      <c r="T740" s="4" t="e">
        <f t="shared" ca="1" si="76"/>
        <v>#N/A</v>
      </c>
    </row>
    <row r="741" spans="2:20" x14ac:dyDescent="0.3">
      <c r="B741" s="48"/>
      <c r="C741" s="48"/>
      <c r="D741" s="10" t="str">
        <f t="shared" ca="1" si="73"/>
        <v/>
      </c>
      <c r="E741" s="48"/>
      <c r="F741" s="48"/>
      <c r="G741" s="10" t="str">
        <f t="shared" ca="1" si="79"/>
        <v/>
      </c>
      <c r="I741" s="10" t="str">
        <f t="shared" ca="1" si="74"/>
        <v/>
      </c>
      <c r="K741" s="4" t="e">
        <f t="shared" ca="1" si="75"/>
        <v>#N/A</v>
      </c>
      <c r="L741" s="4" t="e">
        <f>VLOOKUP(C741,_resources!B:D,3,0)</f>
        <v>#N/A</v>
      </c>
      <c r="M741" s="4" t="e" cm="1">
        <f t="array" aca="1" ref="M741" ca="1">IF(abbrAtEnd,"",L741&amp;"-")&amp;E741&amp;"-"&amp;INDIRECT(OFFSET(element3,MATCH($C741,resources,0)-1,0))&amp;"-"&amp;INDIRECT(OFFSET(element4,MATCH($C741,resources,0)-1,0))&amp;"-"&amp;INDIRECT(OFFSET(element5,MATCH($C741,resources,0)-1,0))&amp;IF(OFFSET(element6,MATCH($C741,resources,0)-1,0)="","","-"&amp;INDIRECT(OFFSET(element6,MATCH($C741,resources,0)-1,0)))&amp;IF(abbrAtEnd,"-"&amp;L741,"")</f>
        <v>#N/A</v>
      </c>
      <c r="N741" s="4" t="str">
        <f t="shared" si="78"/>
        <v>-000</v>
      </c>
      <c r="O741" s="4">
        <f ca="1">IF(totalElements+COUNTIF(Entities!$C$10,"*")+COUNTIF(B741:C741,"*")+COUNTIF(E741:F741,"*")=9,1,0)</f>
        <v>0</v>
      </c>
      <c r="P741" s="4">
        <f>COUNTIF($C$6:C741,C741)</f>
        <v>0</v>
      </c>
      <c r="Q741" s="4">
        <f ca="1">IF(ISNA(M741),0,COUNTIF($M$6:M741,M741))</f>
        <v>0</v>
      </c>
      <c r="R741" s="4" t="e">
        <f t="shared" ca="1" si="77"/>
        <v>#N/A</v>
      </c>
      <c r="S741" s="4">
        <f ca="1">IF(ISNA(M741),0,COUNTIF($R$6:R741,R741))</f>
        <v>0</v>
      </c>
      <c r="T741" s="4" t="e">
        <f t="shared" ca="1" si="76"/>
        <v>#N/A</v>
      </c>
    </row>
    <row r="742" spans="2:20" x14ac:dyDescent="0.3">
      <c r="B742" s="48"/>
      <c r="C742" s="48"/>
      <c r="D742" s="10" t="str">
        <f t="shared" ca="1" si="73"/>
        <v/>
      </c>
      <c r="E742" s="48"/>
      <c r="F742" s="48"/>
      <c r="G742" s="10" t="str">
        <f t="shared" ca="1" si="79"/>
        <v/>
      </c>
      <c r="I742" s="10" t="str">
        <f t="shared" ca="1" si="74"/>
        <v/>
      </c>
      <c r="K742" s="4" t="e">
        <f t="shared" ca="1" si="75"/>
        <v>#N/A</v>
      </c>
      <c r="L742" s="4" t="e">
        <f>VLOOKUP(C742,_resources!B:D,3,0)</f>
        <v>#N/A</v>
      </c>
      <c r="M742" s="4" t="e" cm="1">
        <f t="array" aca="1" ref="M742" ca="1">IF(abbrAtEnd,"",L742&amp;"-")&amp;E742&amp;"-"&amp;INDIRECT(OFFSET(element3,MATCH($C742,resources,0)-1,0))&amp;"-"&amp;INDIRECT(OFFSET(element4,MATCH($C742,resources,0)-1,0))&amp;"-"&amp;INDIRECT(OFFSET(element5,MATCH($C742,resources,0)-1,0))&amp;IF(OFFSET(element6,MATCH($C742,resources,0)-1,0)="","","-"&amp;INDIRECT(OFFSET(element6,MATCH($C742,resources,0)-1,0)))&amp;IF(abbrAtEnd,"-"&amp;L742,"")</f>
        <v>#N/A</v>
      </c>
      <c r="N742" s="4" t="str">
        <f t="shared" si="78"/>
        <v>-000</v>
      </c>
      <c r="O742" s="4">
        <f ca="1">IF(totalElements+COUNTIF(Entities!$C$10,"*")+COUNTIF(B742:C742,"*")+COUNTIF(E742:F742,"*")=9,1,0)</f>
        <v>0</v>
      </c>
      <c r="P742" s="4">
        <f>COUNTIF($C$6:C742,C742)</f>
        <v>0</v>
      </c>
      <c r="Q742" s="4">
        <f ca="1">IF(ISNA(M742),0,COUNTIF($M$6:M742,M742))</f>
        <v>0</v>
      </c>
      <c r="R742" s="4" t="e">
        <f t="shared" ca="1" si="77"/>
        <v>#N/A</v>
      </c>
      <c r="S742" s="4">
        <f ca="1">IF(ISNA(M742),0,COUNTIF($R$6:R742,R742))</f>
        <v>0</v>
      </c>
      <c r="T742" s="4" t="e">
        <f t="shared" ca="1" si="76"/>
        <v>#N/A</v>
      </c>
    </row>
    <row r="743" spans="2:20" x14ac:dyDescent="0.3">
      <c r="B743" s="48"/>
      <c r="C743" s="48"/>
      <c r="D743" s="10" t="str">
        <f t="shared" ca="1" si="73"/>
        <v/>
      </c>
      <c r="E743" s="48"/>
      <c r="F743" s="48"/>
      <c r="G743" s="10" t="str">
        <f t="shared" ca="1" si="79"/>
        <v/>
      </c>
      <c r="I743" s="10" t="str">
        <f t="shared" ca="1" si="74"/>
        <v/>
      </c>
      <c r="K743" s="4" t="e">
        <f t="shared" ca="1" si="75"/>
        <v>#N/A</v>
      </c>
      <c r="L743" s="4" t="e">
        <f>VLOOKUP(C743,_resources!B:D,3,0)</f>
        <v>#N/A</v>
      </c>
      <c r="M743" s="4" t="e" cm="1">
        <f t="array" aca="1" ref="M743" ca="1">IF(abbrAtEnd,"",L743&amp;"-")&amp;E743&amp;"-"&amp;INDIRECT(OFFSET(element3,MATCH($C743,resources,0)-1,0))&amp;"-"&amp;INDIRECT(OFFSET(element4,MATCH($C743,resources,0)-1,0))&amp;"-"&amp;INDIRECT(OFFSET(element5,MATCH($C743,resources,0)-1,0))&amp;IF(OFFSET(element6,MATCH($C743,resources,0)-1,0)="","","-"&amp;INDIRECT(OFFSET(element6,MATCH($C743,resources,0)-1,0)))&amp;IF(abbrAtEnd,"-"&amp;L743,"")</f>
        <v>#N/A</v>
      </c>
      <c r="N743" s="4" t="str">
        <f t="shared" si="78"/>
        <v>-000</v>
      </c>
      <c r="O743" s="4">
        <f ca="1">IF(totalElements+COUNTIF(Entities!$C$10,"*")+COUNTIF(B743:C743,"*")+COUNTIF(E743:F743,"*")=9,1,0)</f>
        <v>0</v>
      </c>
      <c r="P743" s="4">
        <f>COUNTIF($C$6:C743,C743)</f>
        <v>0</v>
      </c>
      <c r="Q743" s="4">
        <f ca="1">IF(ISNA(M743),0,COUNTIF($M$6:M743,M743))</f>
        <v>0</v>
      </c>
      <c r="R743" s="4" t="e">
        <f t="shared" ca="1" si="77"/>
        <v>#N/A</v>
      </c>
      <c r="S743" s="4">
        <f ca="1">IF(ISNA(M743),0,COUNTIF($R$6:R743,R743))</f>
        <v>0</v>
      </c>
      <c r="T743" s="4" t="e">
        <f t="shared" ca="1" si="76"/>
        <v>#N/A</v>
      </c>
    </row>
    <row r="744" spans="2:20" x14ac:dyDescent="0.3">
      <c r="B744" s="48"/>
      <c r="C744" s="48"/>
      <c r="D744" s="10" t="str">
        <f t="shared" ca="1" si="73"/>
        <v/>
      </c>
      <c r="E744" s="48"/>
      <c r="F744" s="48"/>
      <c r="G744" s="10" t="str">
        <f t="shared" ca="1" si="79"/>
        <v/>
      </c>
      <c r="I744" s="10" t="str">
        <f t="shared" ca="1" si="74"/>
        <v/>
      </c>
      <c r="K744" s="4" t="e">
        <f t="shared" ca="1" si="75"/>
        <v>#N/A</v>
      </c>
      <c r="L744" s="4" t="e">
        <f>VLOOKUP(C744,_resources!B:D,3,0)</f>
        <v>#N/A</v>
      </c>
      <c r="M744" s="4" t="e" cm="1">
        <f t="array" aca="1" ref="M744" ca="1">IF(abbrAtEnd,"",L744&amp;"-")&amp;E744&amp;"-"&amp;INDIRECT(OFFSET(element3,MATCH($C744,resources,0)-1,0))&amp;"-"&amp;INDIRECT(OFFSET(element4,MATCH($C744,resources,0)-1,0))&amp;"-"&amp;INDIRECT(OFFSET(element5,MATCH($C744,resources,0)-1,0))&amp;IF(OFFSET(element6,MATCH($C744,resources,0)-1,0)="","","-"&amp;INDIRECT(OFFSET(element6,MATCH($C744,resources,0)-1,0)))&amp;IF(abbrAtEnd,"-"&amp;L744,"")</f>
        <v>#N/A</v>
      </c>
      <c r="N744" s="4" t="str">
        <f t="shared" si="78"/>
        <v>-000</v>
      </c>
      <c r="O744" s="4">
        <f ca="1">IF(totalElements+COUNTIF(Entities!$C$10,"*")+COUNTIF(B744:C744,"*")+COUNTIF(E744:F744,"*")=9,1,0)</f>
        <v>0</v>
      </c>
      <c r="P744" s="4">
        <f>COUNTIF($C$6:C744,C744)</f>
        <v>0</v>
      </c>
      <c r="Q744" s="4">
        <f ca="1">IF(ISNA(M744),0,COUNTIF($M$6:M744,M744))</f>
        <v>0</v>
      </c>
      <c r="R744" s="4" t="e">
        <f t="shared" ca="1" si="77"/>
        <v>#N/A</v>
      </c>
      <c r="S744" s="4">
        <f ca="1">IF(ISNA(M744),0,COUNTIF($R$6:R744,R744))</f>
        <v>0</v>
      </c>
      <c r="T744" s="4" t="e">
        <f t="shared" ca="1" si="76"/>
        <v>#N/A</v>
      </c>
    </row>
    <row r="745" spans="2:20" x14ac:dyDescent="0.3">
      <c r="B745" s="48"/>
      <c r="C745" s="48"/>
      <c r="D745" s="10" t="str">
        <f t="shared" ca="1" si="73"/>
        <v/>
      </c>
      <c r="E745" s="48"/>
      <c r="F745" s="48"/>
      <c r="G745" s="10" t="str">
        <f t="shared" ca="1" si="79"/>
        <v/>
      </c>
      <c r="I745" s="10" t="str">
        <f t="shared" ca="1" si="74"/>
        <v/>
      </c>
      <c r="K745" s="4" t="e">
        <f t="shared" ca="1" si="75"/>
        <v>#N/A</v>
      </c>
      <c r="L745" s="4" t="e">
        <f>VLOOKUP(C745,_resources!B:D,3,0)</f>
        <v>#N/A</v>
      </c>
      <c r="M745" s="4" t="e" cm="1">
        <f t="array" aca="1" ref="M745" ca="1">IF(abbrAtEnd,"",L745&amp;"-")&amp;E745&amp;"-"&amp;INDIRECT(OFFSET(element3,MATCH($C745,resources,0)-1,0))&amp;"-"&amp;INDIRECT(OFFSET(element4,MATCH($C745,resources,0)-1,0))&amp;"-"&amp;INDIRECT(OFFSET(element5,MATCH($C745,resources,0)-1,0))&amp;IF(OFFSET(element6,MATCH($C745,resources,0)-1,0)="","","-"&amp;INDIRECT(OFFSET(element6,MATCH($C745,resources,0)-1,0)))&amp;IF(abbrAtEnd,"-"&amp;L745,"")</f>
        <v>#N/A</v>
      </c>
      <c r="N745" s="4" t="str">
        <f t="shared" si="78"/>
        <v>-000</v>
      </c>
      <c r="O745" s="4">
        <f ca="1">IF(totalElements+COUNTIF(Entities!$C$10,"*")+COUNTIF(B745:C745,"*")+COUNTIF(E745:F745,"*")=9,1,0)</f>
        <v>0</v>
      </c>
      <c r="P745" s="4">
        <f>COUNTIF($C$6:C745,C745)</f>
        <v>0</v>
      </c>
      <c r="Q745" s="4">
        <f ca="1">IF(ISNA(M745),0,COUNTIF($M$6:M745,M745))</f>
        <v>0</v>
      </c>
      <c r="R745" s="4" t="e">
        <f t="shared" ca="1" si="77"/>
        <v>#N/A</v>
      </c>
      <c r="S745" s="4">
        <f ca="1">IF(ISNA(M745),0,COUNTIF($R$6:R745,R745))</f>
        <v>0</v>
      </c>
      <c r="T745" s="4" t="e">
        <f t="shared" ca="1" si="76"/>
        <v>#N/A</v>
      </c>
    </row>
    <row r="746" spans="2:20" x14ac:dyDescent="0.3">
      <c r="B746" s="48"/>
      <c r="C746" s="48"/>
      <c r="D746" s="10" t="str">
        <f t="shared" ca="1" si="73"/>
        <v/>
      </c>
      <c r="E746" s="48"/>
      <c r="F746" s="48"/>
      <c r="G746" s="10" t="str">
        <f t="shared" ca="1" si="79"/>
        <v/>
      </c>
      <c r="I746" s="10" t="str">
        <f t="shared" ca="1" si="74"/>
        <v/>
      </c>
      <c r="K746" s="4" t="e">
        <f t="shared" ca="1" si="75"/>
        <v>#N/A</v>
      </c>
      <c r="L746" s="4" t="e">
        <f>VLOOKUP(C746,_resources!B:D,3,0)</f>
        <v>#N/A</v>
      </c>
      <c r="M746" s="4" t="e" cm="1">
        <f t="array" aca="1" ref="M746" ca="1">IF(abbrAtEnd,"",L746&amp;"-")&amp;E746&amp;"-"&amp;INDIRECT(OFFSET(element3,MATCH($C746,resources,0)-1,0))&amp;"-"&amp;INDIRECT(OFFSET(element4,MATCH($C746,resources,0)-1,0))&amp;"-"&amp;INDIRECT(OFFSET(element5,MATCH($C746,resources,0)-1,0))&amp;IF(OFFSET(element6,MATCH($C746,resources,0)-1,0)="","","-"&amp;INDIRECT(OFFSET(element6,MATCH($C746,resources,0)-1,0)))&amp;IF(abbrAtEnd,"-"&amp;L746,"")</f>
        <v>#N/A</v>
      </c>
      <c r="N746" s="4" t="str">
        <f t="shared" si="78"/>
        <v>-000</v>
      </c>
      <c r="O746" s="4">
        <f ca="1">IF(totalElements+COUNTIF(Entities!$C$10,"*")+COUNTIF(B746:C746,"*")+COUNTIF(E746:F746,"*")=9,1,0)</f>
        <v>0</v>
      </c>
      <c r="P746" s="4">
        <f>COUNTIF($C$6:C746,C746)</f>
        <v>0</v>
      </c>
      <c r="Q746" s="4">
        <f ca="1">IF(ISNA(M746),0,COUNTIF($M$6:M746,M746))</f>
        <v>0</v>
      </c>
      <c r="R746" s="4" t="e">
        <f t="shared" ca="1" si="77"/>
        <v>#N/A</v>
      </c>
      <c r="S746" s="4">
        <f ca="1">IF(ISNA(M746),0,COUNTIF($R$6:R746,R746))</f>
        <v>0</v>
      </c>
      <c r="T746" s="4" t="e">
        <f t="shared" ca="1" si="76"/>
        <v>#N/A</v>
      </c>
    </row>
    <row r="747" spans="2:20" x14ac:dyDescent="0.3">
      <c r="B747" s="48"/>
      <c r="C747" s="48"/>
      <c r="D747" s="10" t="str">
        <f t="shared" ca="1" si="73"/>
        <v/>
      </c>
      <c r="E747" s="48"/>
      <c r="F747" s="48"/>
      <c r="G747" s="10" t="str">
        <f t="shared" ca="1" si="79"/>
        <v/>
      </c>
      <c r="I747" s="10" t="str">
        <f t="shared" ca="1" si="74"/>
        <v/>
      </c>
      <c r="K747" s="4" t="e">
        <f t="shared" ca="1" si="75"/>
        <v>#N/A</v>
      </c>
      <c r="L747" s="4" t="e">
        <f>VLOOKUP(C747,_resources!B:D,3,0)</f>
        <v>#N/A</v>
      </c>
      <c r="M747" s="4" t="e" cm="1">
        <f t="array" aca="1" ref="M747" ca="1">IF(abbrAtEnd,"",L747&amp;"-")&amp;E747&amp;"-"&amp;INDIRECT(OFFSET(element3,MATCH($C747,resources,0)-1,0))&amp;"-"&amp;INDIRECT(OFFSET(element4,MATCH($C747,resources,0)-1,0))&amp;"-"&amp;INDIRECT(OFFSET(element5,MATCH($C747,resources,0)-1,0))&amp;IF(OFFSET(element6,MATCH($C747,resources,0)-1,0)="","","-"&amp;INDIRECT(OFFSET(element6,MATCH($C747,resources,0)-1,0)))&amp;IF(abbrAtEnd,"-"&amp;L747,"")</f>
        <v>#N/A</v>
      </c>
      <c r="N747" s="4" t="str">
        <f t="shared" si="78"/>
        <v>-000</v>
      </c>
      <c r="O747" s="4">
        <f ca="1">IF(totalElements+COUNTIF(Entities!$C$10,"*")+COUNTIF(B747:C747,"*")+COUNTIF(E747:F747,"*")=9,1,0)</f>
        <v>0</v>
      </c>
      <c r="P747" s="4">
        <f>COUNTIF($C$6:C747,C747)</f>
        <v>0</v>
      </c>
      <c r="Q747" s="4">
        <f ca="1">IF(ISNA(M747),0,COUNTIF($M$6:M747,M747))</f>
        <v>0</v>
      </c>
      <c r="R747" s="4" t="e">
        <f t="shared" ca="1" si="77"/>
        <v>#N/A</v>
      </c>
      <c r="S747" s="4">
        <f ca="1">IF(ISNA(M747),0,COUNTIF($R$6:R747,R747))</f>
        <v>0</v>
      </c>
      <c r="T747" s="4" t="e">
        <f t="shared" ca="1" si="76"/>
        <v>#N/A</v>
      </c>
    </row>
    <row r="748" spans="2:20" x14ac:dyDescent="0.3">
      <c r="B748" s="48"/>
      <c r="C748" s="48"/>
      <c r="D748" s="10" t="str">
        <f t="shared" ca="1" si="73"/>
        <v/>
      </c>
      <c r="E748" s="48"/>
      <c r="F748" s="48"/>
      <c r="G748" s="10" t="str">
        <f t="shared" ca="1" si="79"/>
        <v/>
      </c>
      <c r="I748" s="10" t="str">
        <f t="shared" ca="1" si="74"/>
        <v/>
      </c>
      <c r="K748" s="4" t="e">
        <f t="shared" ca="1" si="75"/>
        <v>#N/A</v>
      </c>
      <c r="L748" s="4" t="e">
        <f>VLOOKUP(C748,_resources!B:D,3,0)</f>
        <v>#N/A</v>
      </c>
      <c r="M748" s="4" t="e" cm="1">
        <f t="array" aca="1" ref="M748" ca="1">IF(abbrAtEnd,"",L748&amp;"-")&amp;E748&amp;"-"&amp;INDIRECT(OFFSET(element3,MATCH($C748,resources,0)-1,0))&amp;"-"&amp;INDIRECT(OFFSET(element4,MATCH($C748,resources,0)-1,0))&amp;"-"&amp;INDIRECT(OFFSET(element5,MATCH($C748,resources,0)-1,0))&amp;IF(OFFSET(element6,MATCH($C748,resources,0)-1,0)="","","-"&amp;INDIRECT(OFFSET(element6,MATCH($C748,resources,0)-1,0)))&amp;IF(abbrAtEnd,"-"&amp;L748,"")</f>
        <v>#N/A</v>
      </c>
      <c r="N748" s="4" t="str">
        <f t="shared" si="78"/>
        <v>-000</v>
      </c>
      <c r="O748" s="4">
        <f ca="1">IF(totalElements+COUNTIF(Entities!$C$10,"*")+COUNTIF(B748:C748,"*")+COUNTIF(E748:F748,"*")=9,1,0)</f>
        <v>0</v>
      </c>
      <c r="P748" s="4">
        <f>COUNTIF($C$6:C748,C748)</f>
        <v>0</v>
      </c>
      <c r="Q748" s="4">
        <f ca="1">IF(ISNA(M748),0,COUNTIF($M$6:M748,M748))</f>
        <v>0</v>
      </c>
      <c r="R748" s="4" t="e">
        <f t="shared" ca="1" si="77"/>
        <v>#N/A</v>
      </c>
      <c r="S748" s="4">
        <f ca="1">IF(ISNA(M748),0,COUNTIF($R$6:R748,R748))</f>
        <v>0</v>
      </c>
      <c r="T748" s="4" t="e">
        <f t="shared" ca="1" si="76"/>
        <v>#N/A</v>
      </c>
    </row>
    <row r="749" spans="2:20" x14ac:dyDescent="0.3">
      <c r="B749" s="48"/>
      <c r="C749" s="48"/>
      <c r="D749" s="10" t="str">
        <f t="shared" ca="1" si="73"/>
        <v/>
      </c>
      <c r="E749" s="48"/>
      <c r="F749" s="48"/>
      <c r="G749" s="10" t="str">
        <f t="shared" ca="1" si="79"/>
        <v/>
      </c>
      <c r="I749" s="10" t="str">
        <f t="shared" ca="1" si="74"/>
        <v/>
      </c>
      <c r="K749" s="4" t="e">
        <f t="shared" ca="1" si="75"/>
        <v>#N/A</v>
      </c>
      <c r="L749" s="4" t="e">
        <f>VLOOKUP(C749,_resources!B:D,3,0)</f>
        <v>#N/A</v>
      </c>
      <c r="M749" s="4" t="e" cm="1">
        <f t="array" aca="1" ref="M749" ca="1">IF(abbrAtEnd,"",L749&amp;"-")&amp;E749&amp;"-"&amp;INDIRECT(OFFSET(element3,MATCH($C749,resources,0)-1,0))&amp;"-"&amp;INDIRECT(OFFSET(element4,MATCH($C749,resources,0)-1,0))&amp;"-"&amp;INDIRECT(OFFSET(element5,MATCH($C749,resources,0)-1,0))&amp;IF(OFFSET(element6,MATCH($C749,resources,0)-1,0)="","","-"&amp;INDIRECT(OFFSET(element6,MATCH($C749,resources,0)-1,0)))&amp;IF(abbrAtEnd,"-"&amp;L749,"")</f>
        <v>#N/A</v>
      </c>
      <c r="N749" s="4" t="str">
        <f t="shared" si="78"/>
        <v>-000</v>
      </c>
      <c r="O749" s="4">
        <f ca="1">IF(totalElements+COUNTIF(Entities!$C$10,"*")+COUNTIF(B749:C749,"*")+COUNTIF(E749:F749,"*")=9,1,0)</f>
        <v>0</v>
      </c>
      <c r="P749" s="4">
        <f>COUNTIF($C$6:C749,C749)</f>
        <v>0</v>
      </c>
      <c r="Q749" s="4">
        <f ca="1">IF(ISNA(M749),0,COUNTIF($M$6:M749,M749))</f>
        <v>0</v>
      </c>
      <c r="R749" s="4" t="e">
        <f t="shared" ca="1" si="77"/>
        <v>#N/A</v>
      </c>
      <c r="S749" s="4">
        <f ca="1">IF(ISNA(M749),0,COUNTIF($R$6:R749,R749))</f>
        <v>0</v>
      </c>
      <c r="T749" s="4" t="e">
        <f t="shared" ca="1" si="76"/>
        <v>#N/A</v>
      </c>
    </row>
    <row r="750" spans="2:20" x14ac:dyDescent="0.3">
      <c r="B750" s="48"/>
      <c r="C750" s="48"/>
      <c r="D750" s="10" t="str">
        <f t="shared" ca="1" si="73"/>
        <v/>
      </c>
      <c r="E750" s="48"/>
      <c r="F750" s="48"/>
      <c r="G750" s="10" t="str">
        <f t="shared" ca="1" si="79"/>
        <v/>
      </c>
      <c r="I750" s="10" t="str">
        <f t="shared" ca="1" si="74"/>
        <v/>
      </c>
      <c r="K750" s="4" t="e">
        <f t="shared" ca="1" si="75"/>
        <v>#N/A</v>
      </c>
      <c r="L750" s="4" t="e">
        <f>VLOOKUP(C750,_resources!B:D,3,0)</f>
        <v>#N/A</v>
      </c>
      <c r="M750" s="4" t="e" cm="1">
        <f t="array" aca="1" ref="M750" ca="1">IF(abbrAtEnd,"",L750&amp;"-")&amp;E750&amp;"-"&amp;INDIRECT(OFFSET(element3,MATCH($C750,resources,0)-1,0))&amp;"-"&amp;INDIRECT(OFFSET(element4,MATCH($C750,resources,0)-1,0))&amp;"-"&amp;INDIRECT(OFFSET(element5,MATCH($C750,resources,0)-1,0))&amp;IF(OFFSET(element6,MATCH($C750,resources,0)-1,0)="","","-"&amp;INDIRECT(OFFSET(element6,MATCH($C750,resources,0)-1,0)))&amp;IF(abbrAtEnd,"-"&amp;L750,"")</f>
        <v>#N/A</v>
      </c>
      <c r="N750" s="4" t="str">
        <f t="shared" si="78"/>
        <v>-000</v>
      </c>
      <c r="O750" s="4">
        <f ca="1">IF(totalElements+COUNTIF(Entities!$C$10,"*")+COUNTIF(B750:C750,"*")+COUNTIF(E750:F750,"*")=9,1,0)</f>
        <v>0</v>
      </c>
      <c r="P750" s="4">
        <f>COUNTIF($C$6:C750,C750)</f>
        <v>0</v>
      </c>
      <c r="Q750" s="4">
        <f ca="1">IF(ISNA(M750),0,COUNTIF($M$6:M750,M750))</f>
        <v>0</v>
      </c>
      <c r="R750" s="4" t="e">
        <f t="shared" ca="1" si="77"/>
        <v>#N/A</v>
      </c>
      <c r="S750" s="4">
        <f ca="1">IF(ISNA(M750),0,COUNTIF($R$6:R750,R750))</f>
        <v>0</v>
      </c>
      <c r="T750" s="4" t="e">
        <f t="shared" ca="1" si="76"/>
        <v>#N/A</v>
      </c>
    </row>
    <row r="751" spans="2:20" x14ac:dyDescent="0.3">
      <c r="B751" s="48"/>
      <c r="C751" s="48"/>
      <c r="D751" s="10" t="str">
        <f t="shared" ca="1" si="73"/>
        <v/>
      </c>
      <c r="E751" s="48"/>
      <c r="F751" s="48"/>
      <c r="G751" s="10" t="str">
        <f t="shared" ca="1" si="79"/>
        <v/>
      </c>
      <c r="I751" s="10" t="str">
        <f t="shared" ca="1" si="74"/>
        <v/>
      </c>
      <c r="K751" s="4" t="e">
        <f t="shared" ca="1" si="75"/>
        <v>#N/A</v>
      </c>
      <c r="L751" s="4" t="e">
        <f>VLOOKUP(C751,_resources!B:D,3,0)</f>
        <v>#N/A</v>
      </c>
      <c r="M751" s="4" t="e" cm="1">
        <f t="array" aca="1" ref="M751" ca="1">IF(abbrAtEnd,"",L751&amp;"-")&amp;E751&amp;"-"&amp;INDIRECT(OFFSET(element3,MATCH($C751,resources,0)-1,0))&amp;"-"&amp;INDIRECT(OFFSET(element4,MATCH($C751,resources,0)-1,0))&amp;"-"&amp;INDIRECT(OFFSET(element5,MATCH($C751,resources,0)-1,0))&amp;IF(OFFSET(element6,MATCH($C751,resources,0)-1,0)="","","-"&amp;INDIRECT(OFFSET(element6,MATCH($C751,resources,0)-1,0)))&amp;IF(abbrAtEnd,"-"&amp;L751,"")</f>
        <v>#N/A</v>
      </c>
      <c r="N751" s="4" t="str">
        <f t="shared" si="78"/>
        <v>-000</v>
      </c>
      <c r="O751" s="4">
        <f ca="1">IF(totalElements+COUNTIF(Entities!$C$10,"*")+COUNTIF(B751:C751,"*")+COUNTIF(E751:F751,"*")=9,1,0)</f>
        <v>0</v>
      </c>
      <c r="P751" s="4">
        <f>COUNTIF($C$6:C751,C751)</f>
        <v>0</v>
      </c>
      <c r="Q751" s="4">
        <f ca="1">IF(ISNA(M751),0,COUNTIF($M$6:M751,M751))</f>
        <v>0</v>
      </c>
      <c r="R751" s="4" t="e">
        <f t="shared" ca="1" si="77"/>
        <v>#N/A</v>
      </c>
      <c r="S751" s="4">
        <f ca="1">IF(ISNA(M751),0,COUNTIF($R$6:R751,R751))</f>
        <v>0</v>
      </c>
      <c r="T751" s="4" t="e">
        <f t="shared" ca="1" si="76"/>
        <v>#N/A</v>
      </c>
    </row>
    <row r="752" spans="2:20" x14ac:dyDescent="0.3">
      <c r="B752" s="48"/>
      <c r="C752" s="48"/>
      <c r="D752" s="10" t="str">
        <f t="shared" ca="1" si="73"/>
        <v/>
      </c>
      <c r="E752" s="48"/>
      <c r="F752" s="48"/>
      <c r="G752" s="10" t="str">
        <f t="shared" ca="1" si="79"/>
        <v/>
      </c>
      <c r="I752" s="10" t="str">
        <f t="shared" ca="1" si="74"/>
        <v/>
      </c>
      <c r="K752" s="4" t="e">
        <f t="shared" ca="1" si="75"/>
        <v>#N/A</v>
      </c>
      <c r="L752" s="4" t="e">
        <f>VLOOKUP(C752,_resources!B:D,3,0)</f>
        <v>#N/A</v>
      </c>
      <c r="M752" s="4" t="e" cm="1">
        <f t="array" aca="1" ref="M752" ca="1">IF(abbrAtEnd,"",L752&amp;"-")&amp;E752&amp;"-"&amp;INDIRECT(OFFSET(element3,MATCH($C752,resources,0)-1,0))&amp;"-"&amp;INDIRECT(OFFSET(element4,MATCH($C752,resources,0)-1,0))&amp;"-"&amp;INDIRECT(OFFSET(element5,MATCH($C752,resources,0)-1,0))&amp;IF(OFFSET(element6,MATCH($C752,resources,0)-1,0)="","","-"&amp;INDIRECT(OFFSET(element6,MATCH($C752,resources,0)-1,0)))&amp;IF(abbrAtEnd,"-"&amp;L752,"")</f>
        <v>#N/A</v>
      </c>
      <c r="N752" s="4" t="str">
        <f t="shared" si="78"/>
        <v>-000</v>
      </c>
      <c r="O752" s="4">
        <f ca="1">IF(totalElements+COUNTIF(Entities!$C$10,"*")+COUNTIF(B752:C752,"*")+COUNTIF(E752:F752,"*")=9,1,0)</f>
        <v>0</v>
      </c>
      <c r="P752" s="4">
        <f>COUNTIF($C$6:C752,C752)</f>
        <v>0</v>
      </c>
      <c r="Q752" s="4">
        <f ca="1">IF(ISNA(M752),0,COUNTIF($M$6:M752,M752))</f>
        <v>0</v>
      </c>
      <c r="R752" s="4" t="e">
        <f t="shared" ca="1" si="77"/>
        <v>#N/A</v>
      </c>
      <c r="S752" s="4">
        <f ca="1">IF(ISNA(M752),0,COUNTIF($R$6:R752,R752))</f>
        <v>0</v>
      </c>
      <c r="T752" s="4" t="e">
        <f t="shared" ca="1" si="76"/>
        <v>#N/A</v>
      </c>
    </row>
    <row r="753" spans="2:20" x14ac:dyDescent="0.3">
      <c r="B753" s="48"/>
      <c r="C753" s="48"/>
      <c r="D753" s="10" t="str">
        <f t="shared" ref="D753:D816" ca="1" si="80">IF(ISBLANK(C753),"",OFFSET(element2,MATCH($C753,resources,0)-1,0))</f>
        <v/>
      </c>
      <c r="E753" s="48"/>
      <c r="F753" s="48"/>
      <c r="G753" s="10" t="str">
        <f t="shared" ca="1" si="79"/>
        <v/>
      </c>
      <c r="I753" s="10" t="str">
        <f t="shared" ref="I753:I816" ca="1" si="81">IF(O753,IF(LEN(G753)&gt;T753,"Name too Long (length: "&amp;LEN(G753)&amp;", max. "&amp;T753&amp;")","None"),"")</f>
        <v/>
      </c>
      <c r="K753" s="4" t="e">
        <f t="shared" ca="1" si="75"/>
        <v>#N/A</v>
      </c>
      <c r="L753" s="4" t="e">
        <f>VLOOKUP(C753,_resources!B:D,3,0)</f>
        <v>#N/A</v>
      </c>
      <c r="M753" s="4" t="e" cm="1">
        <f t="array" aca="1" ref="M753" ca="1">IF(abbrAtEnd,"",L753&amp;"-")&amp;E753&amp;"-"&amp;INDIRECT(OFFSET(element3,MATCH($C753,resources,0)-1,0))&amp;"-"&amp;INDIRECT(OFFSET(element4,MATCH($C753,resources,0)-1,0))&amp;"-"&amp;INDIRECT(OFFSET(element5,MATCH($C753,resources,0)-1,0))&amp;IF(OFFSET(element6,MATCH($C753,resources,0)-1,0)="","","-"&amp;INDIRECT(OFFSET(element6,MATCH($C753,resources,0)-1,0)))&amp;IF(abbrAtEnd,"-"&amp;L753,"")</f>
        <v>#N/A</v>
      </c>
      <c r="N753" s="4" t="str">
        <f t="shared" si="78"/>
        <v>-000</v>
      </c>
      <c r="O753" s="4">
        <f ca="1">IF(totalElements+COUNTIF(Entities!$C$10,"*")+COUNTIF(B753:C753,"*")+COUNTIF(E753:F753,"*")=9,1,0)</f>
        <v>0</v>
      </c>
      <c r="P753" s="4">
        <f>COUNTIF($C$6:C753,C753)</f>
        <v>0</v>
      </c>
      <c r="Q753" s="4">
        <f ca="1">IF(ISNA(M753),0,COUNTIF($M$6:M753,M753))</f>
        <v>0</v>
      </c>
      <c r="R753" s="4" t="e">
        <f t="shared" ca="1" si="77"/>
        <v>#N/A</v>
      </c>
      <c r="S753" s="4">
        <f ca="1">IF(ISNA(M753),0,COUNTIF($R$6:R753,R753))</f>
        <v>0</v>
      </c>
      <c r="T753" s="4" t="e">
        <f t="shared" ca="1" si="76"/>
        <v>#N/A</v>
      </c>
    </row>
    <row r="754" spans="2:20" x14ac:dyDescent="0.3">
      <c r="B754" s="48"/>
      <c r="C754" s="48"/>
      <c r="D754" s="10" t="str">
        <f t="shared" ca="1" si="80"/>
        <v/>
      </c>
      <c r="E754" s="48"/>
      <c r="F754" s="48"/>
      <c r="G754" s="10" t="str">
        <f t="shared" ca="1" si="79"/>
        <v/>
      </c>
      <c r="I754" s="10" t="str">
        <f t="shared" ca="1" si="81"/>
        <v/>
      </c>
      <c r="K754" s="4" t="e">
        <f t="shared" ca="1" si="75"/>
        <v>#N/A</v>
      </c>
      <c r="L754" s="4" t="e">
        <f>VLOOKUP(C754,_resources!B:D,3,0)</f>
        <v>#N/A</v>
      </c>
      <c r="M754" s="4" t="e" cm="1">
        <f t="array" aca="1" ref="M754" ca="1">IF(abbrAtEnd,"",L754&amp;"-")&amp;E754&amp;"-"&amp;INDIRECT(OFFSET(element3,MATCH($C754,resources,0)-1,0))&amp;"-"&amp;INDIRECT(OFFSET(element4,MATCH($C754,resources,0)-1,0))&amp;"-"&amp;INDIRECT(OFFSET(element5,MATCH($C754,resources,0)-1,0))&amp;IF(OFFSET(element6,MATCH($C754,resources,0)-1,0)="","","-"&amp;INDIRECT(OFFSET(element6,MATCH($C754,resources,0)-1,0)))&amp;IF(abbrAtEnd,"-"&amp;L754,"")</f>
        <v>#N/A</v>
      </c>
      <c r="N754" s="4" t="str">
        <f t="shared" si="78"/>
        <v>-000</v>
      </c>
      <c r="O754" s="4">
        <f ca="1">IF(totalElements+COUNTIF(Entities!$C$10,"*")+COUNTIF(B754:C754,"*")+COUNTIF(E754:F754,"*")=9,1,0)</f>
        <v>0</v>
      </c>
      <c r="P754" s="4">
        <f>COUNTIF($C$6:C754,C754)</f>
        <v>0</v>
      </c>
      <c r="Q754" s="4">
        <f ca="1">IF(ISNA(M754),0,COUNTIF($M$6:M754,M754))</f>
        <v>0</v>
      </c>
      <c r="R754" s="4" t="e">
        <f t="shared" ca="1" si="77"/>
        <v>#N/A</v>
      </c>
      <c r="S754" s="4">
        <f ca="1">IF(ISNA(M754),0,COUNTIF($R$6:R754,R754))</f>
        <v>0</v>
      </c>
      <c r="T754" s="4" t="e">
        <f t="shared" ca="1" si="76"/>
        <v>#N/A</v>
      </c>
    </row>
    <row r="755" spans="2:20" x14ac:dyDescent="0.3">
      <c r="B755" s="48"/>
      <c r="C755" s="48"/>
      <c r="D755" s="10" t="str">
        <f t="shared" ca="1" si="80"/>
        <v/>
      </c>
      <c r="E755" s="48"/>
      <c r="F755" s="48"/>
      <c r="G755" s="10" t="str">
        <f t="shared" ca="1" si="79"/>
        <v/>
      </c>
      <c r="I755" s="10" t="str">
        <f t="shared" ca="1" si="81"/>
        <v/>
      </c>
      <c r="K755" s="4" t="e">
        <f t="shared" ca="1" si="75"/>
        <v>#N/A</v>
      </c>
      <c r="L755" s="4" t="e">
        <f>VLOOKUP(C755,_resources!B:D,3,0)</f>
        <v>#N/A</v>
      </c>
      <c r="M755" s="4" t="e" cm="1">
        <f t="array" aca="1" ref="M755" ca="1">IF(abbrAtEnd,"",L755&amp;"-")&amp;E755&amp;"-"&amp;INDIRECT(OFFSET(element3,MATCH($C755,resources,0)-1,0))&amp;"-"&amp;INDIRECT(OFFSET(element4,MATCH($C755,resources,0)-1,0))&amp;"-"&amp;INDIRECT(OFFSET(element5,MATCH($C755,resources,0)-1,0))&amp;IF(OFFSET(element6,MATCH($C755,resources,0)-1,0)="","","-"&amp;INDIRECT(OFFSET(element6,MATCH($C755,resources,0)-1,0)))&amp;IF(abbrAtEnd,"-"&amp;L755,"")</f>
        <v>#N/A</v>
      </c>
      <c r="N755" s="4" t="str">
        <f t="shared" si="78"/>
        <v>-000</v>
      </c>
      <c r="O755" s="4">
        <f ca="1">IF(totalElements+COUNTIF(Entities!$C$10,"*")+COUNTIF(B755:C755,"*")+COUNTIF(E755:F755,"*")=9,1,0)</f>
        <v>0</v>
      </c>
      <c r="P755" s="4">
        <f>COUNTIF($C$6:C755,C755)</f>
        <v>0</v>
      </c>
      <c r="Q755" s="4">
        <f ca="1">IF(ISNA(M755),0,COUNTIF($M$6:M755,M755))</f>
        <v>0</v>
      </c>
      <c r="R755" s="4" t="e">
        <f t="shared" ca="1" si="77"/>
        <v>#N/A</v>
      </c>
      <c r="S755" s="4">
        <f ca="1">IF(ISNA(M755),0,COUNTIF($R$6:R755,R755))</f>
        <v>0</v>
      </c>
      <c r="T755" s="4" t="e">
        <f t="shared" ca="1" si="76"/>
        <v>#N/A</v>
      </c>
    </row>
    <row r="756" spans="2:20" x14ac:dyDescent="0.3">
      <c r="B756" s="48"/>
      <c r="C756" s="48"/>
      <c r="D756" s="10" t="str">
        <f t="shared" ca="1" si="80"/>
        <v/>
      </c>
      <c r="E756" s="48"/>
      <c r="F756" s="48"/>
      <c r="G756" s="10" t="str">
        <f t="shared" ca="1" si="79"/>
        <v/>
      </c>
      <c r="I756" s="10" t="str">
        <f t="shared" ca="1" si="81"/>
        <v/>
      </c>
      <c r="K756" s="4" t="e">
        <f t="shared" ca="1" si="75"/>
        <v>#N/A</v>
      </c>
      <c r="L756" s="4" t="e">
        <f>VLOOKUP(C756,_resources!B:D,3,0)</f>
        <v>#N/A</v>
      </c>
      <c r="M756" s="4" t="e" cm="1">
        <f t="array" aca="1" ref="M756" ca="1">IF(abbrAtEnd,"",L756&amp;"-")&amp;E756&amp;"-"&amp;INDIRECT(OFFSET(element3,MATCH($C756,resources,0)-1,0))&amp;"-"&amp;INDIRECT(OFFSET(element4,MATCH($C756,resources,0)-1,0))&amp;"-"&amp;INDIRECT(OFFSET(element5,MATCH($C756,resources,0)-1,0))&amp;IF(OFFSET(element6,MATCH($C756,resources,0)-1,0)="","","-"&amp;INDIRECT(OFFSET(element6,MATCH($C756,resources,0)-1,0)))&amp;IF(abbrAtEnd,"-"&amp;L756,"")</f>
        <v>#N/A</v>
      </c>
      <c r="N756" s="4" t="str">
        <f t="shared" si="78"/>
        <v>-000</v>
      </c>
      <c r="O756" s="4">
        <f ca="1">IF(totalElements+COUNTIF(Entities!$C$10,"*")+COUNTIF(B756:C756,"*")+COUNTIF(E756:F756,"*")=9,1,0)</f>
        <v>0</v>
      </c>
      <c r="P756" s="4">
        <f>COUNTIF($C$6:C756,C756)</f>
        <v>0</v>
      </c>
      <c r="Q756" s="4">
        <f ca="1">IF(ISNA(M756),0,COUNTIF($M$6:M756,M756))</f>
        <v>0</v>
      </c>
      <c r="R756" s="4" t="e">
        <f t="shared" ca="1" si="77"/>
        <v>#N/A</v>
      </c>
      <c r="S756" s="4">
        <f ca="1">IF(ISNA(M756),0,COUNTIF($R$6:R756,R756))</f>
        <v>0</v>
      </c>
      <c r="T756" s="4" t="e">
        <f t="shared" ca="1" si="76"/>
        <v>#N/A</v>
      </c>
    </row>
    <row r="757" spans="2:20" x14ac:dyDescent="0.3">
      <c r="B757" s="48"/>
      <c r="C757" s="48"/>
      <c r="D757" s="10" t="str">
        <f t="shared" ca="1" si="80"/>
        <v/>
      </c>
      <c r="E757" s="48"/>
      <c r="F757" s="48"/>
      <c r="G757" s="10" t="str">
        <f t="shared" ca="1" si="79"/>
        <v/>
      </c>
      <c r="I757" s="10" t="str">
        <f t="shared" ca="1" si="81"/>
        <v/>
      </c>
      <c r="K757" s="4" t="e">
        <f t="shared" ca="1" si="75"/>
        <v>#N/A</v>
      </c>
      <c r="L757" s="4" t="e">
        <f>VLOOKUP(C757,_resources!B:D,3,0)</f>
        <v>#N/A</v>
      </c>
      <c r="M757" s="4" t="e" cm="1">
        <f t="array" aca="1" ref="M757" ca="1">IF(abbrAtEnd,"",L757&amp;"-")&amp;E757&amp;"-"&amp;INDIRECT(OFFSET(element3,MATCH($C757,resources,0)-1,0))&amp;"-"&amp;INDIRECT(OFFSET(element4,MATCH($C757,resources,0)-1,0))&amp;"-"&amp;INDIRECT(OFFSET(element5,MATCH($C757,resources,0)-1,0))&amp;IF(OFFSET(element6,MATCH($C757,resources,0)-1,0)="","","-"&amp;INDIRECT(OFFSET(element6,MATCH($C757,resources,0)-1,0)))&amp;IF(abbrAtEnd,"-"&amp;L757,"")</f>
        <v>#N/A</v>
      </c>
      <c r="N757" s="4" t="str">
        <f t="shared" si="78"/>
        <v>-000</v>
      </c>
      <c r="O757" s="4">
        <f ca="1">IF(totalElements+COUNTIF(Entities!$C$10,"*")+COUNTIF(B757:C757,"*")+COUNTIF(E757:F757,"*")=9,1,0)</f>
        <v>0</v>
      </c>
      <c r="P757" s="4">
        <f>COUNTIF($C$6:C757,C757)</f>
        <v>0</v>
      </c>
      <c r="Q757" s="4">
        <f ca="1">IF(ISNA(M757),0,COUNTIF($M$6:M757,M757))</f>
        <v>0</v>
      </c>
      <c r="R757" s="4" t="e">
        <f t="shared" ca="1" si="77"/>
        <v>#N/A</v>
      </c>
      <c r="S757" s="4">
        <f ca="1">IF(ISNA(M757),0,COUNTIF($R$6:R757,R757))</f>
        <v>0</v>
      </c>
      <c r="T757" s="4" t="e">
        <f t="shared" ca="1" si="76"/>
        <v>#N/A</v>
      </c>
    </row>
    <row r="758" spans="2:20" x14ac:dyDescent="0.3">
      <c r="B758" s="48"/>
      <c r="C758" s="48"/>
      <c r="D758" s="10" t="str">
        <f t="shared" ca="1" si="80"/>
        <v/>
      </c>
      <c r="E758" s="48"/>
      <c r="F758" s="48"/>
      <c r="G758" s="10" t="str">
        <f t="shared" ca="1" si="79"/>
        <v/>
      </c>
      <c r="I758" s="10" t="str">
        <f t="shared" ca="1" si="81"/>
        <v/>
      </c>
      <c r="K758" s="4" t="e">
        <f t="shared" ca="1" si="75"/>
        <v>#N/A</v>
      </c>
      <c r="L758" s="4" t="e">
        <f>VLOOKUP(C758,_resources!B:D,3,0)</f>
        <v>#N/A</v>
      </c>
      <c r="M758" s="4" t="e" cm="1">
        <f t="array" aca="1" ref="M758" ca="1">IF(abbrAtEnd,"",L758&amp;"-")&amp;E758&amp;"-"&amp;INDIRECT(OFFSET(element3,MATCH($C758,resources,0)-1,0))&amp;"-"&amp;INDIRECT(OFFSET(element4,MATCH($C758,resources,0)-1,0))&amp;"-"&amp;INDIRECT(OFFSET(element5,MATCH($C758,resources,0)-1,0))&amp;IF(OFFSET(element6,MATCH($C758,resources,0)-1,0)="","","-"&amp;INDIRECT(OFFSET(element6,MATCH($C758,resources,0)-1,0)))&amp;IF(abbrAtEnd,"-"&amp;L758,"")</f>
        <v>#N/A</v>
      </c>
      <c r="N758" s="4" t="str">
        <f t="shared" si="78"/>
        <v>-000</v>
      </c>
      <c r="O758" s="4">
        <f ca="1">IF(totalElements+COUNTIF(Entities!$C$10,"*")+COUNTIF(B758:C758,"*")+COUNTIF(E758:F758,"*")=9,1,0)</f>
        <v>0</v>
      </c>
      <c r="P758" s="4">
        <f>COUNTIF($C$6:C758,C758)</f>
        <v>0</v>
      </c>
      <c r="Q758" s="4">
        <f ca="1">IF(ISNA(M758),0,COUNTIF($M$6:M758,M758))</f>
        <v>0</v>
      </c>
      <c r="R758" s="4" t="e">
        <f t="shared" ca="1" si="77"/>
        <v>#N/A</v>
      </c>
      <c r="S758" s="4">
        <f ca="1">IF(ISNA(M758),0,COUNTIF($R$6:R758,R758))</f>
        <v>0</v>
      </c>
      <c r="T758" s="4" t="e">
        <f t="shared" ca="1" si="76"/>
        <v>#N/A</v>
      </c>
    </row>
    <row r="759" spans="2:20" x14ac:dyDescent="0.3">
      <c r="B759" s="48"/>
      <c r="C759" s="48"/>
      <c r="D759" s="10" t="str">
        <f t="shared" ca="1" si="80"/>
        <v/>
      </c>
      <c r="E759" s="48"/>
      <c r="F759" s="48"/>
      <c r="G759" s="10" t="str">
        <f t="shared" ca="1" si="79"/>
        <v/>
      </c>
      <c r="I759" s="10" t="str">
        <f t="shared" ca="1" si="81"/>
        <v/>
      </c>
      <c r="K759" s="4" t="e">
        <f t="shared" ca="1" si="75"/>
        <v>#N/A</v>
      </c>
      <c r="L759" s="4" t="e">
        <f>VLOOKUP(C759,_resources!B:D,3,0)</f>
        <v>#N/A</v>
      </c>
      <c r="M759" s="4" t="e" cm="1">
        <f t="array" aca="1" ref="M759" ca="1">IF(abbrAtEnd,"",L759&amp;"-")&amp;E759&amp;"-"&amp;INDIRECT(OFFSET(element3,MATCH($C759,resources,0)-1,0))&amp;"-"&amp;INDIRECT(OFFSET(element4,MATCH($C759,resources,0)-1,0))&amp;"-"&amp;INDIRECT(OFFSET(element5,MATCH($C759,resources,0)-1,0))&amp;IF(OFFSET(element6,MATCH($C759,resources,0)-1,0)="","","-"&amp;INDIRECT(OFFSET(element6,MATCH($C759,resources,0)-1,0)))&amp;IF(abbrAtEnd,"-"&amp;L759,"")</f>
        <v>#N/A</v>
      </c>
      <c r="N759" s="4" t="str">
        <f t="shared" si="78"/>
        <v>-000</v>
      </c>
      <c r="O759" s="4">
        <f ca="1">IF(totalElements+COUNTIF(Entities!$C$10,"*")+COUNTIF(B759:C759,"*")+COUNTIF(E759:F759,"*")=9,1,0)</f>
        <v>0</v>
      </c>
      <c r="P759" s="4">
        <f>COUNTIF($C$6:C759,C759)</f>
        <v>0</v>
      </c>
      <c r="Q759" s="4">
        <f ca="1">IF(ISNA(M759),0,COUNTIF($M$6:M759,M759))</f>
        <v>0</v>
      </c>
      <c r="R759" s="4" t="e">
        <f t="shared" ca="1" si="77"/>
        <v>#N/A</v>
      </c>
      <c r="S759" s="4">
        <f ca="1">IF(ISNA(M759),0,COUNTIF($R$6:R759,R759))</f>
        <v>0</v>
      </c>
      <c r="T759" s="4" t="e">
        <f t="shared" ca="1" si="76"/>
        <v>#N/A</v>
      </c>
    </row>
    <row r="760" spans="2:20" x14ac:dyDescent="0.3">
      <c r="B760" s="48"/>
      <c r="C760" s="48"/>
      <c r="D760" s="10" t="str">
        <f t="shared" ca="1" si="80"/>
        <v/>
      </c>
      <c r="E760" s="48"/>
      <c r="F760" s="48"/>
      <c r="G760" s="10" t="str">
        <f t="shared" ca="1" si="79"/>
        <v/>
      </c>
      <c r="I760" s="10" t="str">
        <f t="shared" ca="1" si="81"/>
        <v/>
      </c>
      <c r="K760" s="4" t="e">
        <f t="shared" ca="1" si="75"/>
        <v>#N/A</v>
      </c>
      <c r="L760" s="4" t="e">
        <f>VLOOKUP(C760,_resources!B:D,3,0)</f>
        <v>#N/A</v>
      </c>
      <c r="M760" s="4" t="e" cm="1">
        <f t="array" aca="1" ref="M760" ca="1">IF(abbrAtEnd,"",L760&amp;"-")&amp;E760&amp;"-"&amp;INDIRECT(OFFSET(element3,MATCH($C760,resources,0)-1,0))&amp;"-"&amp;INDIRECT(OFFSET(element4,MATCH($C760,resources,0)-1,0))&amp;"-"&amp;INDIRECT(OFFSET(element5,MATCH($C760,resources,0)-1,0))&amp;IF(OFFSET(element6,MATCH($C760,resources,0)-1,0)="","","-"&amp;INDIRECT(OFFSET(element6,MATCH($C760,resources,0)-1,0)))&amp;IF(abbrAtEnd,"-"&amp;L760,"")</f>
        <v>#N/A</v>
      </c>
      <c r="N760" s="4" t="str">
        <f t="shared" si="78"/>
        <v>-000</v>
      </c>
      <c r="O760" s="4">
        <f ca="1">IF(totalElements+COUNTIF(Entities!$C$10,"*")+COUNTIF(B760:C760,"*")+COUNTIF(E760:F760,"*")=9,1,0)</f>
        <v>0</v>
      </c>
      <c r="P760" s="4">
        <f>COUNTIF($C$6:C760,C760)</f>
        <v>0</v>
      </c>
      <c r="Q760" s="4">
        <f ca="1">IF(ISNA(M760),0,COUNTIF($M$6:M760,M760))</f>
        <v>0</v>
      </c>
      <c r="R760" s="4" t="e">
        <f t="shared" ca="1" si="77"/>
        <v>#N/A</v>
      </c>
      <c r="S760" s="4">
        <f ca="1">IF(ISNA(M760),0,COUNTIF($R$6:R760,R760))</f>
        <v>0</v>
      </c>
      <c r="T760" s="4" t="e">
        <f t="shared" ca="1" si="76"/>
        <v>#N/A</v>
      </c>
    </row>
    <row r="761" spans="2:20" x14ac:dyDescent="0.3">
      <c r="B761" s="48"/>
      <c r="C761" s="48"/>
      <c r="D761" s="10" t="str">
        <f t="shared" ca="1" si="80"/>
        <v/>
      </c>
      <c r="E761" s="48"/>
      <c r="F761" s="48"/>
      <c r="G761" s="10" t="str">
        <f t="shared" ca="1" si="79"/>
        <v/>
      </c>
      <c r="I761" s="10" t="str">
        <f t="shared" ca="1" si="81"/>
        <v/>
      </c>
      <c r="K761" s="4" t="e">
        <f t="shared" ca="1" si="75"/>
        <v>#N/A</v>
      </c>
      <c r="L761" s="4" t="e">
        <f>VLOOKUP(C761,_resources!B:D,3,0)</f>
        <v>#N/A</v>
      </c>
      <c r="M761" s="4" t="e" cm="1">
        <f t="array" aca="1" ref="M761" ca="1">IF(abbrAtEnd,"",L761&amp;"-")&amp;E761&amp;"-"&amp;INDIRECT(OFFSET(element3,MATCH($C761,resources,0)-1,0))&amp;"-"&amp;INDIRECT(OFFSET(element4,MATCH($C761,resources,0)-1,0))&amp;"-"&amp;INDIRECT(OFFSET(element5,MATCH($C761,resources,0)-1,0))&amp;IF(OFFSET(element6,MATCH($C761,resources,0)-1,0)="","","-"&amp;INDIRECT(OFFSET(element6,MATCH($C761,resources,0)-1,0)))&amp;IF(abbrAtEnd,"-"&amp;L761,"")</f>
        <v>#N/A</v>
      </c>
      <c r="N761" s="4" t="str">
        <f t="shared" si="78"/>
        <v>-000</v>
      </c>
      <c r="O761" s="4">
        <f ca="1">IF(totalElements+COUNTIF(Entities!$C$10,"*")+COUNTIF(B761:C761,"*")+COUNTIF(E761:F761,"*")=9,1,0)</f>
        <v>0</v>
      </c>
      <c r="P761" s="4">
        <f>COUNTIF($C$6:C761,C761)</f>
        <v>0</v>
      </c>
      <c r="Q761" s="4">
        <f ca="1">IF(ISNA(M761),0,COUNTIF($M$6:M761,M761))</f>
        <v>0</v>
      </c>
      <c r="R761" s="4" t="e">
        <f t="shared" ca="1" si="77"/>
        <v>#N/A</v>
      </c>
      <c r="S761" s="4">
        <f ca="1">IF(ISNA(M761),0,COUNTIF($R$6:R761,R761))</f>
        <v>0</v>
      </c>
      <c r="T761" s="4" t="e">
        <f t="shared" ca="1" si="76"/>
        <v>#N/A</v>
      </c>
    </row>
    <row r="762" spans="2:20" x14ac:dyDescent="0.3">
      <c r="B762" s="48"/>
      <c r="C762" s="48"/>
      <c r="D762" s="10" t="str">
        <f t="shared" ca="1" si="80"/>
        <v/>
      </c>
      <c r="E762" s="48"/>
      <c r="F762" s="48"/>
      <c r="G762" s="10" t="str">
        <f t="shared" ca="1" si="79"/>
        <v/>
      </c>
      <c r="I762" s="10" t="str">
        <f t="shared" ca="1" si="81"/>
        <v/>
      </c>
      <c r="K762" s="4" t="e">
        <f t="shared" ca="1" si="75"/>
        <v>#N/A</v>
      </c>
      <c r="L762" s="4" t="e">
        <f>VLOOKUP(C762,_resources!B:D,3,0)</f>
        <v>#N/A</v>
      </c>
      <c r="M762" s="4" t="e" cm="1">
        <f t="array" aca="1" ref="M762" ca="1">IF(abbrAtEnd,"",L762&amp;"-")&amp;E762&amp;"-"&amp;INDIRECT(OFFSET(element3,MATCH($C762,resources,0)-1,0))&amp;"-"&amp;INDIRECT(OFFSET(element4,MATCH($C762,resources,0)-1,0))&amp;"-"&amp;INDIRECT(OFFSET(element5,MATCH($C762,resources,0)-1,0))&amp;IF(OFFSET(element6,MATCH($C762,resources,0)-1,0)="","","-"&amp;INDIRECT(OFFSET(element6,MATCH($C762,resources,0)-1,0)))&amp;IF(abbrAtEnd,"-"&amp;L762,"")</f>
        <v>#N/A</v>
      </c>
      <c r="N762" s="4" t="str">
        <f t="shared" si="78"/>
        <v>-000</v>
      </c>
      <c r="O762" s="4">
        <f ca="1">IF(totalElements+COUNTIF(Entities!$C$10,"*")+COUNTIF(B762:C762,"*")+COUNTIF(E762:F762,"*")=9,1,0)</f>
        <v>0</v>
      </c>
      <c r="P762" s="4">
        <f>COUNTIF($C$6:C762,C762)</f>
        <v>0</v>
      </c>
      <c r="Q762" s="4">
        <f ca="1">IF(ISNA(M762),0,COUNTIF($M$6:M762,M762))</f>
        <v>0</v>
      </c>
      <c r="R762" s="4" t="e">
        <f t="shared" ca="1" si="77"/>
        <v>#N/A</v>
      </c>
      <c r="S762" s="4">
        <f ca="1">IF(ISNA(M762),0,COUNTIF($R$6:R762,R762))</f>
        <v>0</v>
      </c>
      <c r="T762" s="4" t="e">
        <f t="shared" ca="1" si="76"/>
        <v>#N/A</v>
      </c>
    </row>
    <row r="763" spans="2:20" x14ac:dyDescent="0.3">
      <c r="B763" s="48"/>
      <c r="C763" s="48"/>
      <c r="D763" s="10" t="str">
        <f t="shared" ca="1" si="80"/>
        <v/>
      </c>
      <c r="E763" s="48"/>
      <c r="F763" s="48"/>
      <c r="G763" s="10" t="str">
        <f t="shared" ca="1" si="79"/>
        <v/>
      </c>
      <c r="I763" s="10" t="str">
        <f t="shared" ca="1" si="81"/>
        <v/>
      </c>
      <c r="K763" s="4" t="e">
        <f t="shared" ca="1" si="75"/>
        <v>#N/A</v>
      </c>
      <c r="L763" s="4" t="e">
        <f>VLOOKUP(C763,_resources!B:D,3,0)</f>
        <v>#N/A</v>
      </c>
      <c r="M763" s="4" t="e" cm="1">
        <f t="array" aca="1" ref="M763" ca="1">IF(abbrAtEnd,"",L763&amp;"-")&amp;E763&amp;"-"&amp;INDIRECT(OFFSET(element3,MATCH($C763,resources,0)-1,0))&amp;"-"&amp;INDIRECT(OFFSET(element4,MATCH($C763,resources,0)-1,0))&amp;"-"&amp;INDIRECT(OFFSET(element5,MATCH($C763,resources,0)-1,0))&amp;IF(OFFSET(element6,MATCH($C763,resources,0)-1,0)="","","-"&amp;INDIRECT(OFFSET(element6,MATCH($C763,resources,0)-1,0)))&amp;IF(abbrAtEnd,"-"&amp;L763,"")</f>
        <v>#N/A</v>
      </c>
      <c r="N763" s="4" t="str">
        <f t="shared" si="78"/>
        <v>-000</v>
      </c>
      <c r="O763" s="4">
        <f ca="1">IF(totalElements+COUNTIF(Entities!$C$10,"*")+COUNTIF(B763:C763,"*")+COUNTIF(E763:F763,"*")=9,1,0)</f>
        <v>0</v>
      </c>
      <c r="P763" s="4">
        <f>COUNTIF($C$6:C763,C763)</f>
        <v>0</v>
      </c>
      <c r="Q763" s="4">
        <f ca="1">IF(ISNA(M763),0,COUNTIF($M$6:M763,M763))</f>
        <v>0</v>
      </c>
      <c r="R763" s="4" t="e">
        <f t="shared" ca="1" si="77"/>
        <v>#N/A</v>
      </c>
      <c r="S763" s="4">
        <f ca="1">IF(ISNA(M763),0,COUNTIF($R$6:R763,R763))</f>
        <v>0</v>
      </c>
      <c r="T763" s="4" t="e">
        <f t="shared" ca="1" si="76"/>
        <v>#N/A</v>
      </c>
    </row>
    <row r="764" spans="2:20" x14ac:dyDescent="0.3">
      <c r="B764" s="48"/>
      <c r="C764" s="48"/>
      <c r="D764" s="10" t="str">
        <f t="shared" ca="1" si="80"/>
        <v/>
      </c>
      <c r="E764" s="48"/>
      <c r="F764" s="48"/>
      <c r="G764" s="10" t="str">
        <f t="shared" ca="1" si="79"/>
        <v/>
      </c>
      <c r="I764" s="10" t="str">
        <f t="shared" ca="1" si="81"/>
        <v/>
      </c>
      <c r="K764" s="4" t="e">
        <f t="shared" ca="1" si="75"/>
        <v>#N/A</v>
      </c>
      <c r="L764" s="4" t="e">
        <f>VLOOKUP(C764,_resources!B:D,3,0)</f>
        <v>#N/A</v>
      </c>
      <c r="M764" s="4" t="e" cm="1">
        <f t="array" aca="1" ref="M764" ca="1">IF(abbrAtEnd,"",L764&amp;"-")&amp;E764&amp;"-"&amp;INDIRECT(OFFSET(element3,MATCH($C764,resources,0)-1,0))&amp;"-"&amp;INDIRECT(OFFSET(element4,MATCH($C764,resources,0)-1,0))&amp;"-"&amp;INDIRECT(OFFSET(element5,MATCH($C764,resources,0)-1,0))&amp;IF(OFFSET(element6,MATCH($C764,resources,0)-1,0)="","","-"&amp;INDIRECT(OFFSET(element6,MATCH($C764,resources,0)-1,0)))&amp;IF(abbrAtEnd,"-"&amp;L764,"")</f>
        <v>#N/A</v>
      </c>
      <c r="N764" s="4" t="str">
        <f t="shared" si="78"/>
        <v>-000</v>
      </c>
      <c r="O764" s="4">
        <f ca="1">IF(totalElements+COUNTIF(Entities!$C$10,"*")+COUNTIF(B764:C764,"*")+COUNTIF(E764:F764,"*")=9,1,0)</f>
        <v>0</v>
      </c>
      <c r="P764" s="4">
        <f>COUNTIF($C$6:C764,C764)</f>
        <v>0</v>
      </c>
      <c r="Q764" s="4">
        <f ca="1">IF(ISNA(M764),0,COUNTIF($M$6:M764,M764))</f>
        <v>0</v>
      </c>
      <c r="R764" s="4" t="e">
        <f t="shared" ca="1" si="77"/>
        <v>#N/A</v>
      </c>
      <c r="S764" s="4">
        <f ca="1">IF(ISNA(M764),0,COUNTIF($R$6:R764,R764))</f>
        <v>0</v>
      </c>
      <c r="T764" s="4" t="e">
        <f t="shared" ca="1" si="76"/>
        <v>#N/A</v>
      </c>
    </row>
    <row r="765" spans="2:20" x14ac:dyDescent="0.3">
      <c r="B765" s="48"/>
      <c r="C765" s="48"/>
      <c r="D765" s="10" t="str">
        <f t="shared" ca="1" si="80"/>
        <v/>
      </c>
      <c r="E765" s="48"/>
      <c r="F765" s="48"/>
      <c r="G765" s="10" t="str">
        <f t="shared" ca="1" si="79"/>
        <v/>
      </c>
      <c r="I765" s="10" t="str">
        <f t="shared" ca="1" si="81"/>
        <v/>
      </c>
      <c r="K765" s="4" t="e">
        <f t="shared" ca="1" si="75"/>
        <v>#N/A</v>
      </c>
      <c r="L765" s="4" t="e">
        <f>VLOOKUP(C765,_resources!B:D,3,0)</f>
        <v>#N/A</v>
      </c>
      <c r="M765" s="4" t="e" cm="1">
        <f t="array" aca="1" ref="M765" ca="1">IF(abbrAtEnd,"",L765&amp;"-")&amp;E765&amp;"-"&amp;INDIRECT(OFFSET(element3,MATCH($C765,resources,0)-1,0))&amp;"-"&amp;INDIRECT(OFFSET(element4,MATCH($C765,resources,0)-1,0))&amp;"-"&amp;INDIRECT(OFFSET(element5,MATCH($C765,resources,0)-1,0))&amp;IF(OFFSET(element6,MATCH($C765,resources,0)-1,0)="","","-"&amp;INDIRECT(OFFSET(element6,MATCH($C765,resources,0)-1,0)))&amp;IF(abbrAtEnd,"-"&amp;L765,"")</f>
        <v>#N/A</v>
      </c>
      <c r="N765" s="4" t="str">
        <f t="shared" si="78"/>
        <v>-000</v>
      </c>
      <c r="O765" s="4">
        <f ca="1">IF(totalElements+COUNTIF(Entities!$C$10,"*")+COUNTIF(B765:C765,"*")+COUNTIF(E765:F765,"*")=9,1,0)</f>
        <v>0</v>
      </c>
      <c r="P765" s="4">
        <f>COUNTIF($C$6:C765,C765)</f>
        <v>0</v>
      </c>
      <c r="Q765" s="4">
        <f ca="1">IF(ISNA(M765),0,COUNTIF($M$6:M765,M765))</f>
        <v>0</v>
      </c>
      <c r="R765" s="4" t="e">
        <f t="shared" ca="1" si="77"/>
        <v>#N/A</v>
      </c>
      <c r="S765" s="4">
        <f ca="1">IF(ISNA(M765),0,COUNTIF($R$6:R765,R765))</f>
        <v>0</v>
      </c>
      <c r="T765" s="4" t="e">
        <f t="shared" ca="1" si="76"/>
        <v>#N/A</v>
      </c>
    </row>
    <row r="766" spans="2:20" x14ac:dyDescent="0.3">
      <c r="B766" s="48"/>
      <c r="C766" s="48"/>
      <c r="D766" s="10" t="str">
        <f t="shared" ca="1" si="80"/>
        <v/>
      </c>
      <c r="E766" s="48"/>
      <c r="F766" s="48"/>
      <c r="G766" s="10" t="str">
        <f t="shared" ca="1" si="79"/>
        <v/>
      </c>
      <c r="I766" s="10" t="str">
        <f t="shared" ca="1" si="81"/>
        <v/>
      </c>
      <c r="K766" s="4" t="e">
        <f t="shared" ca="1" si="75"/>
        <v>#N/A</v>
      </c>
      <c r="L766" s="4" t="e">
        <f>VLOOKUP(C766,_resources!B:D,3,0)</f>
        <v>#N/A</v>
      </c>
      <c r="M766" s="4" t="e" cm="1">
        <f t="array" aca="1" ref="M766" ca="1">IF(abbrAtEnd,"",L766&amp;"-")&amp;E766&amp;"-"&amp;INDIRECT(OFFSET(element3,MATCH($C766,resources,0)-1,0))&amp;"-"&amp;INDIRECT(OFFSET(element4,MATCH($C766,resources,0)-1,0))&amp;"-"&amp;INDIRECT(OFFSET(element5,MATCH($C766,resources,0)-1,0))&amp;IF(OFFSET(element6,MATCH($C766,resources,0)-1,0)="","","-"&amp;INDIRECT(OFFSET(element6,MATCH($C766,resources,0)-1,0)))&amp;IF(abbrAtEnd,"-"&amp;L766,"")</f>
        <v>#N/A</v>
      </c>
      <c r="N766" s="4" t="str">
        <f t="shared" si="78"/>
        <v>-000</v>
      </c>
      <c r="O766" s="4">
        <f ca="1">IF(totalElements+COUNTIF(Entities!$C$10,"*")+COUNTIF(B766:C766,"*")+COUNTIF(E766:F766,"*")=9,1,0)</f>
        <v>0</v>
      </c>
      <c r="P766" s="4">
        <f>COUNTIF($C$6:C766,C766)</f>
        <v>0</v>
      </c>
      <c r="Q766" s="4">
        <f ca="1">IF(ISNA(M766),0,COUNTIF($M$6:M766,M766))</f>
        <v>0</v>
      </c>
      <c r="R766" s="4" t="e">
        <f t="shared" ca="1" si="77"/>
        <v>#N/A</v>
      </c>
      <c r="S766" s="4">
        <f ca="1">IF(ISNA(M766),0,COUNTIF($R$6:R766,R766))</f>
        <v>0</v>
      </c>
      <c r="T766" s="4" t="e">
        <f t="shared" ca="1" si="76"/>
        <v>#N/A</v>
      </c>
    </row>
    <row r="767" spans="2:20" x14ac:dyDescent="0.3">
      <c r="B767" s="48"/>
      <c r="C767" s="48"/>
      <c r="D767" s="10" t="str">
        <f t="shared" ca="1" si="80"/>
        <v/>
      </c>
      <c r="E767" s="48"/>
      <c r="F767" s="48"/>
      <c r="G767" s="10" t="str">
        <f t="shared" ca="1" si="79"/>
        <v/>
      </c>
      <c r="I767" s="10" t="str">
        <f t="shared" ca="1" si="81"/>
        <v/>
      </c>
      <c r="K767" s="4" t="e">
        <f t="shared" ca="1" si="75"/>
        <v>#N/A</v>
      </c>
      <c r="L767" s="4" t="e">
        <f>VLOOKUP(C767,_resources!B:D,3,0)</f>
        <v>#N/A</v>
      </c>
      <c r="M767" s="4" t="e" cm="1">
        <f t="array" aca="1" ref="M767" ca="1">IF(abbrAtEnd,"",L767&amp;"-")&amp;E767&amp;"-"&amp;INDIRECT(OFFSET(element3,MATCH($C767,resources,0)-1,0))&amp;"-"&amp;INDIRECT(OFFSET(element4,MATCH($C767,resources,0)-1,0))&amp;"-"&amp;INDIRECT(OFFSET(element5,MATCH($C767,resources,0)-1,0))&amp;IF(OFFSET(element6,MATCH($C767,resources,0)-1,0)="","","-"&amp;INDIRECT(OFFSET(element6,MATCH($C767,resources,0)-1,0)))&amp;IF(abbrAtEnd,"-"&amp;L767,"")</f>
        <v>#N/A</v>
      </c>
      <c r="N767" s="4" t="str">
        <f t="shared" si="78"/>
        <v>-000</v>
      </c>
      <c r="O767" s="4">
        <f ca="1">IF(totalElements+COUNTIF(Entities!$C$10,"*")+COUNTIF(B767:C767,"*")+COUNTIF(E767:F767,"*")=9,1,0)</f>
        <v>0</v>
      </c>
      <c r="P767" s="4">
        <f>COUNTIF($C$6:C767,C767)</f>
        <v>0</v>
      </c>
      <c r="Q767" s="4">
        <f ca="1">IF(ISNA(M767),0,COUNTIF($M$6:M767,M767))</f>
        <v>0</v>
      </c>
      <c r="R767" s="4" t="e">
        <f t="shared" ca="1" si="77"/>
        <v>#N/A</v>
      </c>
      <c r="S767" s="4">
        <f ca="1">IF(ISNA(M767),0,COUNTIF($R$6:R767,R767))</f>
        <v>0</v>
      </c>
      <c r="T767" s="4" t="e">
        <f t="shared" ca="1" si="76"/>
        <v>#N/A</v>
      </c>
    </row>
    <row r="768" spans="2:20" x14ac:dyDescent="0.3">
      <c r="B768" s="48"/>
      <c r="C768" s="48"/>
      <c r="D768" s="10" t="str">
        <f t="shared" ca="1" si="80"/>
        <v/>
      </c>
      <c r="E768" s="48"/>
      <c r="F768" s="48"/>
      <c r="G768" s="10" t="str">
        <f t="shared" ca="1" si="79"/>
        <v/>
      </c>
      <c r="I768" s="10" t="str">
        <f t="shared" ca="1" si="81"/>
        <v/>
      </c>
      <c r="K768" s="4" t="e">
        <f t="shared" ca="1" si="75"/>
        <v>#N/A</v>
      </c>
      <c r="L768" s="4" t="e">
        <f>VLOOKUP(C768,_resources!B:D,3,0)</f>
        <v>#N/A</v>
      </c>
      <c r="M768" s="4" t="e" cm="1">
        <f t="array" aca="1" ref="M768" ca="1">IF(abbrAtEnd,"",L768&amp;"-")&amp;E768&amp;"-"&amp;INDIRECT(OFFSET(element3,MATCH($C768,resources,0)-1,0))&amp;"-"&amp;INDIRECT(OFFSET(element4,MATCH($C768,resources,0)-1,0))&amp;"-"&amp;INDIRECT(OFFSET(element5,MATCH($C768,resources,0)-1,0))&amp;IF(OFFSET(element6,MATCH($C768,resources,0)-1,0)="","","-"&amp;INDIRECT(OFFSET(element6,MATCH($C768,resources,0)-1,0)))&amp;IF(abbrAtEnd,"-"&amp;L768,"")</f>
        <v>#N/A</v>
      </c>
      <c r="N768" s="4" t="str">
        <f t="shared" si="78"/>
        <v>-000</v>
      </c>
      <c r="O768" s="4">
        <f ca="1">IF(totalElements+COUNTIF(Entities!$C$10,"*")+COUNTIF(B768:C768,"*")+COUNTIF(E768:F768,"*")=9,1,0)</f>
        <v>0</v>
      </c>
      <c r="P768" s="4">
        <f>COUNTIF($C$6:C768,C768)</f>
        <v>0</v>
      </c>
      <c r="Q768" s="4">
        <f ca="1">IF(ISNA(M768),0,COUNTIF($M$6:M768,M768))</f>
        <v>0</v>
      </c>
      <c r="R768" s="4" t="e">
        <f t="shared" ca="1" si="77"/>
        <v>#N/A</v>
      </c>
      <c r="S768" s="4">
        <f ca="1">IF(ISNA(M768),0,COUNTIF($R$6:R768,R768))</f>
        <v>0</v>
      </c>
      <c r="T768" s="4" t="e">
        <f t="shared" ca="1" si="76"/>
        <v>#N/A</v>
      </c>
    </row>
    <row r="769" spans="2:20" x14ac:dyDescent="0.3">
      <c r="B769" s="48"/>
      <c r="C769" s="48"/>
      <c r="D769" s="10" t="str">
        <f t="shared" ca="1" si="80"/>
        <v/>
      </c>
      <c r="E769" s="48"/>
      <c r="F769" s="48"/>
      <c r="G769" s="10" t="str">
        <f t="shared" ca="1" si="79"/>
        <v/>
      </c>
      <c r="I769" s="10" t="str">
        <f t="shared" ca="1" si="81"/>
        <v/>
      </c>
      <c r="K769" s="4" t="e">
        <f t="shared" ca="1" si="75"/>
        <v>#N/A</v>
      </c>
      <c r="L769" s="4" t="e">
        <f>VLOOKUP(C769,_resources!B:D,3,0)</f>
        <v>#N/A</v>
      </c>
      <c r="M769" s="4" t="e" cm="1">
        <f t="array" aca="1" ref="M769" ca="1">IF(abbrAtEnd,"",L769&amp;"-")&amp;E769&amp;"-"&amp;INDIRECT(OFFSET(element3,MATCH($C769,resources,0)-1,0))&amp;"-"&amp;INDIRECT(OFFSET(element4,MATCH($C769,resources,0)-1,0))&amp;"-"&amp;INDIRECT(OFFSET(element5,MATCH($C769,resources,0)-1,0))&amp;IF(OFFSET(element6,MATCH($C769,resources,0)-1,0)="","","-"&amp;INDIRECT(OFFSET(element6,MATCH($C769,resources,0)-1,0)))&amp;IF(abbrAtEnd,"-"&amp;L769,"")</f>
        <v>#N/A</v>
      </c>
      <c r="N769" s="4" t="str">
        <f t="shared" si="78"/>
        <v>-000</v>
      </c>
      <c r="O769" s="4">
        <f ca="1">IF(totalElements+COUNTIF(Entities!$C$10,"*")+COUNTIF(B769:C769,"*")+COUNTIF(E769:F769,"*")=9,1,0)</f>
        <v>0</v>
      </c>
      <c r="P769" s="4">
        <f>COUNTIF($C$6:C769,C769)</f>
        <v>0</v>
      </c>
      <c r="Q769" s="4">
        <f ca="1">IF(ISNA(M769),0,COUNTIF($M$6:M769,M769))</f>
        <v>0</v>
      </c>
      <c r="R769" s="4" t="e">
        <f t="shared" ca="1" si="77"/>
        <v>#N/A</v>
      </c>
      <c r="S769" s="4">
        <f ca="1">IF(ISNA(M769),0,COUNTIF($R$6:R769,R769))</f>
        <v>0</v>
      </c>
      <c r="T769" s="4" t="e">
        <f t="shared" ca="1" si="76"/>
        <v>#N/A</v>
      </c>
    </row>
    <row r="770" spans="2:20" x14ac:dyDescent="0.3">
      <c r="B770" s="48"/>
      <c r="C770" s="48"/>
      <c r="D770" s="10" t="str">
        <f t="shared" ca="1" si="80"/>
        <v/>
      </c>
      <c r="E770" s="48"/>
      <c r="F770" s="48"/>
      <c r="G770" s="10" t="str">
        <f t="shared" ca="1" si="79"/>
        <v/>
      </c>
      <c r="I770" s="10" t="str">
        <f t="shared" ca="1" si="81"/>
        <v/>
      </c>
      <c r="K770" s="4" t="e">
        <f t="shared" ca="1" si="75"/>
        <v>#N/A</v>
      </c>
      <c r="L770" s="4" t="e">
        <f>VLOOKUP(C770,_resources!B:D,3,0)</f>
        <v>#N/A</v>
      </c>
      <c r="M770" s="4" t="e" cm="1">
        <f t="array" aca="1" ref="M770" ca="1">IF(abbrAtEnd,"",L770&amp;"-")&amp;E770&amp;"-"&amp;INDIRECT(OFFSET(element3,MATCH($C770,resources,0)-1,0))&amp;"-"&amp;INDIRECT(OFFSET(element4,MATCH($C770,resources,0)-1,0))&amp;"-"&amp;INDIRECT(OFFSET(element5,MATCH($C770,resources,0)-1,0))&amp;IF(OFFSET(element6,MATCH($C770,resources,0)-1,0)="","","-"&amp;INDIRECT(OFFSET(element6,MATCH($C770,resources,0)-1,0)))&amp;IF(abbrAtEnd,"-"&amp;L770,"")</f>
        <v>#N/A</v>
      </c>
      <c r="N770" s="4" t="str">
        <f t="shared" si="78"/>
        <v>-000</v>
      </c>
      <c r="O770" s="4">
        <f ca="1">IF(totalElements+COUNTIF(Entities!$C$10,"*")+COUNTIF(B770:C770,"*")+COUNTIF(E770:F770,"*")=9,1,0)</f>
        <v>0</v>
      </c>
      <c r="P770" s="4">
        <f>COUNTIF($C$6:C770,C770)</f>
        <v>0</v>
      </c>
      <c r="Q770" s="4">
        <f ca="1">IF(ISNA(M770),0,COUNTIF($M$6:M770,M770))</f>
        <v>0</v>
      </c>
      <c r="R770" s="4" t="e">
        <f t="shared" ca="1" si="77"/>
        <v>#N/A</v>
      </c>
      <c r="S770" s="4">
        <f ca="1">IF(ISNA(M770),0,COUNTIF($R$6:R770,R770))</f>
        <v>0</v>
      </c>
      <c r="T770" s="4" t="e">
        <f t="shared" ca="1" si="76"/>
        <v>#N/A</v>
      </c>
    </row>
    <row r="771" spans="2:20" x14ac:dyDescent="0.3">
      <c r="B771" s="48"/>
      <c r="C771" s="48"/>
      <c r="D771" s="10" t="str">
        <f t="shared" ca="1" si="80"/>
        <v/>
      </c>
      <c r="E771" s="48"/>
      <c r="F771" s="48"/>
      <c r="G771" s="10" t="str">
        <f t="shared" ca="1" si="79"/>
        <v/>
      </c>
      <c r="I771" s="10" t="str">
        <f t="shared" ca="1" si="81"/>
        <v/>
      </c>
      <c r="K771" s="4" t="e">
        <f t="shared" ca="1" si="75"/>
        <v>#N/A</v>
      </c>
      <c r="L771" s="4" t="e">
        <f>VLOOKUP(C771,_resources!B:D,3,0)</f>
        <v>#N/A</v>
      </c>
      <c r="M771" s="4" t="e" cm="1">
        <f t="array" aca="1" ref="M771" ca="1">IF(abbrAtEnd,"",L771&amp;"-")&amp;E771&amp;"-"&amp;INDIRECT(OFFSET(element3,MATCH($C771,resources,0)-1,0))&amp;"-"&amp;INDIRECT(OFFSET(element4,MATCH($C771,resources,0)-1,0))&amp;"-"&amp;INDIRECT(OFFSET(element5,MATCH($C771,resources,0)-1,0))&amp;IF(OFFSET(element6,MATCH($C771,resources,0)-1,0)="","","-"&amp;INDIRECT(OFFSET(element6,MATCH($C771,resources,0)-1,0)))&amp;IF(abbrAtEnd,"-"&amp;L771,"")</f>
        <v>#N/A</v>
      </c>
      <c r="N771" s="4" t="str">
        <f t="shared" si="78"/>
        <v>-000</v>
      </c>
      <c r="O771" s="4">
        <f ca="1">IF(totalElements+COUNTIF(Entities!$C$10,"*")+COUNTIF(B771:C771,"*")+COUNTIF(E771:F771,"*")=9,1,0)</f>
        <v>0</v>
      </c>
      <c r="P771" s="4">
        <f>COUNTIF($C$6:C771,C771)</f>
        <v>0</v>
      </c>
      <c r="Q771" s="4">
        <f ca="1">IF(ISNA(M771),0,COUNTIF($M$6:M771,M771))</f>
        <v>0</v>
      </c>
      <c r="R771" s="4" t="e">
        <f t="shared" ca="1" si="77"/>
        <v>#N/A</v>
      </c>
      <c r="S771" s="4">
        <f ca="1">IF(ISNA(M771),0,COUNTIF($R$6:R771,R771))</f>
        <v>0</v>
      </c>
      <c r="T771" s="4" t="e">
        <f t="shared" ca="1" si="76"/>
        <v>#N/A</v>
      </c>
    </row>
    <row r="772" spans="2:20" x14ac:dyDescent="0.3">
      <c r="B772" s="48"/>
      <c r="C772" s="48"/>
      <c r="D772" s="10" t="str">
        <f t="shared" ca="1" si="80"/>
        <v/>
      </c>
      <c r="E772" s="48"/>
      <c r="F772" s="48"/>
      <c r="G772" s="10" t="str">
        <f t="shared" ca="1" si="79"/>
        <v/>
      </c>
      <c r="I772" s="10" t="str">
        <f t="shared" ca="1" si="81"/>
        <v/>
      </c>
      <c r="K772" s="4" t="e">
        <f t="shared" ca="1" si="75"/>
        <v>#N/A</v>
      </c>
      <c r="L772" s="4" t="e">
        <f>VLOOKUP(C772,_resources!B:D,3,0)</f>
        <v>#N/A</v>
      </c>
      <c r="M772" s="4" t="e" cm="1">
        <f t="array" aca="1" ref="M772" ca="1">IF(abbrAtEnd,"",L772&amp;"-")&amp;E772&amp;"-"&amp;INDIRECT(OFFSET(element3,MATCH($C772,resources,0)-1,0))&amp;"-"&amp;INDIRECT(OFFSET(element4,MATCH($C772,resources,0)-1,0))&amp;"-"&amp;INDIRECT(OFFSET(element5,MATCH($C772,resources,0)-1,0))&amp;IF(OFFSET(element6,MATCH($C772,resources,0)-1,0)="","","-"&amp;INDIRECT(OFFSET(element6,MATCH($C772,resources,0)-1,0)))&amp;IF(abbrAtEnd,"-"&amp;L772,"")</f>
        <v>#N/A</v>
      </c>
      <c r="N772" s="4" t="str">
        <f t="shared" si="78"/>
        <v>-000</v>
      </c>
      <c r="O772" s="4">
        <f ca="1">IF(totalElements+COUNTIF(Entities!$C$10,"*")+COUNTIF(B772:C772,"*")+COUNTIF(E772:F772,"*")=9,1,0)</f>
        <v>0</v>
      </c>
      <c r="P772" s="4">
        <f>COUNTIF($C$6:C772,C772)</f>
        <v>0</v>
      </c>
      <c r="Q772" s="4">
        <f ca="1">IF(ISNA(M772),0,COUNTIF($M$6:M772,M772))</f>
        <v>0</v>
      </c>
      <c r="R772" s="4" t="e">
        <f t="shared" ca="1" si="77"/>
        <v>#N/A</v>
      </c>
      <c r="S772" s="4">
        <f ca="1">IF(ISNA(M772),0,COUNTIF($R$6:R772,R772))</f>
        <v>0</v>
      </c>
      <c r="T772" s="4" t="e">
        <f t="shared" ca="1" si="76"/>
        <v>#N/A</v>
      </c>
    </row>
    <row r="773" spans="2:20" x14ac:dyDescent="0.3">
      <c r="B773" s="48"/>
      <c r="C773" s="48"/>
      <c r="D773" s="10" t="str">
        <f t="shared" ca="1" si="80"/>
        <v/>
      </c>
      <c r="E773" s="48"/>
      <c r="F773" s="48"/>
      <c r="G773" s="10" t="str">
        <f t="shared" ca="1" si="79"/>
        <v/>
      </c>
      <c r="I773" s="10" t="str">
        <f t="shared" ca="1" si="81"/>
        <v/>
      </c>
      <c r="K773" s="4" t="e">
        <f t="shared" ca="1" si="75"/>
        <v>#N/A</v>
      </c>
      <c r="L773" s="4" t="e">
        <f>VLOOKUP(C773,_resources!B:D,3,0)</f>
        <v>#N/A</v>
      </c>
      <c r="M773" s="4" t="e" cm="1">
        <f t="array" aca="1" ref="M773" ca="1">IF(abbrAtEnd,"",L773&amp;"-")&amp;E773&amp;"-"&amp;INDIRECT(OFFSET(element3,MATCH($C773,resources,0)-1,0))&amp;"-"&amp;INDIRECT(OFFSET(element4,MATCH($C773,resources,0)-1,0))&amp;"-"&amp;INDIRECT(OFFSET(element5,MATCH($C773,resources,0)-1,0))&amp;IF(OFFSET(element6,MATCH($C773,resources,0)-1,0)="","","-"&amp;INDIRECT(OFFSET(element6,MATCH($C773,resources,0)-1,0)))&amp;IF(abbrAtEnd,"-"&amp;L773,"")</f>
        <v>#N/A</v>
      </c>
      <c r="N773" s="4" t="str">
        <f t="shared" si="78"/>
        <v>-000</v>
      </c>
      <c r="O773" s="4">
        <f ca="1">IF(totalElements+COUNTIF(Entities!$C$10,"*")+COUNTIF(B773:C773,"*")+COUNTIF(E773:F773,"*")=9,1,0)</f>
        <v>0</v>
      </c>
      <c r="P773" s="4">
        <f>COUNTIF($C$6:C773,C773)</f>
        <v>0</v>
      </c>
      <c r="Q773" s="4">
        <f ca="1">IF(ISNA(M773),0,COUNTIF($M$6:M773,M773))</f>
        <v>0</v>
      </c>
      <c r="R773" s="4" t="e">
        <f t="shared" ca="1" si="77"/>
        <v>#N/A</v>
      </c>
      <c r="S773" s="4">
        <f ca="1">IF(ISNA(M773),0,COUNTIF($R$6:R773,R773))</f>
        <v>0</v>
      </c>
      <c r="T773" s="4" t="e">
        <f t="shared" ca="1" si="76"/>
        <v>#N/A</v>
      </c>
    </row>
    <row r="774" spans="2:20" x14ac:dyDescent="0.3">
      <c r="B774" s="48"/>
      <c r="C774" s="48"/>
      <c r="D774" s="10" t="str">
        <f t="shared" ca="1" si="80"/>
        <v/>
      </c>
      <c r="E774" s="48"/>
      <c r="F774" s="48"/>
      <c r="G774" s="10" t="str">
        <f t="shared" ca="1" si="79"/>
        <v/>
      </c>
      <c r="I774" s="10" t="str">
        <f t="shared" ca="1" si="81"/>
        <v/>
      </c>
      <c r="K774" s="4" t="e">
        <f t="shared" ref="K774:K837" ca="1" si="82">OFFSET(structure,MATCH($C774,resources,0)-1,0)</f>
        <v>#N/A</v>
      </c>
      <c r="L774" s="4" t="e">
        <f>VLOOKUP(C774,_resources!B:D,3,0)</f>
        <v>#N/A</v>
      </c>
      <c r="M774" s="4" t="e" cm="1">
        <f t="array" aca="1" ref="M774" ca="1">IF(abbrAtEnd,"",L774&amp;"-")&amp;E774&amp;"-"&amp;INDIRECT(OFFSET(element3,MATCH($C774,resources,0)-1,0))&amp;"-"&amp;INDIRECT(OFFSET(element4,MATCH($C774,resources,0)-1,0))&amp;"-"&amp;INDIRECT(OFFSET(element5,MATCH($C774,resources,0)-1,0))&amp;IF(OFFSET(element6,MATCH($C774,resources,0)-1,0)="","","-"&amp;INDIRECT(OFFSET(element6,MATCH($C774,resources,0)-1,0)))&amp;IF(abbrAtEnd,"-"&amp;L774,"")</f>
        <v>#N/A</v>
      </c>
      <c r="N774" s="4" t="str">
        <f t="shared" si="78"/>
        <v>-000</v>
      </c>
      <c r="O774" s="4">
        <f ca="1">IF(totalElements+COUNTIF(Entities!$C$10,"*")+COUNTIF(B774:C774,"*")+COUNTIF(E774:F774,"*")=9,1,0)</f>
        <v>0</v>
      </c>
      <c r="P774" s="4">
        <f>COUNTIF($C$6:C774,C774)</f>
        <v>0</v>
      </c>
      <c r="Q774" s="4">
        <f ca="1">IF(ISNA(M774),0,COUNTIF($M$6:M774,M774))</f>
        <v>0</v>
      </c>
      <c r="R774" s="4" t="e">
        <f t="shared" ca="1" si="77"/>
        <v>#N/A</v>
      </c>
      <c r="S774" s="4">
        <f ca="1">IF(ISNA(M774),0,COUNTIF($R$6:R774,R774))</f>
        <v>0</v>
      </c>
      <c r="T774" s="4" t="e">
        <f t="shared" ref="T774:T837" ca="1" si="83">OFFSET(maxLength,MATCH($C774,resources,0)-1,0)</f>
        <v>#N/A</v>
      </c>
    </row>
    <row r="775" spans="2:20" x14ac:dyDescent="0.3">
      <c r="B775" s="48"/>
      <c r="C775" s="48"/>
      <c r="D775" s="10" t="str">
        <f t="shared" ca="1" si="80"/>
        <v/>
      </c>
      <c r="E775" s="48"/>
      <c r="F775" s="48"/>
      <c r="G775" s="10" t="str">
        <f t="shared" ca="1" si="79"/>
        <v/>
      </c>
      <c r="I775" s="10" t="str">
        <f t="shared" ca="1" si="81"/>
        <v/>
      </c>
      <c r="K775" s="4" t="e">
        <f t="shared" ca="1" si="82"/>
        <v>#N/A</v>
      </c>
      <c r="L775" s="4" t="e">
        <f>VLOOKUP(C775,_resources!B:D,3,0)</f>
        <v>#N/A</v>
      </c>
      <c r="M775" s="4" t="e" cm="1">
        <f t="array" aca="1" ref="M775" ca="1">IF(abbrAtEnd,"",L775&amp;"-")&amp;E775&amp;"-"&amp;INDIRECT(OFFSET(element3,MATCH($C775,resources,0)-1,0))&amp;"-"&amp;INDIRECT(OFFSET(element4,MATCH($C775,resources,0)-1,0))&amp;"-"&amp;INDIRECT(OFFSET(element5,MATCH($C775,resources,0)-1,0))&amp;IF(OFFSET(element6,MATCH($C775,resources,0)-1,0)="","","-"&amp;INDIRECT(OFFSET(element6,MATCH($C775,resources,0)-1,0)))&amp;IF(abbrAtEnd,"-"&amp;L775,"")</f>
        <v>#N/A</v>
      </c>
      <c r="N775" s="4" t="str">
        <f t="shared" si="78"/>
        <v>-000</v>
      </c>
      <c r="O775" s="4">
        <f ca="1">IF(totalElements+COUNTIF(Entities!$C$10,"*")+COUNTIF(B775:C775,"*")+COUNTIF(E775:F775,"*")=9,1,0)</f>
        <v>0</v>
      </c>
      <c r="P775" s="4">
        <f>COUNTIF($C$6:C775,C775)</f>
        <v>0</v>
      </c>
      <c r="Q775" s="4">
        <f ca="1">IF(ISNA(M775),0,COUNTIF($M$6:M775,M775))</f>
        <v>0</v>
      </c>
      <c r="R775" s="4" t="e">
        <f t="shared" ref="R775:R838" ca="1" si="84">F775&amp;"__"&amp;M775</f>
        <v>#N/A</v>
      </c>
      <c r="S775" s="4">
        <f ca="1">IF(ISNA(M775),0,COUNTIF($R$6:R775,R775))</f>
        <v>0</v>
      </c>
      <c r="T775" s="4" t="e">
        <f t="shared" ca="1" si="83"/>
        <v>#N/A</v>
      </c>
    </row>
    <row r="776" spans="2:20" x14ac:dyDescent="0.3">
      <c r="B776" s="48"/>
      <c r="C776" s="48"/>
      <c r="D776" s="10" t="str">
        <f t="shared" ca="1" si="80"/>
        <v/>
      </c>
      <c r="E776" s="48"/>
      <c r="F776" s="48"/>
      <c r="G776" s="10" t="str">
        <f t="shared" ca="1" si="79"/>
        <v/>
      </c>
      <c r="I776" s="10" t="str">
        <f t="shared" ca="1" si="81"/>
        <v/>
      </c>
      <c r="K776" s="4" t="e">
        <f t="shared" ca="1" si="82"/>
        <v>#N/A</v>
      </c>
      <c r="L776" s="4" t="e">
        <f>VLOOKUP(C776,_resources!B:D,3,0)</f>
        <v>#N/A</v>
      </c>
      <c r="M776" s="4" t="e" cm="1">
        <f t="array" aca="1" ref="M776" ca="1">IF(abbrAtEnd,"",L776&amp;"-")&amp;E776&amp;"-"&amp;INDIRECT(OFFSET(element3,MATCH($C776,resources,0)-1,0))&amp;"-"&amp;INDIRECT(OFFSET(element4,MATCH($C776,resources,0)-1,0))&amp;"-"&amp;INDIRECT(OFFSET(element5,MATCH($C776,resources,0)-1,0))&amp;IF(OFFSET(element6,MATCH($C776,resources,0)-1,0)="","","-"&amp;INDIRECT(OFFSET(element6,MATCH($C776,resources,0)-1,0)))&amp;IF(abbrAtEnd,"-"&amp;L776,"")</f>
        <v>#N/A</v>
      </c>
      <c r="N776" s="4" t="str">
        <f t="shared" si="78"/>
        <v>-000</v>
      </c>
      <c r="O776" s="4">
        <f ca="1">IF(totalElements+COUNTIF(Entities!$C$10,"*")+COUNTIF(B776:C776,"*")+COUNTIF(E776:F776,"*")=9,1,0)</f>
        <v>0</v>
      </c>
      <c r="P776" s="4">
        <f>COUNTIF($C$6:C776,C776)</f>
        <v>0</v>
      </c>
      <c r="Q776" s="4">
        <f ca="1">IF(ISNA(M776),0,COUNTIF($M$6:M776,M776))</f>
        <v>0</v>
      </c>
      <c r="R776" s="4" t="e">
        <f t="shared" ca="1" si="84"/>
        <v>#N/A</v>
      </c>
      <c r="S776" s="4">
        <f ca="1">IF(ISNA(M776),0,COUNTIF($R$6:R776,R776))</f>
        <v>0</v>
      </c>
      <c r="T776" s="4" t="e">
        <f t="shared" ca="1" si="83"/>
        <v>#N/A</v>
      </c>
    </row>
    <row r="777" spans="2:20" x14ac:dyDescent="0.3">
      <c r="B777" s="48"/>
      <c r="C777" s="48"/>
      <c r="D777" s="10" t="str">
        <f t="shared" ca="1" si="80"/>
        <v/>
      </c>
      <c r="E777" s="48"/>
      <c r="F777" s="48"/>
      <c r="G777" s="10" t="str">
        <f t="shared" ca="1" si="79"/>
        <v/>
      </c>
      <c r="I777" s="10" t="str">
        <f t="shared" ca="1" si="81"/>
        <v/>
      </c>
      <c r="K777" s="4" t="e">
        <f t="shared" ca="1" si="82"/>
        <v>#N/A</v>
      </c>
      <c r="L777" s="4" t="e">
        <f>VLOOKUP(C777,_resources!B:D,3,0)</f>
        <v>#N/A</v>
      </c>
      <c r="M777" s="4" t="e" cm="1">
        <f t="array" aca="1" ref="M777" ca="1">IF(abbrAtEnd,"",L777&amp;"-")&amp;E777&amp;"-"&amp;INDIRECT(OFFSET(element3,MATCH($C777,resources,0)-1,0))&amp;"-"&amp;INDIRECT(OFFSET(element4,MATCH($C777,resources,0)-1,0))&amp;"-"&amp;INDIRECT(OFFSET(element5,MATCH($C777,resources,0)-1,0))&amp;IF(OFFSET(element6,MATCH($C777,resources,0)-1,0)="","","-"&amp;INDIRECT(OFFSET(element6,MATCH($C777,resources,0)-1,0)))&amp;IF(abbrAtEnd,"-"&amp;L777,"")</f>
        <v>#N/A</v>
      </c>
      <c r="N777" s="4" t="str">
        <f t="shared" si="78"/>
        <v>-000</v>
      </c>
      <c r="O777" s="4">
        <f ca="1">IF(totalElements+COUNTIF(Entities!$C$10,"*")+COUNTIF(B777:C777,"*")+COUNTIF(E777:F777,"*")=9,1,0)</f>
        <v>0</v>
      </c>
      <c r="P777" s="4">
        <f>COUNTIF($C$6:C777,C777)</f>
        <v>0</v>
      </c>
      <c r="Q777" s="4">
        <f ca="1">IF(ISNA(M777),0,COUNTIF($M$6:M777,M777))</f>
        <v>0</v>
      </c>
      <c r="R777" s="4" t="e">
        <f t="shared" ca="1" si="84"/>
        <v>#N/A</v>
      </c>
      <c r="S777" s="4">
        <f ca="1">IF(ISNA(M777),0,COUNTIF($R$6:R777,R777))</f>
        <v>0</v>
      </c>
      <c r="T777" s="4" t="e">
        <f t="shared" ca="1" si="83"/>
        <v>#N/A</v>
      </c>
    </row>
    <row r="778" spans="2:20" x14ac:dyDescent="0.3">
      <c r="B778" s="48"/>
      <c r="C778" s="48"/>
      <c r="D778" s="10" t="str">
        <f t="shared" ca="1" si="80"/>
        <v/>
      </c>
      <c r="E778" s="48"/>
      <c r="F778" s="48"/>
      <c r="G778" s="10" t="str">
        <f t="shared" ca="1" si="79"/>
        <v/>
      </c>
      <c r="I778" s="10" t="str">
        <f t="shared" ca="1" si="81"/>
        <v/>
      </c>
      <c r="K778" s="4" t="e">
        <f t="shared" ca="1" si="82"/>
        <v>#N/A</v>
      </c>
      <c r="L778" s="4" t="e">
        <f>VLOOKUP(C778,_resources!B:D,3,0)</f>
        <v>#N/A</v>
      </c>
      <c r="M778" s="4" t="e" cm="1">
        <f t="array" aca="1" ref="M778" ca="1">IF(abbrAtEnd,"",L778&amp;"-")&amp;E778&amp;"-"&amp;INDIRECT(OFFSET(element3,MATCH($C778,resources,0)-1,0))&amp;"-"&amp;INDIRECT(OFFSET(element4,MATCH($C778,resources,0)-1,0))&amp;"-"&amp;INDIRECT(OFFSET(element5,MATCH($C778,resources,0)-1,0))&amp;IF(OFFSET(element6,MATCH($C778,resources,0)-1,0)="","","-"&amp;INDIRECT(OFFSET(element6,MATCH($C778,resources,0)-1,0)))&amp;IF(abbrAtEnd,"-"&amp;L778,"")</f>
        <v>#N/A</v>
      </c>
      <c r="N778" s="4" t="str">
        <f t="shared" si="78"/>
        <v>-000</v>
      </c>
      <c r="O778" s="4">
        <f ca="1">IF(totalElements+COUNTIF(Entities!$C$10,"*")+COUNTIF(B778:C778,"*")+COUNTIF(E778:F778,"*")=9,1,0)</f>
        <v>0</v>
      </c>
      <c r="P778" s="4">
        <f>COUNTIF($C$6:C778,C778)</f>
        <v>0</v>
      </c>
      <c r="Q778" s="4">
        <f ca="1">IF(ISNA(M778),0,COUNTIF($M$6:M778,M778))</f>
        <v>0</v>
      </c>
      <c r="R778" s="4" t="e">
        <f t="shared" ca="1" si="84"/>
        <v>#N/A</v>
      </c>
      <c r="S778" s="4">
        <f ca="1">IF(ISNA(M778),0,COUNTIF($R$6:R778,R778))</f>
        <v>0</v>
      </c>
      <c r="T778" s="4" t="e">
        <f t="shared" ca="1" si="83"/>
        <v>#N/A</v>
      </c>
    </row>
    <row r="779" spans="2:20" x14ac:dyDescent="0.3">
      <c r="B779" s="48"/>
      <c r="C779" s="48"/>
      <c r="D779" s="10" t="str">
        <f t="shared" ca="1" si="80"/>
        <v/>
      </c>
      <c r="E779" s="48"/>
      <c r="F779" s="48"/>
      <c r="G779" s="10" t="str">
        <f t="shared" ca="1" si="79"/>
        <v/>
      </c>
      <c r="I779" s="10" t="str">
        <f t="shared" ca="1" si="81"/>
        <v/>
      </c>
      <c r="K779" s="4" t="e">
        <f t="shared" ca="1" si="82"/>
        <v>#N/A</v>
      </c>
      <c r="L779" s="4" t="e">
        <f>VLOOKUP(C779,_resources!B:D,3,0)</f>
        <v>#N/A</v>
      </c>
      <c r="M779" s="4" t="e" cm="1">
        <f t="array" aca="1" ref="M779" ca="1">IF(abbrAtEnd,"",L779&amp;"-")&amp;E779&amp;"-"&amp;INDIRECT(OFFSET(element3,MATCH($C779,resources,0)-1,0))&amp;"-"&amp;INDIRECT(OFFSET(element4,MATCH($C779,resources,0)-1,0))&amp;"-"&amp;INDIRECT(OFFSET(element5,MATCH($C779,resources,0)-1,0))&amp;IF(OFFSET(element6,MATCH($C779,resources,0)-1,0)="","","-"&amp;INDIRECT(OFFSET(element6,MATCH($C779,resources,0)-1,0)))&amp;IF(abbrAtEnd,"-"&amp;L779,"")</f>
        <v>#N/A</v>
      </c>
      <c r="N779" s="4" t="str">
        <f t="shared" si="78"/>
        <v>-000</v>
      </c>
      <c r="O779" s="4">
        <f ca="1">IF(totalElements+COUNTIF(Entities!$C$10,"*")+COUNTIF(B779:C779,"*")+COUNTIF(E779:F779,"*")=9,1,0)</f>
        <v>0</v>
      </c>
      <c r="P779" s="4">
        <f>COUNTIF($C$6:C779,C779)</f>
        <v>0</v>
      </c>
      <c r="Q779" s="4">
        <f ca="1">IF(ISNA(M779),0,COUNTIF($M$6:M779,M779))</f>
        <v>0</v>
      </c>
      <c r="R779" s="4" t="e">
        <f t="shared" ca="1" si="84"/>
        <v>#N/A</v>
      </c>
      <c r="S779" s="4">
        <f ca="1">IF(ISNA(M779),0,COUNTIF($R$6:R779,R779))</f>
        <v>0</v>
      </c>
      <c r="T779" s="4" t="e">
        <f t="shared" ca="1" si="83"/>
        <v>#N/A</v>
      </c>
    </row>
    <row r="780" spans="2:20" x14ac:dyDescent="0.3">
      <c r="B780" s="48"/>
      <c r="C780" s="48"/>
      <c r="D780" s="10" t="str">
        <f t="shared" ca="1" si="80"/>
        <v/>
      </c>
      <c r="E780" s="48"/>
      <c r="F780" s="48"/>
      <c r="G780" s="10" t="str">
        <f t="shared" ca="1" si="79"/>
        <v/>
      </c>
      <c r="I780" s="10" t="str">
        <f t="shared" ca="1" si="81"/>
        <v/>
      </c>
      <c r="K780" s="4" t="e">
        <f t="shared" ca="1" si="82"/>
        <v>#N/A</v>
      </c>
      <c r="L780" s="4" t="e">
        <f>VLOOKUP(C780,_resources!B:D,3,0)</f>
        <v>#N/A</v>
      </c>
      <c r="M780" s="4" t="e" cm="1">
        <f t="array" aca="1" ref="M780" ca="1">IF(abbrAtEnd,"",L780&amp;"-")&amp;E780&amp;"-"&amp;INDIRECT(OFFSET(element3,MATCH($C780,resources,0)-1,0))&amp;"-"&amp;INDIRECT(OFFSET(element4,MATCH($C780,resources,0)-1,0))&amp;"-"&amp;INDIRECT(OFFSET(element5,MATCH($C780,resources,0)-1,0))&amp;IF(OFFSET(element6,MATCH($C780,resources,0)-1,0)="","","-"&amp;INDIRECT(OFFSET(element6,MATCH($C780,resources,0)-1,0)))&amp;IF(abbrAtEnd,"-"&amp;L780,"")</f>
        <v>#N/A</v>
      </c>
      <c r="N780" s="4" t="str">
        <f t="shared" si="78"/>
        <v>-000</v>
      </c>
      <c r="O780" s="4">
        <f ca="1">IF(totalElements+COUNTIF(Entities!$C$10,"*")+COUNTIF(B780:C780,"*")+COUNTIF(E780:F780,"*")=9,1,0)</f>
        <v>0</v>
      </c>
      <c r="P780" s="4">
        <f>COUNTIF($C$6:C780,C780)</f>
        <v>0</v>
      </c>
      <c r="Q780" s="4">
        <f ca="1">IF(ISNA(M780),0,COUNTIF($M$6:M780,M780))</f>
        <v>0</v>
      </c>
      <c r="R780" s="4" t="e">
        <f t="shared" ca="1" si="84"/>
        <v>#N/A</v>
      </c>
      <c r="S780" s="4">
        <f ca="1">IF(ISNA(M780),0,COUNTIF($R$6:R780,R780))</f>
        <v>0</v>
      </c>
      <c r="T780" s="4" t="e">
        <f t="shared" ca="1" si="83"/>
        <v>#N/A</v>
      </c>
    </row>
    <row r="781" spans="2:20" x14ac:dyDescent="0.3">
      <c r="B781" s="48"/>
      <c r="C781" s="48"/>
      <c r="D781" s="10" t="str">
        <f t="shared" ca="1" si="80"/>
        <v/>
      </c>
      <c r="E781" s="48"/>
      <c r="F781" s="48"/>
      <c r="G781" s="10" t="str">
        <f t="shared" ca="1" si="79"/>
        <v/>
      </c>
      <c r="I781" s="10" t="str">
        <f t="shared" ca="1" si="81"/>
        <v/>
      </c>
      <c r="K781" s="4" t="e">
        <f t="shared" ca="1" si="82"/>
        <v>#N/A</v>
      </c>
      <c r="L781" s="4" t="e">
        <f>VLOOKUP(C781,_resources!B:D,3,0)</f>
        <v>#N/A</v>
      </c>
      <c r="M781" s="4" t="e" cm="1">
        <f t="array" aca="1" ref="M781" ca="1">IF(abbrAtEnd,"",L781&amp;"-")&amp;E781&amp;"-"&amp;INDIRECT(OFFSET(element3,MATCH($C781,resources,0)-1,0))&amp;"-"&amp;INDIRECT(OFFSET(element4,MATCH($C781,resources,0)-1,0))&amp;"-"&amp;INDIRECT(OFFSET(element5,MATCH($C781,resources,0)-1,0))&amp;IF(OFFSET(element6,MATCH($C781,resources,0)-1,0)="","","-"&amp;INDIRECT(OFFSET(element6,MATCH($C781,resources,0)-1,0)))&amp;IF(abbrAtEnd,"-"&amp;L781,"")</f>
        <v>#N/A</v>
      </c>
      <c r="N781" s="4" t="str">
        <f t="shared" si="78"/>
        <v>-000</v>
      </c>
      <c r="O781" s="4">
        <f ca="1">IF(totalElements+COUNTIF(Entities!$C$10,"*")+COUNTIF(B781:C781,"*")+COUNTIF(E781:F781,"*")=9,1,0)</f>
        <v>0</v>
      </c>
      <c r="P781" s="4">
        <f>COUNTIF($C$6:C781,C781)</f>
        <v>0</v>
      </c>
      <c r="Q781" s="4">
        <f ca="1">IF(ISNA(M781),0,COUNTIF($M$6:M781,M781))</f>
        <v>0</v>
      </c>
      <c r="R781" s="4" t="e">
        <f t="shared" ca="1" si="84"/>
        <v>#N/A</v>
      </c>
      <c r="S781" s="4">
        <f ca="1">IF(ISNA(M781),0,COUNTIF($R$6:R781,R781))</f>
        <v>0</v>
      </c>
      <c r="T781" s="4" t="e">
        <f t="shared" ca="1" si="83"/>
        <v>#N/A</v>
      </c>
    </row>
    <row r="782" spans="2:20" x14ac:dyDescent="0.3">
      <c r="B782" s="48"/>
      <c r="C782" s="48"/>
      <c r="D782" s="10" t="str">
        <f t="shared" ca="1" si="80"/>
        <v/>
      </c>
      <c r="E782" s="48"/>
      <c r="F782" s="48"/>
      <c r="G782" s="10" t="str">
        <f t="shared" ca="1" si="79"/>
        <v/>
      </c>
      <c r="I782" s="10" t="str">
        <f t="shared" ca="1" si="81"/>
        <v/>
      </c>
      <c r="K782" s="4" t="e">
        <f t="shared" ca="1" si="82"/>
        <v>#N/A</v>
      </c>
      <c r="L782" s="4" t="e">
        <f>VLOOKUP(C782,_resources!B:D,3,0)</f>
        <v>#N/A</v>
      </c>
      <c r="M782" s="4" t="e" cm="1">
        <f t="array" aca="1" ref="M782" ca="1">IF(abbrAtEnd,"",L782&amp;"-")&amp;E782&amp;"-"&amp;INDIRECT(OFFSET(element3,MATCH($C782,resources,0)-1,0))&amp;"-"&amp;INDIRECT(OFFSET(element4,MATCH($C782,resources,0)-1,0))&amp;"-"&amp;INDIRECT(OFFSET(element5,MATCH($C782,resources,0)-1,0))&amp;IF(OFFSET(element6,MATCH($C782,resources,0)-1,0)="","","-"&amp;INDIRECT(OFFSET(element6,MATCH($C782,resources,0)-1,0)))&amp;IF(abbrAtEnd,"-"&amp;L782,"")</f>
        <v>#N/A</v>
      </c>
      <c r="N782" s="4" t="str">
        <f t="shared" ref="N782:N845" si="85">IF($M$4,"-"&amp;TEXT(P782,"000"),"-"&amp;TEXT(Q782,"000"))</f>
        <v>-000</v>
      </c>
      <c r="O782" s="4">
        <f ca="1">IF(totalElements+COUNTIF(Entities!$C$10,"*")+COUNTIF(B782:C782,"*")+COUNTIF(E782:F782,"*")=9,1,0)</f>
        <v>0</v>
      </c>
      <c r="P782" s="4">
        <f>COUNTIF($C$6:C782,C782)</f>
        <v>0</v>
      </c>
      <c r="Q782" s="4">
        <f ca="1">IF(ISNA(M782),0,COUNTIF($M$6:M782,M782))</f>
        <v>0</v>
      </c>
      <c r="R782" s="4" t="e">
        <f t="shared" ca="1" si="84"/>
        <v>#N/A</v>
      </c>
      <c r="S782" s="4">
        <f ca="1">IF(ISNA(M782),0,COUNTIF($R$6:R782,R782))</f>
        <v>0</v>
      </c>
      <c r="T782" s="4" t="e">
        <f t="shared" ca="1" si="83"/>
        <v>#N/A</v>
      </c>
    </row>
    <row r="783" spans="2:20" x14ac:dyDescent="0.3">
      <c r="B783" s="48"/>
      <c r="C783" s="48"/>
      <c r="D783" s="10" t="str">
        <f t="shared" ca="1" si="80"/>
        <v/>
      </c>
      <c r="E783" s="48"/>
      <c r="F783" s="48"/>
      <c r="G783" s="10" t="str">
        <f t="shared" ca="1" si="79"/>
        <v/>
      </c>
      <c r="I783" s="10" t="str">
        <f t="shared" ca="1" si="81"/>
        <v/>
      </c>
      <c r="K783" s="4" t="e">
        <f t="shared" ca="1" si="82"/>
        <v>#N/A</v>
      </c>
      <c r="L783" s="4" t="e">
        <f>VLOOKUP(C783,_resources!B:D,3,0)</f>
        <v>#N/A</v>
      </c>
      <c r="M783" s="4" t="e" cm="1">
        <f t="array" aca="1" ref="M783" ca="1">IF(abbrAtEnd,"",L783&amp;"-")&amp;E783&amp;"-"&amp;INDIRECT(OFFSET(element3,MATCH($C783,resources,0)-1,0))&amp;"-"&amp;INDIRECT(OFFSET(element4,MATCH($C783,resources,0)-1,0))&amp;"-"&amp;INDIRECT(OFFSET(element5,MATCH($C783,resources,0)-1,0))&amp;IF(OFFSET(element6,MATCH($C783,resources,0)-1,0)="","","-"&amp;INDIRECT(OFFSET(element6,MATCH($C783,resources,0)-1,0)))&amp;IF(abbrAtEnd,"-"&amp;L783,"")</f>
        <v>#N/A</v>
      </c>
      <c r="N783" s="4" t="str">
        <f t="shared" si="85"/>
        <v>-000</v>
      </c>
      <c r="O783" s="4">
        <f ca="1">IF(totalElements+COUNTIF(Entities!$C$10,"*")+COUNTIF(B783:C783,"*")+COUNTIF(E783:F783,"*")=9,1,0)</f>
        <v>0</v>
      </c>
      <c r="P783" s="4">
        <f>COUNTIF($C$6:C783,C783)</f>
        <v>0</v>
      </c>
      <c r="Q783" s="4">
        <f ca="1">IF(ISNA(M783),0,COUNTIF($M$6:M783,M783))</f>
        <v>0</v>
      </c>
      <c r="R783" s="4" t="e">
        <f t="shared" ca="1" si="84"/>
        <v>#N/A</v>
      </c>
      <c r="S783" s="4">
        <f ca="1">IF(ISNA(M783),0,COUNTIF($R$6:R783,R783))</f>
        <v>0</v>
      </c>
      <c r="T783" s="4" t="e">
        <f t="shared" ca="1" si="83"/>
        <v>#N/A</v>
      </c>
    </row>
    <row r="784" spans="2:20" x14ac:dyDescent="0.3">
      <c r="B784" s="48"/>
      <c r="C784" s="48"/>
      <c r="D784" s="10" t="str">
        <f t="shared" ca="1" si="80"/>
        <v/>
      </c>
      <c r="E784" s="48"/>
      <c r="F784" s="48"/>
      <c r="G784" s="10" t="str">
        <f t="shared" ca="1" si="79"/>
        <v/>
      </c>
      <c r="I784" s="10" t="str">
        <f t="shared" ca="1" si="81"/>
        <v/>
      </c>
      <c r="K784" s="4" t="e">
        <f t="shared" ca="1" si="82"/>
        <v>#N/A</v>
      </c>
      <c r="L784" s="4" t="e">
        <f>VLOOKUP(C784,_resources!B:D,3,0)</f>
        <v>#N/A</v>
      </c>
      <c r="M784" s="4" t="e" cm="1">
        <f t="array" aca="1" ref="M784" ca="1">IF(abbrAtEnd,"",L784&amp;"-")&amp;E784&amp;"-"&amp;INDIRECT(OFFSET(element3,MATCH($C784,resources,0)-1,0))&amp;"-"&amp;INDIRECT(OFFSET(element4,MATCH($C784,resources,0)-1,0))&amp;"-"&amp;INDIRECT(OFFSET(element5,MATCH($C784,resources,0)-1,0))&amp;IF(OFFSET(element6,MATCH($C784,resources,0)-1,0)="","","-"&amp;INDIRECT(OFFSET(element6,MATCH($C784,resources,0)-1,0)))&amp;IF(abbrAtEnd,"-"&amp;L784,"")</f>
        <v>#N/A</v>
      </c>
      <c r="N784" s="4" t="str">
        <f t="shared" si="85"/>
        <v>-000</v>
      </c>
      <c r="O784" s="4">
        <f ca="1">IF(totalElements+COUNTIF(Entities!$C$10,"*")+COUNTIF(B784:C784,"*")+COUNTIF(E784:F784,"*")=9,1,0)</f>
        <v>0</v>
      </c>
      <c r="P784" s="4">
        <f>COUNTIF($C$6:C784,C784)</f>
        <v>0</v>
      </c>
      <c r="Q784" s="4">
        <f ca="1">IF(ISNA(M784),0,COUNTIF($M$6:M784,M784))</f>
        <v>0</v>
      </c>
      <c r="R784" s="4" t="e">
        <f t="shared" ca="1" si="84"/>
        <v>#N/A</v>
      </c>
      <c r="S784" s="4">
        <f ca="1">IF(ISNA(M784),0,COUNTIF($R$6:R784,R784))</f>
        <v>0</v>
      </c>
      <c r="T784" s="4" t="e">
        <f t="shared" ca="1" si="83"/>
        <v>#N/A</v>
      </c>
    </row>
    <row r="785" spans="2:20" x14ac:dyDescent="0.3">
      <c r="B785" s="48"/>
      <c r="C785" s="48"/>
      <c r="D785" s="10" t="str">
        <f t="shared" ca="1" si="80"/>
        <v/>
      </c>
      <c r="E785" s="48"/>
      <c r="F785" s="48"/>
      <c r="G785" s="10" t="str">
        <f t="shared" ca="1" si="79"/>
        <v/>
      </c>
      <c r="I785" s="10" t="str">
        <f t="shared" ca="1" si="81"/>
        <v/>
      </c>
      <c r="K785" s="4" t="e">
        <f t="shared" ca="1" si="82"/>
        <v>#N/A</v>
      </c>
      <c r="L785" s="4" t="e">
        <f>VLOOKUP(C785,_resources!B:D,3,0)</f>
        <v>#N/A</v>
      </c>
      <c r="M785" s="4" t="e" cm="1">
        <f t="array" aca="1" ref="M785" ca="1">IF(abbrAtEnd,"",L785&amp;"-")&amp;E785&amp;"-"&amp;INDIRECT(OFFSET(element3,MATCH($C785,resources,0)-1,0))&amp;"-"&amp;INDIRECT(OFFSET(element4,MATCH($C785,resources,0)-1,0))&amp;"-"&amp;INDIRECT(OFFSET(element5,MATCH($C785,resources,0)-1,0))&amp;IF(OFFSET(element6,MATCH($C785,resources,0)-1,0)="","","-"&amp;INDIRECT(OFFSET(element6,MATCH($C785,resources,0)-1,0)))&amp;IF(abbrAtEnd,"-"&amp;L785,"")</f>
        <v>#N/A</v>
      </c>
      <c r="N785" s="4" t="str">
        <f t="shared" si="85"/>
        <v>-000</v>
      </c>
      <c r="O785" s="4">
        <f ca="1">IF(totalElements+COUNTIF(Entities!$C$10,"*")+COUNTIF(B785:C785,"*")+COUNTIF(E785:F785,"*")=9,1,0)</f>
        <v>0</v>
      </c>
      <c r="P785" s="4">
        <f>COUNTIF($C$6:C785,C785)</f>
        <v>0</v>
      </c>
      <c r="Q785" s="4">
        <f ca="1">IF(ISNA(M785),0,COUNTIF($M$6:M785,M785))</f>
        <v>0</v>
      </c>
      <c r="R785" s="4" t="e">
        <f t="shared" ca="1" si="84"/>
        <v>#N/A</v>
      </c>
      <c r="S785" s="4">
        <f ca="1">IF(ISNA(M785),0,COUNTIF($R$6:R785,R785))</f>
        <v>0</v>
      </c>
      <c r="T785" s="4" t="e">
        <f t="shared" ca="1" si="83"/>
        <v>#N/A</v>
      </c>
    </row>
    <row r="786" spans="2:20" x14ac:dyDescent="0.3">
      <c r="B786" s="48"/>
      <c r="C786" s="48"/>
      <c r="D786" s="10" t="str">
        <f t="shared" ca="1" si="80"/>
        <v/>
      </c>
      <c r="E786" s="48"/>
      <c r="F786" s="48"/>
      <c r="G786" s="10" t="str">
        <f t="shared" ca="1" si="79"/>
        <v/>
      </c>
      <c r="I786" s="10" t="str">
        <f t="shared" ca="1" si="81"/>
        <v/>
      </c>
      <c r="K786" s="4" t="e">
        <f t="shared" ca="1" si="82"/>
        <v>#N/A</v>
      </c>
      <c r="L786" s="4" t="e">
        <f>VLOOKUP(C786,_resources!B:D,3,0)</f>
        <v>#N/A</v>
      </c>
      <c r="M786" s="4" t="e" cm="1">
        <f t="array" aca="1" ref="M786" ca="1">IF(abbrAtEnd,"",L786&amp;"-")&amp;E786&amp;"-"&amp;INDIRECT(OFFSET(element3,MATCH($C786,resources,0)-1,0))&amp;"-"&amp;INDIRECT(OFFSET(element4,MATCH($C786,resources,0)-1,0))&amp;"-"&amp;INDIRECT(OFFSET(element5,MATCH($C786,resources,0)-1,0))&amp;IF(OFFSET(element6,MATCH($C786,resources,0)-1,0)="","","-"&amp;INDIRECT(OFFSET(element6,MATCH($C786,resources,0)-1,0)))&amp;IF(abbrAtEnd,"-"&amp;L786,"")</f>
        <v>#N/A</v>
      </c>
      <c r="N786" s="4" t="str">
        <f t="shared" si="85"/>
        <v>-000</v>
      </c>
      <c r="O786" s="4">
        <f ca="1">IF(totalElements+COUNTIF(Entities!$C$10,"*")+COUNTIF(B786:C786,"*")+COUNTIF(E786:F786,"*")=9,1,0)</f>
        <v>0</v>
      </c>
      <c r="P786" s="4">
        <f>COUNTIF($C$6:C786,C786)</f>
        <v>0</v>
      </c>
      <c r="Q786" s="4">
        <f ca="1">IF(ISNA(M786),0,COUNTIF($M$6:M786,M786))</f>
        <v>0</v>
      </c>
      <c r="R786" s="4" t="e">
        <f t="shared" ca="1" si="84"/>
        <v>#N/A</v>
      </c>
      <c r="S786" s="4">
        <f ca="1">IF(ISNA(M786),0,COUNTIF($R$6:R786,R786))</f>
        <v>0</v>
      </c>
      <c r="T786" s="4" t="e">
        <f t="shared" ca="1" si="83"/>
        <v>#N/A</v>
      </c>
    </row>
    <row r="787" spans="2:20" x14ac:dyDescent="0.3">
      <c r="B787" s="48"/>
      <c r="C787" s="48"/>
      <c r="D787" s="10" t="str">
        <f t="shared" ca="1" si="80"/>
        <v/>
      </c>
      <c r="E787" s="48"/>
      <c r="F787" s="48"/>
      <c r="G787" s="10" t="str">
        <f t="shared" ref="G787:G850" ca="1" si="86">IF(O787,IF(K787="hyphenated",M787&amp;N787,IF(K787="dnsname",E787,IF(K787="alphanumeric",SUBSTITUTE(M787&amp;N787,"-",""),"unknown or missing resource structure"))),"")</f>
        <v/>
      </c>
      <c r="I787" s="10" t="str">
        <f t="shared" ca="1" si="81"/>
        <v/>
      </c>
      <c r="K787" s="4" t="e">
        <f t="shared" ca="1" si="82"/>
        <v>#N/A</v>
      </c>
      <c r="L787" s="4" t="e">
        <f>VLOOKUP(C787,_resources!B:D,3,0)</f>
        <v>#N/A</v>
      </c>
      <c r="M787" s="4" t="e" cm="1">
        <f t="array" aca="1" ref="M787" ca="1">IF(abbrAtEnd,"",L787&amp;"-")&amp;E787&amp;"-"&amp;INDIRECT(OFFSET(element3,MATCH($C787,resources,0)-1,0))&amp;"-"&amp;INDIRECT(OFFSET(element4,MATCH($C787,resources,0)-1,0))&amp;"-"&amp;INDIRECT(OFFSET(element5,MATCH($C787,resources,0)-1,0))&amp;IF(OFFSET(element6,MATCH($C787,resources,0)-1,0)="","","-"&amp;INDIRECT(OFFSET(element6,MATCH($C787,resources,0)-1,0)))&amp;IF(abbrAtEnd,"-"&amp;L787,"")</f>
        <v>#N/A</v>
      </c>
      <c r="N787" s="4" t="str">
        <f t="shared" si="85"/>
        <v>-000</v>
      </c>
      <c r="O787" s="4">
        <f ca="1">IF(totalElements+COUNTIF(Entities!$C$10,"*")+COUNTIF(B787:C787,"*")+COUNTIF(E787:F787,"*")=9,1,0)</f>
        <v>0</v>
      </c>
      <c r="P787" s="4">
        <f>COUNTIF($C$6:C787,C787)</f>
        <v>0</v>
      </c>
      <c r="Q787" s="4">
        <f ca="1">IF(ISNA(M787),0,COUNTIF($M$6:M787,M787))</f>
        <v>0</v>
      </c>
      <c r="R787" s="4" t="e">
        <f t="shared" ca="1" si="84"/>
        <v>#N/A</v>
      </c>
      <c r="S787" s="4">
        <f ca="1">IF(ISNA(M787),0,COUNTIF($R$6:R787,R787))</f>
        <v>0</v>
      </c>
      <c r="T787" s="4" t="e">
        <f t="shared" ca="1" si="83"/>
        <v>#N/A</v>
      </c>
    </row>
    <row r="788" spans="2:20" x14ac:dyDescent="0.3">
      <c r="B788" s="48"/>
      <c r="C788" s="48"/>
      <c r="D788" s="10" t="str">
        <f t="shared" ca="1" si="80"/>
        <v/>
      </c>
      <c r="E788" s="48"/>
      <c r="F788" s="48"/>
      <c r="G788" s="10" t="str">
        <f t="shared" ca="1" si="86"/>
        <v/>
      </c>
      <c r="I788" s="10" t="str">
        <f t="shared" ca="1" si="81"/>
        <v/>
      </c>
      <c r="K788" s="4" t="e">
        <f t="shared" ca="1" si="82"/>
        <v>#N/A</v>
      </c>
      <c r="L788" s="4" t="e">
        <f>VLOOKUP(C788,_resources!B:D,3,0)</f>
        <v>#N/A</v>
      </c>
      <c r="M788" s="4" t="e" cm="1">
        <f t="array" aca="1" ref="M788" ca="1">IF(abbrAtEnd,"",L788&amp;"-")&amp;E788&amp;"-"&amp;INDIRECT(OFFSET(element3,MATCH($C788,resources,0)-1,0))&amp;"-"&amp;INDIRECT(OFFSET(element4,MATCH($C788,resources,0)-1,0))&amp;"-"&amp;INDIRECT(OFFSET(element5,MATCH($C788,resources,0)-1,0))&amp;IF(OFFSET(element6,MATCH($C788,resources,0)-1,0)="","","-"&amp;INDIRECT(OFFSET(element6,MATCH($C788,resources,0)-1,0)))&amp;IF(abbrAtEnd,"-"&amp;L788,"")</f>
        <v>#N/A</v>
      </c>
      <c r="N788" s="4" t="str">
        <f t="shared" si="85"/>
        <v>-000</v>
      </c>
      <c r="O788" s="4">
        <f ca="1">IF(totalElements+COUNTIF(Entities!$C$10,"*")+COUNTIF(B788:C788,"*")+COUNTIF(E788:F788,"*")=9,1,0)</f>
        <v>0</v>
      </c>
      <c r="P788" s="4">
        <f>COUNTIF($C$6:C788,C788)</f>
        <v>0</v>
      </c>
      <c r="Q788" s="4">
        <f ca="1">IF(ISNA(M788),0,COUNTIF($M$6:M788,M788))</f>
        <v>0</v>
      </c>
      <c r="R788" s="4" t="e">
        <f t="shared" ca="1" si="84"/>
        <v>#N/A</v>
      </c>
      <c r="S788" s="4">
        <f ca="1">IF(ISNA(M788),0,COUNTIF($R$6:R788,R788))</f>
        <v>0</v>
      </c>
      <c r="T788" s="4" t="e">
        <f t="shared" ca="1" si="83"/>
        <v>#N/A</v>
      </c>
    </row>
    <row r="789" spans="2:20" x14ac:dyDescent="0.3">
      <c r="B789" s="48"/>
      <c r="C789" s="48"/>
      <c r="D789" s="10" t="str">
        <f t="shared" ca="1" si="80"/>
        <v/>
      </c>
      <c r="E789" s="48"/>
      <c r="F789" s="48"/>
      <c r="G789" s="10" t="str">
        <f t="shared" ca="1" si="86"/>
        <v/>
      </c>
      <c r="I789" s="10" t="str">
        <f t="shared" ca="1" si="81"/>
        <v/>
      </c>
      <c r="K789" s="4" t="e">
        <f t="shared" ca="1" si="82"/>
        <v>#N/A</v>
      </c>
      <c r="L789" s="4" t="e">
        <f>VLOOKUP(C789,_resources!B:D,3,0)</f>
        <v>#N/A</v>
      </c>
      <c r="M789" s="4" t="e" cm="1">
        <f t="array" aca="1" ref="M789" ca="1">IF(abbrAtEnd,"",L789&amp;"-")&amp;E789&amp;"-"&amp;INDIRECT(OFFSET(element3,MATCH($C789,resources,0)-1,0))&amp;"-"&amp;INDIRECT(OFFSET(element4,MATCH($C789,resources,0)-1,0))&amp;"-"&amp;INDIRECT(OFFSET(element5,MATCH($C789,resources,0)-1,0))&amp;IF(OFFSET(element6,MATCH($C789,resources,0)-1,0)="","","-"&amp;INDIRECT(OFFSET(element6,MATCH($C789,resources,0)-1,0)))&amp;IF(abbrAtEnd,"-"&amp;L789,"")</f>
        <v>#N/A</v>
      </c>
      <c r="N789" s="4" t="str">
        <f t="shared" si="85"/>
        <v>-000</v>
      </c>
      <c r="O789" s="4">
        <f ca="1">IF(totalElements+COUNTIF(Entities!$C$10,"*")+COUNTIF(B789:C789,"*")+COUNTIF(E789:F789,"*")=9,1,0)</f>
        <v>0</v>
      </c>
      <c r="P789" s="4">
        <f>COUNTIF($C$6:C789,C789)</f>
        <v>0</v>
      </c>
      <c r="Q789" s="4">
        <f ca="1">IF(ISNA(M789),0,COUNTIF($M$6:M789,M789))</f>
        <v>0</v>
      </c>
      <c r="R789" s="4" t="e">
        <f t="shared" ca="1" si="84"/>
        <v>#N/A</v>
      </c>
      <c r="S789" s="4">
        <f ca="1">IF(ISNA(M789),0,COUNTIF($R$6:R789,R789))</f>
        <v>0</v>
      </c>
      <c r="T789" s="4" t="e">
        <f t="shared" ca="1" si="83"/>
        <v>#N/A</v>
      </c>
    </row>
    <row r="790" spans="2:20" x14ac:dyDescent="0.3">
      <c r="B790" s="48"/>
      <c r="C790" s="48"/>
      <c r="D790" s="10" t="str">
        <f t="shared" ca="1" si="80"/>
        <v/>
      </c>
      <c r="E790" s="48"/>
      <c r="F790" s="48"/>
      <c r="G790" s="10" t="str">
        <f t="shared" ca="1" si="86"/>
        <v/>
      </c>
      <c r="I790" s="10" t="str">
        <f t="shared" ca="1" si="81"/>
        <v/>
      </c>
      <c r="K790" s="4" t="e">
        <f t="shared" ca="1" si="82"/>
        <v>#N/A</v>
      </c>
      <c r="L790" s="4" t="e">
        <f>VLOOKUP(C790,_resources!B:D,3,0)</f>
        <v>#N/A</v>
      </c>
      <c r="M790" s="4" t="e" cm="1">
        <f t="array" aca="1" ref="M790" ca="1">IF(abbrAtEnd,"",L790&amp;"-")&amp;E790&amp;"-"&amp;INDIRECT(OFFSET(element3,MATCH($C790,resources,0)-1,0))&amp;"-"&amp;INDIRECT(OFFSET(element4,MATCH($C790,resources,0)-1,0))&amp;"-"&amp;INDIRECT(OFFSET(element5,MATCH($C790,resources,0)-1,0))&amp;IF(OFFSET(element6,MATCH($C790,resources,0)-1,0)="","","-"&amp;INDIRECT(OFFSET(element6,MATCH($C790,resources,0)-1,0)))&amp;IF(abbrAtEnd,"-"&amp;L790,"")</f>
        <v>#N/A</v>
      </c>
      <c r="N790" s="4" t="str">
        <f t="shared" si="85"/>
        <v>-000</v>
      </c>
      <c r="O790" s="4">
        <f ca="1">IF(totalElements+COUNTIF(Entities!$C$10,"*")+COUNTIF(B790:C790,"*")+COUNTIF(E790:F790,"*")=9,1,0)</f>
        <v>0</v>
      </c>
      <c r="P790" s="4">
        <f>COUNTIF($C$6:C790,C790)</f>
        <v>0</v>
      </c>
      <c r="Q790" s="4">
        <f ca="1">IF(ISNA(M790),0,COUNTIF($M$6:M790,M790))</f>
        <v>0</v>
      </c>
      <c r="R790" s="4" t="e">
        <f t="shared" ca="1" si="84"/>
        <v>#N/A</v>
      </c>
      <c r="S790" s="4">
        <f ca="1">IF(ISNA(M790),0,COUNTIF($R$6:R790,R790))</f>
        <v>0</v>
      </c>
      <c r="T790" s="4" t="e">
        <f t="shared" ca="1" si="83"/>
        <v>#N/A</v>
      </c>
    </row>
    <row r="791" spans="2:20" x14ac:dyDescent="0.3">
      <c r="B791" s="48"/>
      <c r="C791" s="48"/>
      <c r="D791" s="10" t="str">
        <f t="shared" ca="1" si="80"/>
        <v/>
      </c>
      <c r="E791" s="48"/>
      <c r="F791" s="48"/>
      <c r="G791" s="10" t="str">
        <f t="shared" ca="1" si="86"/>
        <v/>
      </c>
      <c r="I791" s="10" t="str">
        <f t="shared" ca="1" si="81"/>
        <v/>
      </c>
      <c r="K791" s="4" t="e">
        <f t="shared" ca="1" si="82"/>
        <v>#N/A</v>
      </c>
      <c r="L791" s="4" t="e">
        <f>VLOOKUP(C791,_resources!B:D,3,0)</f>
        <v>#N/A</v>
      </c>
      <c r="M791" s="4" t="e" cm="1">
        <f t="array" aca="1" ref="M791" ca="1">IF(abbrAtEnd,"",L791&amp;"-")&amp;E791&amp;"-"&amp;INDIRECT(OFFSET(element3,MATCH($C791,resources,0)-1,0))&amp;"-"&amp;INDIRECT(OFFSET(element4,MATCH($C791,resources,0)-1,0))&amp;"-"&amp;INDIRECT(OFFSET(element5,MATCH($C791,resources,0)-1,0))&amp;IF(OFFSET(element6,MATCH($C791,resources,0)-1,0)="","","-"&amp;INDIRECT(OFFSET(element6,MATCH($C791,resources,0)-1,0)))&amp;IF(abbrAtEnd,"-"&amp;L791,"")</f>
        <v>#N/A</v>
      </c>
      <c r="N791" s="4" t="str">
        <f t="shared" si="85"/>
        <v>-000</v>
      </c>
      <c r="O791" s="4">
        <f ca="1">IF(totalElements+COUNTIF(Entities!$C$10,"*")+COUNTIF(B791:C791,"*")+COUNTIF(E791:F791,"*")=9,1,0)</f>
        <v>0</v>
      </c>
      <c r="P791" s="4">
        <f>COUNTIF($C$6:C791,C791)</f>
        <v>0</v>
      </c>
      <c r="Q791" s="4">
        <f ca="1">IF(ISNA(M791),0,COUNTIF($M$6:M791,M791))</f>
        <v>0</v>
      </c>
      <c r="R791" s="4" t="e">
        <f t="shared" ca="1" si="84"/>
        <v>#N/A</v>
      </c>
      <c r="S791" s="4">
        <f ca="1">IF(ISNA(M791),0,COUNTIF($R$6:R791,R791))</f>
        <v>0</v>
      </c>
      <c r="T791" s="4" t="e">
        <f t="shared" ca="1" si="83"/>
        <v>#N/A</v>
      </c>
    </row>
    <row r="792" spans="2:20" x14ac:dyDescent="0.3">
      <c r="B792" s="48"/>
      <c r="C792" s="48"/>
      <c r="D792" s="10" t="str">
        <f t="shared" ca="1" si="80"/>
        <v/>
      </c>
      <c r="E792" s="48"/>
      <c r="F792" s="48"/>
      <c r="G792" s="10" t="str">
        <f t="shared" ca="1" si="86"/>
        <v/>
      </c>
      <c r="I792" s="10" t="str">
        <f t="shared" ca="1" si="81"/>
        <v/>
      </c>
      <c r="K792" s="4" t="e">
        <f t="shared" ca="1" si="82"/>
        <v>#N/A</v>
      </c>
      <c r="L792" s="4" t="e">
        <f>VLOOKUP(C792,_resources!B:D,3,0)</f>
        <v>#N/A</v>
      </c>
      <c r="M792" s="4" t="e" cm="1">
        <f t="array" aca="1" ref="M792" ca="1">IF(abbrAtEnd,"",L792&amp;"-")&amp;E792&amp;"-"&amp;INDIRECT(OFFSET(element3,MATCH($C792,resources,0)-1,0))&amp;"-"&amp;INDIRECT(OFFSET(element4,MATCH($C792,resources,0)-1,0))&amp;"-"&amp;INDIRECT(OFFSET(element5,MATCH($C792,resources,0)-1,0))&amp;IF(OFFSET(element6,MATCH($C792,resources,0)-1,0)="","","-"&amp;INDIRECT(OFFSET(element6,MATCH($C792,resources,0)-1,0)))&amp;IF(abbrAtEnd,"-"&amp;L792,"")</f>
        <v>#N/A</v>
      </c>
      <c r="N792" s="4" t="str">
        <f t="shared" si="85"/>
        <v>-000</v>
      </c>
      <c r="O792" s="4">
        <f ca="1">IF(totalElements+COUNTIF(Entities!$C$10,"*")+COUNTIF(B792:C792,"*")+COUNTIF(E792:F792,"*")=9,1,0)</f>
        <v>0</v>
      </c>
      <c r="P792" s="4">
        <f>COUNTIF($C$6:C792,C792)</f>
        <v>0</v>
      </c>
      <c r="Q792" s="4">
        <f ca="1">IF(ISNA(M792),0,COUNTIF($M$6:M792,M792))</f>
        <v>0</v>
      </c>
      <c r="R792" s="4" t="e">
        <f t="shared" ca="1" si="84"/>
        <v>#N/A</v>
      </c>
      <c r="S792" s="4">
        <f ca="1">IF(ISNA(M792),0,COUNTIF($R$6:R792,R792))</f>
        <v>0</v>
      </c>
      <c r="T792" s="4" t="e">
        <f t="shared" ca="1" si="83"/>
        <v>#N/A</v>
      </c>
    </row>
    <row r="793" spans="2:20" x14ac:dyDescent="0.3">
      <c r="B793" s="48"/>
      <c r="C793" s="48"/>
      <c r="D793" s="10" t="str">
        <f t="shared" ca="1" si="80"/>
        <v/>
      </c>
      <c r="E793" s="48"/>
      <c r="F793" s="48"/>
      <c r="G793" s="10" t="str">
        <f t="shared" ca="1" si="86"/>
        <v/>
      </c>
      <c r="I793" s="10" t="str">
        <f t="shared" ca="1" si="81"/>
        <v/>
      </c>
      <c r="K793" s="4" t="e">
        <f t="shared" ca="1" si="82"/>
        <v>#N/A</v>
      </c>
      <c r="L793" s="4" t="e">
        <f>VLOOKUP(C793,_resources!B:D,3,0)</f>
        <v>#N/A</v>
      </c>
      <c r="M793" s="4" t="e" cm="1">
        <f t="array" aca="1" ref="M793" ca="1">IF(abbrAtEnd,"",L793&amp;"-")&amp;E793&amp;"-"&amp;INDIRECT(OFFSET(element3,MATCH($C793,resources,0)-1,0))&amp;"-"&amp;INDIRECT(OFFSET(element4,MATCH($C793,resources,0)-1,0))&amp;"-"&amp;INDIRECT(OFFSET(element5,MATCH($C793,resources,0)-1,0))&amp;IF(OFFSET(element6,MATCH($C793,resources,0)-1,0)="","","-"&amp;INDIRECT(OFFSET(element6,MATCH($C793,resources,0)-1,0)))&amp;IF(abbrAtEnd,"-"&amp;L793,"")</f>
        <v>#N/A</v>
      </c>
      <c r="N793" s="4" t="str">
        <f t="shared" si="85"/>
        <v>-000</v>
      </c>
      <c r="O793" s="4">
        <f ca="1">IF(totalElements+COUNTIF(Entities!$C$10,"*")+COUNTIF(B793:C793,"*")+COUNTIF(E793:F793,"*")=9,1,0)</f>
        <v>0</v>
      </c>
      <c r="P793" s="4">
        <f>COUNTIF($C$6:C793,C793)</f>
        <v>0</v>
      </c>
      <c r="Q793" s="4">
        <f ca="1">IF(ISNA(M793),0,COUNTIF($M$6:M793,M793))</f>
        <v>0</v>
      </c>
      <c r="R793" s="4" t="e">
        <f t="shared" ca="1" si="84"/>
        <v>#N/A</v>
      </c>
      <c r="S793" s="4">
        <f ca="1">IF(ISNA(M793),0,COUNTIF($R$6:R793,R793))</f>
        <v>0</v>
      </c>
      <c r="T793" s="4" t="e">
        <f t="shared" ca="1" si="83"/>
        <v>#N/A</v>
      </c>
    </row>
    <row r="794" spans="2:20" x14ac:dyDescent="0.3">
      <c r="B794" s="48"/>
      <c r="C794" s="48"/>
      <c r="D794" s="10" t="str">
        <f t="shared" ca="1" si="80"/>
        <v/>
      </c>
      <c r="E794" s="48"/>
      <c r="F794" s="48"/>
      <c r="G794" s="10" t="str">
        <f t="shared" ca="1" si="86"/>
        <v/>
      </c>
      <c r="I794" s="10" t="str">
        <f t="shared" ca="1" si="81"/>
        <v/>
      </c>
      <c r="K794" s="4" t="e">
        <f t="shared" ca="1" si="82"/>
        <v>#N/A</v>
      </c>
      <c r="L794" s="4" t="e">
        <f>VLOOKUP(C794,_resources!B:D,3,0)</f>
        <v>#N/A</v>
      </c>
      <c r="M794" s="4" t="e" cm="1">
        <f t="array" aca="1" ref="M794" ca="1">IF(abbrAtEnd,"",L794&amp;"-")&amp;E794&amp;"-"&amp;INDIRECT(OFFSET(element3,MATCH($C794,resources,0)-1,0))&amp;"-"&amp;INDIRECT(OFFSET(element4,MATCH($C794,resources,0)-1,0))&amp;"-"&amp;INDIRECT(OFFSET(element5,MATCH($C794,resources,0)-1,0))&amp;IF(OFFSET(element6,MATCH($C794,resources,0)-1,0)="","","-"&amp;INDIRECT(OFFSET(element6,MATCH($C794,resources,0)-1,0)))&amp;IF(abbrAtEnd,"-"&amp;L794,"")</f>
        <v>#N/A</v>
      </c>
      <c r="N794" s="4" t="str">
        <f t="shared" si="85"/>
        <v>-000</v>
      </c>
      <c r="O794" s="4">
        <f ca="1">IF(totalElements+COUNTIF(Entities!$C$10,"*")+COUNTIF(B794:C794,"*")+COUNTIF(E794:F794,"*")=9,1,0)</f>
        <v>0</v>
      </c>
      <c r="P794" s="4">
        <f>COUNTIF($C$6:C794,C794)</f>
        <v>0</v>
      </c>
      <c r="Q794" s="4">
        <f ca="1">IF(ISNA(M794),0,COUNTIF($M$6:M794,M794))</f>
        <v>0</v>
      </c>
      <c r="R794" s="4" t="e">
        <f t="shared" ca="1" si="84"/>
        <v>#N/A</v>
      </c>
      <c r="S794" s="4">
        <f ca="1">IF(ISNA(M794),0,COUNTIF($R$6:R794,R794))</f>
        <v>0</v>
      </c>
      <c r="T794" s="4" t="e">
        <f t="shared" ca="1" si="83"/>
        <v>#N/A</v>
      </c>
    </row>
    <row r="795" spans="2:20" x14ac:dyDescent="0.3">
      <c r="B795" s="48"/>
      <c r="C795" s="48"/>
      <c r="D795" s="10" t="str">
        <f t="shared" ca="1" si="80"/>
        <v/>
      </c>
      <c r="E795" s="48"/>
      <c r="F795" s="48"/>
      <c r="G795" s="10" t="str">
        <f t="shared" ca="1" si="86"/>
        <v/>
      </c>
      <c r="I795" s="10" t="str">
        <f t="shared" ca="1" si="81"/>
        <v/>
      </c>
      <c r="K795" s="4" t="e">
        <f t="shared" ca="1" si="82"/>
        <v>#N/A</v>
      </c>
      <c r="L795" s="4" t="e">
        <f>VLOOKUP(C795,_resources!B:D,3,0)</f>
        <v>#N/A</v>
      </c>
      <c r="M795" s="4" t="e" cm="1">
        <f t="array" aca="1" ref="M795" ca="1">IF(abbrAtEnd,"",L795&amp;"-")&amp;E795&amp;"-"&amp;INDIRECT(OFFSET(element3,MATCH($C795,resources,0)-1,0))&amp;"-"&amp;INDIRECT(OFFSET(element4,MATCH($C795,resources,0)-1,0))&amp;"-"&amp;INDIRECT(OFFSET(element5,MATCH($C795,resources,0)-1,0))&amp;IF(OFFSET(element6,MATCH($C795,resources,0)-1,0)="","","-"&amp;INDIRECT(OFFSET(element6,MATCH($C795,resources,0)-1,0)))&amp;IF(abbrAtEnd,"-"&amp;L795,"")</f>
        <v>#N/A</v>
      </c>
      <c r="N795" s="4" t="str">
        <f t="shared" si="85"/>
        <v>-000</v>
      </c>
      <c r="O795" s="4">
        <f ca="1">IF(totalElements+COUNTIF(Entities!$C$10,"*")+COUNTIF(B795:C795,"*")+COUNTIF(E795:F795,"*")=9,1,0)</f>
        <v>0</v>
      </c>
      <c r="P795" s="4">
        <f>COUNTIF($C$6:C795,C795)</f>
        <v>0</v>
      </c>
      <c r="Q795" s="4">
        <f ca="1">IF(ISNA(M795),0,COUNTIF($M$6:M795,M795))</f>
        <v>0</v>
      </c>
      <c r="R795" s="4" t="e">
        <f t="shared" ca="1" si="84"/>
        <v>#N/A</v>
      </c>
      <c r="S795" s="4">
        <f ca="1">IF(ISNA(M795),0,COUNTIF($R$6:R795,R795))</f>
        <v>0</v>
      </c>
      <c r="T795" s="4" t="e">
        <f t="shared" ca="1" si="83"/>
        <v>#N/A</v>
      </c>
    </row>
    <row r="796" spans="2:20" x14ac:dyDescent="0.3">
      <c r="B796" s="48"/>
      <c r="C796" s="48"/>
      <c r="D796" s="10" t="str">
        <f t="shared" ca="1" si="80"/>
        <v/>
      </c>
      <c r="E796" s="48"/>
      <c r="F796" s="48"/>
      <c r="G796" s="10" t="str">
        <f t="shared" ca="1" si="86"/>
        <v/>
      </c>
      <c r="I796" s="10" t="str">
        <f t="shared" ca="1" si="81"/>
        <v/>
      </c>
      <c r="K796" s="4" t="e">
        <f t="shared" ca="1" si="82"/>
        <v>#N/A</v>
      </c>
      <c r="L796" s="4" t="e">
        <f>VLOOKUP(C796,_resources!B:D,3,0)</f>
        <v>#N/A</v>
      </c>
      <c r="M796" s="4" t="e" cm="1">
        <f t="array" aca="1" ref="M796" ca="1">IF(abbrAtEnd,"",L796&amp;"-")&amp;E796&amp;"-"&amp;INDIRECT(OFFSET(element3,MATCH($C796,resources,0)-1,0))&amp;"-"&amp;INDIRECT(OFFSET(element4,MATCH($C796,resources,0)-1,0))&amp;"-"&amp;INDIRECT(OFFSET(element5,MATCH($C796,resources,0)-1,0))&amp;IF(OFFSET(element6,MATCH($C796,resources,0)-1,0)="","","-"&amp;INDIRECT(OFFSET(element6,MATCH($C796,resources,0)-1,0)))&amp;IF(abbrAtEnd,"-"&amp;L796,"")</f>
        <v>#N/A</v>
      </c>
      <c r="N796" s="4" t="str">
        <f t="shared" si="85"/>
        <v>-000</v>
      </c>
      <c r="O796" s="4">
        <f ca="1">IF(totalElements+COUNTIF(Entities!$C$10,"*")+COUNTIF(B796:C796,"*")+COUNTIF(E796:F796,"*")=9,1,0)</f>
        <v>0</v>
      </c>
      <c r="P796" s="4">
        <f>COUNTIF($C$6:C796,C796)</f>
        <v>0</v>
      </c>
      <c r="Q796" s="4">
        <f ca="1">IF(ISNA(M796),0,COUNTIF($M$6:M796,M796))</f>
        <v>0</v>
      </c>
      <c r="R796" s="4" t="e">
        <f t="shared" ca="1" si="84"/>
        <v>#N/A</v>
      </c>
      <c r="S796" s="4">
        <f ca="1">IF(ISNA(M796),0,COUNTIF($R$6:R796,R796))</f>
        <v>0</v>
      </c>
      <c r="T796" s="4" t="e">
        <f t="shared" ca="1" si="83"/>
        <v>#N/A</v>
      </c>
    </row>
    <row r="797" spans="2:20" x14ac:dyDescent="0.3">
      <c r="B797" s="48"/>
      <c r="C797" s="48"/>
      <c r="D797" s="10" t="str">
        <f t="shared" ca="1" si="80"/>
        <v/>
      </c>
      <c r="E797" s="48"/>
      <c r="F797" s="48"/>
      <c r="G797" s="10" t="str">
        <f t="shared" ca="1" si="86"/>
        <v/>
      </c>
      <c r="I797" s="10" t="str">
        <f t="shared" ca="1" si="81"/>
        <v/>
      </c>
      <c r="K797" s="4" t="e">
        <f t="shared" ca="1" si="82"/>
        <v>#N/A</v>
      </c>
      <c r="L797" s="4" t="e">
        <f>VLOOKUP(C797,_resources!B:D,3,0)</f>
        <v>#N/A</v>
      </c>
      <c r="M797" s="4" t="e" cm="1">
        <f t="array" aca="1" ref="M797" ca="1">IF(abbrAtEnd,"",L797&amp;"-")&amp;E797&amp;"-"&amp;INDIRECT(OFFSET(element3,MATCH($C797,resources,0)-1,0))&amp;"-"&amp;INDIRECT(OFFSET(element4,MATCH($C797,resources,0)-1,0))&amp;"-"&amp;INDIRECT(OFFSET(element5,MATCH($C797,resources,0)-1,0))&amp;IF(OFFSET(element6,MATCH($C797,resources,0)-1,0)="","","-"&amp;INDIRECT(OFFSET(element6,MATCH($C797,resources,0)-1,0)))&amp;IF(abbrAtEnd,"-"&amp;L797,"")</f>
        <v>#N/A</v>
      </c>
      <c r="N797" s="4" t="str">
        <f t="shared" si="85"/>
        <v>-000</v>
      </c>
      <c r="O797" s="4">
        <f ca="1">IF(totalElements+COUNTIF(Entities!$C$10,"*")+COUNTIF(B797:C797,"*")+COUNTIF(E797:F797,"*")=9,1,0)</f>
        <v>0</v>
      </c>
      <c r="P797" s="4">
        <f>COUNTIF($C$6:C797,C797)</f>
        <v>0</v>
      </c>
      <c r="Q797" s="4">
        <f ca="1">IF(ISNA(M797),0,COUNTIF($M$6:M797,M797))</f>
        <v>0</v>
      </c>
      <c r="R797" s="4" t="e">
        <f t="shared" ca="1" si="84"/>
        <v>#N/A</v>
      </c>
      <c r="S797" s="4">
        <f ca="1">IF(ISNA(M797),0,COUNTIF($R$6:R797,R797))</f>
        <v>0</v>
      </c>
      <c r="T797" s="4" t="e">
        <f t="shared" ca="1" si="83"/>
        <v>#N/A</v>
      </c>
    </row>
    <row r="798" spans="2:20" x14ac:dyDescent="0.3">
      <c r="B798" s="48"/>
      <c r="C798" s="48"/>
      <c r="D798" s="10" t="str">
        <f t="shared" ca="1" si="80"/>
        <v/>
      </c>
      <c r="E798" s="48"/>
      <c r="F798" s="48"/>
      <c r="G798" s="10" t="str">
        <f t="shared" ca="1" si="86"/>
        <v/>
      </c>
      <c r="I798" s="10" t="str">
        <f t="shared" ca="1" si="81"/>
        <v/>
      </c>
      <c r="K798" s="4" t="e">
        <f t="shared" ca="1" si="82"/>
        <v>#N/A</v>
      </c>
      <c r="L798" s="4" t="e">
        <f>VLOOKUP(C798,_resources!B:D,3,0)</f>
        <v>#N/A</v>
      </c>
      <c r="M798" s="4" t="e" cm="1">
        <f t="array" aca="1" ref="M798" ca="1">IF(abbrAtEnd,"",L798&amp;"-")&amp;E798&amp;"-"&amp;INDIRECT(OFFSET(element3,MATCH($C798,resources,0)-1,0))&amp;"-"&amp;INDIRECT(OFFSET(element4,MATCH($C798,resources,0)-1,0))&amp;"-"&amp;INDIRECT(OFFSET(element5,MATCH($C798,resources,0)-1,0))&amp;IF(OFFSET(element6,MATCH($C798,resources,0)-1,0)="","","-"&amp;INDIRECT(OFFSET(element6,MATCH($C798,resources,0)-1,0)))&amp;IF(abbrAtEnd,"-"&amp;L798,"")</f>
        <v>#N/A</v>
      </c>
      <c r="N798" s="4" t="str">
        <f t="shared" si="85"/>
        <v>-000</v>
      </c>
      <c r="O798" s="4">
        <f ca="1">IF(totalElements+COUNTIF(Entities!$C$10,"*")+COUNTIF(B798:C798,"*")+COUNTIF(E798:F798,"*")=9,1,0)</f>
        <v>0</v>
      </c>
      <c r="P798" s="4">
        <f>COUNTIF($C$6:C798,C798)</f>
        <v>0</v>
      </c>
      <c r="Q798" s="4">
        <f ca="1">IF(ISNA(M798),0,COUNTIF($M$6:M798,M798))</f>
        <v>0</v>
      </c>
      <c r="R798" s="4" t="e">
        <f t="shared" ca="1" si="84"/>
        <v>#N/A</v>
      </c>
      <c r="S798" s="4">
        <f ca="1">IF(ISNA(M798),0,COUNTIF($R$6:R798,R798))</f>
        <v>0</v>
      </c>
      <c r="T798" s="4" t="e">
        <f t="shared" ca="1" si="83"/>
        <v>#N/A</v>
      </c>
    </row>
    <row r="799" spans="2:20" x14ac:dyDescent="0.3">
      <c r="B799" s="48"/>
      <c r="C799" s="48"/>
      <c r="D799" s="10" t="str">
        <f t="shared" ca="1" si="80"/>
        <v/>
      </c>
      <c r="E799" s="48"/>
      <c r="F799" s="48"/>
      <c r="G799" s="10" t="str">
        <f t="shared" ca="1" si="86"/>
        <v/>
      </c>
      <c r="I799" s="10" t="str">
        <f t="shared" ca="1" si="81"/>
        <v/>
      </c>
      <c r="K799" s="4" t="e">
        <f t="shared" ca="1" si="82"/>
        <v>#N/A</v>
      </c>
      <c r="L799" s="4" t="e">
        <f>VLOOKUP(C799,_resources!B:D,3,0)</f>
        <v>#N/A</v>
      </c>
      <c r="M799" s="4" t="e" cm="1">
        <f t="array" aca="1" ref="M799" ca="1">IF(abbrAtEnd,"",L799&amp;"-")&amp;E799&amp;"-"&amp;INDIRECT(OFFSET(element3,MATCH($C799,resources,0)-1,0))&amp;"-"&amp;INDIRECT(OFFSET(element4,MATCH($C799,resources,0)-1,0))&amp;"-"&amp;INDIRECT(OFFSET(element5,MATCH($C799,resources,0)-1,0))&amp;IF(OFFSET(element6,MATCH($C799,resources,0)-1,0)="","","-"&amp;INDIRECT(OFFSET(element6,MATCH($C799,resources,0)-1,0)))&amp;IF(abbrAtEnd,"-"&amp;L799,"")</f>
        <v>#N/A</v>
      </c>
      <c r="N799" s="4" t="str">
        <f t="shared" si="85"/>
        <v>-000</v>
      </c>
      <c r="O799" s="4">
        <f ca="1">IF(totalElements+COUNTIF(Entities!$C$10,"*")+COUNTIF(B799:C799,"*")+COUNTIF(E799:F799,"*")=9,1,0)</f>
        <v>0</v>
      </c>
      <c r="P799" s="4">
        <f>COUNTIF($C$6:C799,C799)</f>
        <v>0</v>
      </c>
      <c r="Q799" s="4">
        <f ca="1">IF(ISNA(M799),0,COUNTIF($M$6:M799,M799))</f>
        <v>0</v>
      </c>
      <c r="R799" s="4" t="e">
        <f t="shared" ca="1" si="84"/>
        <v>#N/A</v>
      </c>
      <c r="S799" s="4">
        <f ca="1">IF(ISNA(M799),0,COUNTIF($R$6:R799,R799))</f>
        <v>0</v>
      </c>
      <c r="T799" s="4" t="e">
        <f t="shared" ca="1" si="83"/>
        <v>#N/A</v>
      </c>
    </row>
    <row r="800" spans="2:20" x14ac:dyDescent="0.3">
      <c r="B800" s="48"/>
      <c r="C800" s="48"/>
      <c r="D800" s="10" t="str">
        <f t="shared" ca="1" si="80"/>
        <v/>
      </c>
      <c r="E800" s="48"/>
      <c r="F800" s="48"/>
      <c r="G800" s="10" t="str">
        <f t="shared" ca="1" si="86"/>
        <v/>
      </c>
      <c r="I800" s="10" t="str">
        <f t="shared" ca="1" si="81"/>
        <v/>
      </c>
      <c r="K800" s="4" t="e">
        <f t="shared" ca="1" si="82"/>
        <v>#N/A</v>
      </c>
      <c r="L800" s="4" t="e">
        <f>VLOOKUP(C800,_resources!B:D,3,0)</f>
        <v>#N/A</v>
      </c>
      <c r="M800" s="4" t="e" cm="1">
        <f t="array" aca="1" ref="M800" ca="1">IF(abbrAtEnd,"",L800&amp;"-")&amp;E800&amp;"-"&amp;INDIRECT(OFFSET(element3,MATCH($C800,resources,0)-1,0))&amp;"-"&amp;INDIRECT(OFFSET(element4,MATCH($C800,resources,0)-1,0))&amp;"-"&amp;INDIRECT(OFFSET(element5,MATCH($C800,resources,0)-1,0))&amp;IF(OFFSET(element6,MATCH($C800,resources,0)-1,0)="","","-"&amp;INDIRECT(OFFSET(element6,MATCH($C800,resources,0)-1,0)))&amp;IF(abbrAtEnd,"-"&amp;L800,"")</f>
        <v>#N/A</v>
      </c>
      <c r="N800" s="4" t="str">
        <f t="shared" si="85"/>
        <v>-000</v>
      </c>
      <c r="O800" s="4">
        <f ca="1">IF(totalElements+COUNTIF(Entities!$C$10,"*")+COUNTIF(B800:C800,"*")+COUNTIF(E800:F800,"*")=9,1,0)</f>
        <v>0</v>
      </c>
      <c r="P800" s="4">
        <f>COUNTIF($C$6:C800,C800)</f>
        <v>0</v>
      </c>
      <c r="Q800" s="4">
        <f ca="1">IF(ISNA(M800),0,COUNTIF($M$6:M800,M800))</f>
        <v>0</v>
      </c>
      <c r="R800" s="4" t="e">
        <f t="shared" ca="1" si="84"/>
        <v>#N/A</v>
      </c>
      <c r="S800" s="4">
        <f ca="1">IF(ISNA(M800),0,COUNTIF($R$6:R800,R800))</f>
        <v>0</v>
      </c>
      <c r="T800" s="4" t="e">
        <f t="shared" ca="1" si="83"/>
        <v>#N/A</v>
      </c>
    </row>
    <row r="801" spans="2:20" x14ac:dyDescent="0.3">
      <c r="B801" s="48"/>
      <c r="C801" s="48"/>
      <c r="D801" s="10" t="str">
        <f t="shared" ca="1" si="80"/>
        <v/>
      </c>
      <c r="E801" s="48"/>
      <c r="F801" s="48"/>
      <c r="G801" s="10" t="str">
        <f t="shared" ca="1" si="86"/>
        <v/>
      </c>
      <c r="I801" s="10" t="str">
        <f t="shared" ca="1" si="81"/>
        <v/>
      </c>
      <c r="K801" s="4" t="e">
        <f t="shared" ca="1" si="82"/>
        <v>#N/A</v>
      </c>
      <c r="L801" s="4" t="e">
        <f>VLOOKUP(C801,_resources!B:D,3,0)</f>
        <v>#N/A</v>
      </c>
      <c r="M801" s="4" t="e" cm="1">
        <f t="array" aca="1" ref="M801" ca="1">IF(abbrAtEnd,"",L801&amp;"-")&amp;E801&amp;"-"&amp;INDIRECT(OFFSET(element3,MATCH($C801,resources,0)-1,0))&amp;"-"&amp;INDIRECT(OFFSET(element4,MATCH($C801,resources,0)-1,0))&amp;"-"&amp;INDIRECT(OFFSET(element5,MATCH($C801,resources,0)-1,0))&amp;IF(OFFSET(element6,MATCH($C801,resources,0)-1,0)="","","-"&amp;INDIRECT(OFFSET(element6,MATCH($C801,resources,0)-1,0)))&amp;IF(abbrAtEnd,"-"&amp;L801,"")</f>
        <v>#N/A</v>
      </c>
      <c r="N801" s="4" t="str">
        <f t="shared" si="85"/>
        <v>-000</v>
      </c>
      <c r="O801" s="4">
        <f ca="1">IF(totalElements+COUNTIF(Entities!$C$10,"*")+COUNTIF(B801:C801,"*")+COUNTIF(E801:F801,"*")=9,1,0)</f>
        <v>0</v>
      </c>
      <c r="P801" s="4">
        <f>COUNTIF($C$6:C801,C801)</f>
        <v>0</v>
      </c>
      <c r="Q801" s="4">
        <f ca="1">IF(ISNA(M801),0,COUNTIF($M$6:M801,M801))</f>
        <v>0</v>
      </c>
      <c r="R801" s="4" t="e">
        <f t="shared" ca="1" si="84"/>
        <v>#N/A</v>
      </c>
      <c r="S801" s="4">
        <f ca="1">IF(ISNA(M801),0,COUNTIF($R$6:R801,R801))</f>
        <v>0</v>
      </c>
      <c r="T801" s="4" t="e">
        <f t="shared" ca="1" si="83"/>
        <v>#N/A</v>
      </c>
    </row>
    <row r="802" spans="2:20" x14ac:dyDescent="0.3">
      <c r="B802" s="48"/>
      <c r="C802" s="48"/>
      <c r="D802" s="10" t="str">
        <f t="shared" ca="1" si="80"/>
        <v/>
      </c>
      <c r="E802" s="48"/>
      <c r="F802" s="48"/>
      <c r="G802" s="10" t="str">
        <f t="shared" ca="1" si="86"/>
        <v/>
      </c>
      <c r="I802" s="10" t="str">
        <f t="shared" ca="1" si="81"/>
        <v/>
      </c>
      <c r="K802" s="4" t="e">
        <f t="shared" ca="1" si="82"/>
        <v>#N/A</v>
      </c>
      <c r="L802" s="4" t="e">
        <f>VLOOKUP(C802,_resources!B:D,3,0)</f>
        <v>#N/A</v>
      </c>
      <c r="M802" s="4" t="e" cm="1">
        <f t="array" aca="1" ref="M802" ca="1">IF(abbrAtEnd,"",L802&amp;"-")&amp;E802&amp;"-"&amp;INDIRECT(OFFSET(element3,MATCH($C802,resources,0)-1,0))&amp;"-"&amp;INDIRECT(OFFSET(element4,MATCH($C802,resources,0)-1,0))&amp;"-"&amp;INDIRECT(OFFSET(element5,MATCH($C802,resources,0)-1,0))&amp;IF(OFFSET(element6,MATCH($C802,resources,0)-1,0)="","","-"&amp;INDIRECT(OFFSET(element6,MATCH($C802,resources,0)-1,0)))&amp;IF(abbrAtEnd,"-"&amp;L802,"")</f>
        <v>#N/A</v>
      </c>
      <c r="N802" s="4" t="str">
        <f t="shared" si="85"/>
        <v>-000</v>
      </c>
      <c r="O802" s="4">
        <f ca="1">IF(totalElements+COUNTIF(Entities!$C$10,"*")+COUNTIF(B802:C802,"*")+COUNTIF(E802:F802,"*")=9,1,0)</f>
        <v>0</v>
      </c>
      <c r="P802" s="4">
        <f>COUNTIF($C$6:C802,C802)</f>
        <v>0</v>
      </c>
      <c r="Q802" s="4">
        <f ca="1">IF(ISNA(M802),0,COUNTIF($M$6:M802,M802))</f>
        <v>0</v>
      </c>
      <c r="R802" s="4" t="e">
        <f t="shared" ca="1" si="84"/>
        <v>#N/A</v>
      </c>
      <c r="S802" s="4">
        <f ca="1">IF(ISNA(M802),0,COUNTIF($R$6:R802,R802))</f>
        <v>0</v>
      </c>
      <c r="T802" s="4" t="e">
        <f t="shared" ca="1" si="83"/>
        <v>#N/A</v>
      </c>
    </row>
    <row r="803" spans="2:20" x14ac:dyDescent="0.3">
      <c r="B803" s="48"/>
      <c r="C803" s="48"/>
      <c r="D803" s="10" t="str">
        <f t="shared" ca="1" si="80"/>
        <v/>
      </c>
      <c r="E803" s="48"/>
      <c r="F803" s="48"/>
      <c r="G803" s="10" t="str">
        <f t="shared" ca="1" si="86"/>
        <v/>
      </c>
      <c r="I803" s="10" t="str">
        <f t="shared" ca="1" si="81"/>
        <v/>
      </c>
      <c r="K803" s="4" t="e">
        <f t="shared" ca="1" si="82"/>
        <v>#N/A</v>
      </c>
      <c r="L803" s="4" t="e">
        <f>VLOOKUP(C803,_resources!B:D,3,0)</f>
        <v>#N/A</v>
      </c>
      <c r="M803" s="4" t="e" cm="1">
        <f t="array" aca="1" ref="M803" ca="1">IF(abbrAtEnd,"",L803&amp;"-")&amp;E803&amp;"-"&amp;INDIRECT(OFFSET(element3,MATCH($C803,resources,0)-1,0))&amp;"-"&amp;INDIRECT(OFFSET(element4,MATCH($C803,resources,0)-1,0))&amp;"-"&amp;INDIRECT(OFFSET(element5,MATCH($C803,resources,0)-1,0))&amp;IF(OFFSET(element6,MATCH($C803,resources,0)-1,0)="","","-"&amp;INDIRECT(OFFSET(element6,MATCH($C803,resources,0)-1,0)))&amp;IF(abbrAtEnd,"-"&amp;L803,"")</f>
        <v>#N/A</v>
      </c>
      <c r="N803" s="4" t="str">
        <f t="shared" si="85"/>
        <v>-000</v>
      </c>
      <c r="O803" s="4">
        <f ca="1">IF(totalElements+COUNTIF(Entities!$C$10,"*")+COUNTIF(B803:C803,"*")+COUNTIF(E803:F803,"*")=9,1,0)</f>
        <v>0</v>
      </c>
      <c r="P803" s="4">
        <f>COUNTIF($C$6:C803,C803)</f>
        <v>0</v>
      </c>
      <c r="Q803" s="4">
        <f ca="1">IF(ISNA(M803),0,COUNTIF($M$6:M803,M803))</f>
        <v>0</v>
      </c>
      <c r="R803" s="4" t="e">
        <f t="shared" ca="1" si="84"/>
        <v>#N/A</v>
      </c>
      <c r="S803" s="4">
        <f ca="1">IF(ISNA(M803),0,COUNTIF($R$6:R803,R803))</f>
        <v>0</v>
      </c>
      <c r="T803" s="4" t="e">
        <f t="shared" ca="1" si="83"/>
        <v>#N/A</v>
      </c>
    </row>
    <row r="804" spans="2:20" x14ac:dyDescent="0.3">
      <c r="B804" s="48"/>
      <c r="C804" s="48"/>
      <c r="D804" s="10" t="str">
        <f t="shared" ca="1" si="80"/>
        <v/>
      </c>
      <c r="E804" s="48"/>
      <c r="F804" s="48"/>
      <c r="G804" s="10" t="str">
        <f t="shared" ca="1" si="86"/>
        <v/>
      </c>
      <c r="I804" s="10" t="str">
        <f t="shared" ca="1" si="81"/>
        <v/>
      </c>
      <c r="K804" s="4" t="e">
        <f t="shared" ca="1" si="82"/>
        <v>#N/A</v>
      </c>
      <c r="L804" s="4" t="e">
        <f>VLOOKUP(C804,_resources!B:D,3,0)</f>
        <v>#N/A</v>
      </c>
      <c r="M804" s="4" t="e" cm="1">
        <f t="array" aca="1" ref="M804" ca="1">IF(abbrAtEnd,"",L804&amp;"-")&amp;E804&amp;"-"&amp;INDIRECT(OFFSET(element3,MATCH($C804,resources,0)-1,0))&amp;"-"&amp;INDIRECT(OFFSET(element4,MATCH($C804,resources,0)-1,0))&amp;"-"&amp;INDIRECT(OFFSET(element5,MATCH($C804,resources,0)-1,0))&amp;IF(OFFSET(element6,MATCH($C804,resources,0)-1,0)="","","-"&amp;INDIRECT(OFFSET(element6,MATCH($C804,resources,0)-1,0)))&amp;IF(abbrAtEnd,"-"&amp;L804,"")</f>
        <v>#N/A</v>
      </c>
      <c r="N804" s="4" t="str">
        <f t="shared" si="85"/>
        <v>-000</v>
      </c>
      <c r="O804" s="4">
        <f ca="1">IF(totalElements+COUNTIF(Entities!$C$10,"*")+COUNTIF(B804:C804,"*")+COUNTIF(E804:F804,"*")=9,1,0)</f>
        <v>0</v>
      </c>
      <c r="P804" s="4">
        <f>COUNTIF($C$6:C804,C804)</f>
        <v>0</v>
      </c>
      <c r="Q804" s="4">
        <f ca="1">IF(ISNA(M804),0,COUNTIF($M$6:M804,M804))</f>
        <v>0</v>
      </c>
      <c r="R804" s="4" t="e">
        <f t="shared" ca="1" si="84"/>
        <v>#N/A</v>
      </c>
      <c r="S804" s="4">
        <f ca="1">IF(ISNA(M804),0,COUNTIF($R$6:R804,R804))</f>
        <v>0</v>
      </c>
      <c r="T804" s="4" t="e">
        <f t="shared" ca="1" si="83"/>
        <v>#N/A</v>
      </c>
    </row>
    <row r="805" spans="2:20" x14ac:dyDescent="0.3">
      <c r="B805" s="48"/>
      <c r="C805" s="48"/>
      <c r="D805" s="10" t="str">
        <f t="shared" ca="1" si="80"/>
        <v/>
      </c>
      <c r="E805" s="48"/>
      <c r="F805" s="48"/>
      <c r="G805" s="10" t="str">
        <f t="shared" ca="1" si="86"/>
        <v/>
      </c>
      <c r="I805" s="10" t="str">
        <f t="shared" ca="1" si="81"/>
        <v/>
      </c>
      <c r="K805" s="4" t="e">
        <f t="shared" ca="1" si="82"/>
        <v>#N/A</v>
      </c>
      <c r="L805" s="4" t="e">
        <f>VLOOKUP(C805,_resources!B:D,3,0)</f>
        <v>#N/A</v>
      </c>
      <c r="M805" s="4" t="e" cm="1">
        <f t="array" aca="1" ref="M805" ca="1">IF(abbrAtEnd,"",L805&amp;"-")&amp;E805&amp;"-"&amp;INDIRECT(OFFSET(element3,MATCH($C805,resources,0)-1,0))&amp;"-"&amp;INDIRECT(OFFSET(element4,MATCH($C805,resources,0)-1,0))&amp;"-"&amp;INDIRECT(OFFSET(element5,MATCH($C805,resources,0)-1,0))&amp;IF(OFFSET(element6,MATCH($C805,resources,0)-1,0)="","","-"&amp;INDIRECT(OFFSET(element6,MATCH($C805,resources,0)-1,0)))&amp;IF(abbrAtEnd,"-"&amp;L805,"")</f>
        <v>#N/A</v>
      </c>
      <c r="N805" s="4" t="str">
        <f t="shared" si="85"/>
        <v>-000</v>
      </c>
      <c r="O805" s="4">
        <f ca="1">IF(totalElements+COUNTIF(Entities!$C$10,"*")+COUNTIF(B805:C805,"*")+COUNTIF(E805:F805,"*")=9,1,0)</f>
        <v>0</v>
      </c>
      <c r="P805" s="4">
        <f>COUNTIF($C$6:C805,C805)</f>
        <v>0</v>
      </c>
      <c r="Q805" s="4">
        <f ca="1">IF(ISNA(M805),0,COUNTIF($M$6:M805,M805))</f>
        <v>0</v>
      </c>
      <c r="R805" s="4" t="e">
        <f t="shared" ca="1" si="84"/>
        <v>#N/A</v>
      </c>
      <c r="S805" s="4">
        <f ca="1">IF(ISNA(M805),0,COUNTIF($R$6:R805,R805))</f>
        <v>0</v>
      </c>
      <c r="T805" s="4" t="e">
        <f t="shared" ca="1" si="83"/>
        <v>#N/A</v>
      </c>
    </row>
    <row r="806" spans="2:20" x14ac:dyDescent="0.3">
      <c r="B806" s="48"/>
      <c r="C806" s="48"/>
      <c r="D806" s="10" t="str">
        <f t="shared" ca="1" si="80"/>
        <v/>
      </c>
      <c r="E806" s="48"/>
      <c r="F806" s="48"/>
      <c r="G806" s="10" t="str">
        <f t="shared" ca="1" si="86"/>
        <v/>
      </c>
      <c r="I806" s="10" t="str">
        <f t="shared" ca="1" si="81"/>
        <v/>
      </c>
      <c r="K806" s="4" t="e">
        <f t="shared" ca="1" si="82"/>
        <v>#N/A</v>
      </c>
      <c r="L806" s="4" t="e">
        <f>VLOOKUP(C806,_resources!B:D,3,0)</f>
        <v>#N/A</v>
      </c>
      <c r="M806" s="4" t="e" cm="1">
        <f t="array" aca="1" ref="M806" ca="1">IF(abbrAtEnd,"",L806&amp;"-")&amp;E806&amp;"-"&amp;INDIRECT(OFFSET(element3,MATCH($C806,resources,0)-1,0))&amp;"-"&amp;INDIRECT(OFFSET(element4,MATCH($C806,resources,0)-1,0))&amp;"-"&amp;INDIRECT(OFFSET(element5,MATCH($C806,resources,0)-1,0))&amp;IF(OFFSET(element6,MATCH($C806,resources,0)-1,0)="","","-"&amp;INDIRECT(OFFSET(element6,MATCH($C806,resources,0)-1,0)))&amp;IF(abbrAtEnd,"-"&amp;L806,"")</f>
        <v>#N/A</v>
      </c>
      <c r="N806" s="4" t="str">
        <f t="shared" si="85"/>
        <v>-000</v>
      </c>
      <c r="O806" s="4">
        <f ca="1">IF(totalElements+COUNTIF(Entities!$C$10,"*")+COUNTIF(B806:C806,"*")+COUNTIF(E806:F806,"*")=9,1,0)</f>
        <v>0</v>
      </c>
      <c r="P806" s="4">
        <f>COUNTIF($C$6:C806,C806)</f>
        <v>0</v>
      </c>
      <c r="Q806" s="4">
        <f ca="1">IF(ISNA(M806),0,COUNTIF($M$6:M806,M806))</f>
        <v>0</v>
      </c>
      <c r="R806" s="4" t="e">
        <f t="shared" ca="1" si="84"/>
        <v>#N/A</v>
      </c>
      <c r="S806" s="4">
        <f ca="1">IF(ISNA(M806),0,COUNTIF($R$6:R806,R806))</f>
        <v>0</v>
      </c>
      <c r="T806" s="4" t="e">
        <f t="shared" ca="1" si="83"/>
        <v>#N/A</v>
      </c>
    </row>
    <row r="807" spans="2:20" x14ac:dyDescent="0.3">
      <c r="B807" s="48"/>
      <c r="C807" s="48"/>
      <c r="D807" s="10" t="str">
        <f t="shared" ca="1" si="80"/>
        <v/>
      </c>
      <c r="E807" s="48"/>
      <c r="F807" s="48"/>
      <c r="G807" s="10" t="str">
        <f t="shared" ca="1" si="86"/>
        <v/>
      </c>
      <c r="I807" s="10" t="str">
        <f t="shared" ca="1" si="81"/>
        <v/>
      </c>
      <c r="K807" s="4" t="e">
        <f t="shared" ca="1" si="82"/>
        <v>#N/A</v>
      </c>
      <c r="L807" s="4" t="e">
        <f>VLOOKUP(C807,_resources!B:D,3,0)</f>
        <v>#N/A</v>
      </c>
      <c r="M807" s="4" t="e" cm="1">
        <f t="array" aca="1" ref="M807" ca="1">IF(abbrAtEnd,"",L807&amp;"-")&amp;E807&amp;"-"&amp;INDIRECT(OFFSET(element3,MATCH($C807,resources,0)-1,0))&amp;"-"&amp;INDIRECT(OFFSET(element4,MATCH($C807,resources,0)-1,0))&amp;"-"&amp;INDIRECT(OFFSET(element5,MATCH($C807,resources,0)-1,0))&amp;IF(OFFSET(element6,MATCH($C807,resources,0)-1,0)="","","-"&amp;INDIRECT(OFFSET(element6,MATCH($C807,resources,0)-1,0)))&amp;IF(abbrAtEnd,"-"&amp;L807,"")</f>
        <v>#N/A</v>
      </c>
      <c r="N807" s="4" t="str">
        <f t="shared" si="85"/>
        <v>-000</v>
      </c>
      <c r="O807" s="4">
        <f ca="1">IF(totalElements+COUNTIF(Entities!$C$10,"*")+COUNTIF(B807:C807,"*")+COUNTIF(E807:F807,"*")=9,1,0)</f>
        <v>0</v>
      </c>
      <c r="P807" s="4">
        <f>COUNTIF($C$6:C807,C807)</f>
        <v>0</v>
      </c>
      <c r="Q807" s="4">
        <f ca="1">IF(ISNA(M807),0,COUNTIF($M$6:M807,M807))</f>
        <v>0</v>
      </c>
      <c r="R807" s="4" t="e">
        <f t="shared" ca="1" si="84"/>
        <v>#N/A</v>
      </c>
      <c r="S807" s="4">
        <f ca="1">IF(ISNA(M807),0,COUNTIF($R$6:R807,R807))</f>
        <v>0</v>
      </c>
      <c r="T807" s="4" t="e">
        <f t="shared" ca="1" si="83"/>
        <v>#N/A</v>
      </c>
    </row>
    <row r="808" spans="2:20" x14ac:dyDescent="0.3">
      <c r="B808" s="48"/>
      <c r="C808" s="48"/>
      <c r="D808" s="10" t="str">
        <f t="shared" ca="1" si="80"/>
        <v/>
      </c>
      <c r="E808" s="48"/>
      <c r="F808" s="48"/>
      <c r="G808" s="10" t="str">
        <f t="shared" ca="1" si="86"/>
        <v/>
      </c>
      <c r="I808" s="10" t="str">
        <f t="shared" ca="1" si="81"/>
        <v/>
      </c>
      <c r="K808" s="4" t="e">
        <f t="shared" ca="1" si="82"/>
        <v>#N/A</v>
      </c>
      <c r="L808" s="4" t="e">
        <f>VLOOKUP(C808,_resources!B:D,3,0)</f>
        <v>#N/A</v>
      </c>
      <c r="M808" s="4" t="e" cm="1">
        <f t="array" aca="1" ref="M808" ca="1">IF(abbrAtEnd,"",L808&amp;"-")&amp;E808&amp;"-"&amp;INDIRECT(OFFSET(element3,MATCH($C808,resources,0)-1,0))&amp;"-"&amp;INDIRECT(OFFSET(element4,MATCH($C808,resources,0)-1,0))&amp;"-"&amp;INDIRECT(OFFSET(element5,MATCH($C808,resources,0)-1,0))&amp;IF(OFFSET(element6,MATCH($C808,resources,0)-1,0)="","","-"&amp;INDIRECT(OFFSET(element6,MATCH($C808,resources,0)-1,0)))&amp;IF(abbrAtEnd,"-"&amp;L808,"")</f>
        <v>#N/A</v>
      </c>
      <c r="N808" s="4" t="str">
        <f t="shared" si="85"/>
        <v>-000</v>
      </c>
      <c r="O808" s="4">
        <f ca="1">IF(totalElements+COUNTIF(Entities!$C$10,"*")+COUNTIF(B808:C808,"*")+COUNTIF(E808:F808,"*")=9,1,0)</f>
        <v>0</v>
      </c>
      <c r="P808" s="4">
        <f>COUNTIF($C$6:C808,C808)</f>
        <v>0</v>
      </c>
      <c r="Q808" s="4">
        <f ca="1">IF(ISNA(M808),0,COUNTIF($M$6:M808,M808))</f>
        <v>0</v>
      </c>
      <c r="R808" s="4" t="e">
        <f t="shared" ca="1" si="84"/>
        <v>#N/A</v>
      </c>
      <c r="S808" s="4">
        <f ca="1">IF(ISNA(M808),0,COUNTIF($R$6:R808,R808))</f>
        <v>0</v>
      </c>
      <c r="T808" s="4" t="e">
        <f t="shared" ca="1" si="83"/>
        <v>#N/A</v>
      </c>
    </row>
    <row r="809" spans="2:20" x14ac:dyDescent="0.3">
      <c r="B809" s="48"/>
      <c r="C809" s="48"/>
      <c r="D809" s="10" t="str">
        <f t="shared" ca="1" si="80"/>
        <v/>
      </c>
      <c r="E809" s="48"/>
      <c r="F809" s="48"/>
      <c r="G809" s="10" t="str">
        <f t="shared" ca="1" si="86"/>
        <v/>
      </c>
      <c r="I809" s="10" t="str">
        <f t="shared" ca="1" si="81"/>
        <v/>
      </c>
      <c r="K809" s="4" t="e">
        <f t="shared" ca="1" si="82"/>
        <v>#N/A</v>
      </c>
      <c r="L809" s="4" t="e">
        <f>VLOOKUP(C809,_resources!B:D,3,0)</f>
        <v>#N/A</v>
      </c>
      <c r="M809" s="4" t="e" cm="1">
        <f t="array" aca="1" ref="M809" ca="1">IF(abbrAtEnd,"",L809&amp;"-")&amp;E809&amp;"-"&amp;INDIRECT(OFFSET(element3,MATCH($C809,resources,0)-1,0))&amp;"-"&amp;INDIRECT(OFFSET(element4,MATCH($C809,resources,0)-1,0))&amp;"-"&amp;INDIRECT(OFFSET(element5,MATCH($C809,resources,0)-1,0))&amp;IF(OFFSET(element6,MATCH($C809,resources,0)-1,0)="","","-"&amp;INDIRECT(OFFSET(element6,MATCH($C809,resources,0)-1,0)))&amp;IF(abbrAtEnd,"-"&amp;L809,"")</f>
        <v>#N/A</v>
      </c>
      <c r="N809" s="4" t="str">
        <f t="shared" si="85"/>
        <v>-000</v>
      </c>
      <c r="O809" s="4">
        <f ca="1">IF(totalElements+COUNTIF(Entities!$C$10,"*")+COUNTIF(B809:C809,"*")+COUNTIF(E809:F809,"*")=9,1,0)</f>
        <v>0</v>
      </c>
      <c r="P809" s="4">
        <f>COUNTIF($C$6:C809,C809)</f>
        <v>0</v>
      </c>
      <c r="Q809" s="4">
        <f ca="1">IF(ISNA(M809),0,COUNTIF($M$6:M809,M809))</f>
        <v>0</v>
      </c>
      <c r="R809" s="4" t="e">
        <f t="shared" ca="1" si="84"/>
        <v>#N/A</v>
      </c>
      <c r="S809" s="4">
        <f ca="1">IF(ISNA(M809),0,COUNTIF($R$6:R809,R809))</f>
        <v>0</v>
      </c>
      <c r="T809" s="4" t="e">
        <f t="shared" ca="1" si="83"/>
        <v>#N/A</v>
      </c>
    </row>
    <row r="810" spans="2:20" x14ac:dyDescent="0.3">
      <c r="B810" s="48"/>
      <c r="C810" s="48"/>
      <c r="D810" s="10" t="str">
        <f t="shared" ca="1" si="80"/>
        <v/>
      </c>
      <c r="E810" s="48"/>
      <c r="F810" s="48"/>
      <c r="G810" s="10" t="str">
        <f t="shared" ca="1" si="86"/>
        <v/>
      </c>
      <c r="I810" s="10" t="str">
        <f t="shared" ca="1" si="81"/>
        <v/>
      </c>
      <c r="K810" s="4" t="e">
        <f t="shared" ca="1" si="82"/>
        <v>#N/A</v>
      </c>
      <c r="L810" s="4" t="e">
        <f>VLOOKUP(C810,_resources!B:D,3,0)</f>
        <v>#N/A</v>
      </c>
      <c r="M810" s="4" t="e" cm="1">
        <f t="array" aca="1" ref="M810" ca="1">IF(abbrAtEnd,"",L810&amp;"-")&amp;E810&amp;"-"&amp;INDIRECT(OFFSET(element3,MATCH($C810,resources,0)-1,0))&amp;"-"&amp;INDIRECT(OFFSET(element4,MATCH($C810,resources,0)-1,0))&amp;"-"&amp;INDIRECT(OFFSET(element5,MATCH($C810,resources,0)-1,0))&amp;IF(OFFSET(element6,MATCH($C810,resources,0)-1,0)="","","-"&amp;INDIRECT(OFFSET(element6,MATCH($C810,resources,0)-1,0)))&amp;IF(abbrAtEnd,"-"&amp;L810,"")</f>
        <v>#N/A</v>
      </c>
      <c r="N810" s="4" t="str">
        <f t="shared" si="85"/>
        <v>-000</v>
      </c>
      <c r="O810" s="4">
        <f ca="1">IF(totalElements+COUNTIF(Entities!$C$10,"*")+COUNTIF(B810:C810,"*")+COUNTIF(E810:F810,"*")=9,1,0)</f>
        <v>0</v>
      </c>
      <c r="P810" s="4">
        <f>COUNTIF($C$6:C810,C810)</f>
        <v>0</v>
      </c>
      <c r="Q810" s="4">
        <f ca="1">IF(ISNA(M810),0,COUNTIF($M$6:M810,M810))</f>
        <v>0</v>
      </c>
      <c r="R810" s="4" t="e">
        <f t="shared" ca="1" si="84"/>
        <v>#N/A</v>
      </c>
      <c r="S810" s="4">
        <f ca="1">IF(ISNA(M810),0,COUNTIF($R$6:R810,R810))</f>
        <v>0</v>
      </c>
      <c r="T810" s="4" t="e">
        <f t="shared" ca="1" si="83"/>
        <v>#N/A</v>
      </c>
    </row>
    <row r="811" spans="2:20" x14ac:dyDescent="0.3">
      <c r="B811" s="48"/>
      <c r="C811" s="48"/>
      <c r="D811" s="10" t="str">
        <f t="shared" ca="1" si="80"/>
        <v/>
      </c>
      <c r="E811" s="48"/>
      <c r="F811" s="48"/>
      <c r="G811" s="10" t="str">
        <f t="shared" ca="1" si="86"/>
        <v/>
      </c>
      <c r="I811" s="10" t="str">
        <f t="shared" ca="1" si="81"/>
        <v/>
      </c>
      <c r="K811" s="4" t="e">
        <f t="shared" ca="1" si="82"/>
        <v>#N/A</v>
      </c>
      <c r="L811" s="4" t="e">
        <f>VLOOKUP(C811,_resources!B:D,3,0)</f>
        <v>#N/A</v>
      </c>
      <c r="M811" s="4" t="e" cm="1">
        <f t="array" aca="1" ref="M811" ca="1">IF(abbrAtEnd,"",L811&amp;"-")&amp;E811&amp;"-"&amp;INDIRECT(OFFSET(element3,MATCH($C811,resources,0)-1,0))&amp;"-"&amp;INDIRECT(OFFSET(element4,MATCH($C811,resources,0)-1,0))&amp;"-"&amp;INDIRECT(OFFSET(element5,MATCH($C811,resources,0)-1,0))&amp;IF(OFFSET(element6,MATCH($C811,resources,0)-1,0)="","","-"&amp;INDIRECT(OFFSET(element6,MATCH($C811,resources,0)-1,0)))&amp;IF(abbrAtEnd,"-"&amp;L811,"")</f>
        <v>#N/A</v>
      </c>
      <c r="N811" s="4" t="str">
        <f t="shared" si="85"/>
        <v>-000</v>
      </c>
      <c r="O811" s="4">
        <f ca="1">IF(totalElements+COUNTIF(Entities!$C$10,"*")+COUNTIF(B811:C811,"*")+COUNTIF(E811:F811,"*")=9,1,0)</f>
        <v>0</v>
      </c>
      <c r="P811" s="4">
        <f>COUNTIF($C$6:C811,C811)</f>
        <v>0</v>
      </c>
      <c r="Q811" s="4">
        <f ca="1">IF(ISNA(M811),0,COUNTIF($M$6:M811,M811))</f>
        <v>0</v>
      </c>
      <c r="R811" s="4" t="e">
        <f t="shared" ca="1" si="84"/>
        <v>#N/A</v>
      </c>
      <c r="S811" s="4">
        <f ca="1">IF(ISNA(M811),0,COUNTIF($R$6:R811,R811))</f>
        <v>0</v>
      </c>
      <c r="T811" s="4" t="e">
        <f t="shared" ca="1" si="83"/>
        <v>#N/A</v>
      </c>
    </row>
    <row r="812" spans="2:20" x14ac:dyDescent="0.3">
      <c r="B812" s="48"/>
      <c r="C812" s="48"/>
      <c r="D812" s="10" t="str">
        <f t="shared" ca="1" si="80"/>
        <v/>
      </c>
      <c r="E812" s="48"/>
      <c r="F812" s="48"/>
      <c r="G812" s="10" t="str">
        <f t="shared" ca="1" si="86"/>
        <v/>
      </c>
      <c r="I812" s="10" t="str">
        <f t="shared" ca="1" si="81"/>
        <v/>
      </c>
      <c r="K812" s="4" t="e">
        <f t="shared" ca="1" si="82"/>
        <v>#N/A</v>
      </c>
      <c r="L812" s="4" t="e">
        <f>VLOOKUP(C812,_resources!B:D,3,0)</f>
        <v>#N/A</v>
      </c>
      <c r="M812" s="4" t="e" cm="1">
        <f t="array" aca="1" ref="M812" ca="1">IF(abbrAtEnd,"",L812&amp;"-")&amp;E812&amp;"-"&amp;INDIRECT(OFFSET(element3,MATCH($C812,resources,0)-1,0))&amp;"-"&amp;INDIRECT(OFFSET(element4,MATCH($C812,resources,0)-1,0))&amp;"-"&amp;INDIRECT(OFFSET(element5,MATCH($C812,resources,0)-1,0))&amp;IF(OFFSET(element6,MATCH($C812,resources,0)-1,0)="","","-"&amp;INDIRECT(OFFSET(element6,MATCH($C812,resources,0)-1,0)))&amp;IF(abbrAtEnd,"-"&amp;L812,"")</f>
        <v>#N/A</v>
      </c>
      <c r="N812" s="4" t="str">
        <f t="shared" si="85"/>
        <v>-000</v>
      </c>
      <c r="O812" s="4">
        <f ca="1">IF(totalElements+COUNTIF(Entities!$C$10,"*")+COUNTIF(B812:C812,"*")+COUNTIF(E812:F812,"*")=9,1,0)</f>
        <v>0</v>
      </c>
      <c r="P812" s="4">
        <f>COUNTIF($C$6:C812,C812)</f>
        <v>0</v>
      </c>
      <c r="Q812" s="4">
        <f ca="1">IF(ISNA(M812),0,COUNTIF($M$6:M812,M812))</f>
        <v>0</v>
      </c>
      <c r="R812" s="4" t="e">
        <f t="shared" ca="1" si="84"/>
        <v>#N/A</v>
      </c>
      <c r="S812" s="4">
        <f ca="1">IF(ISNA(M812),0,COUNTIF($R$6:R812,R812))</f>
        <v>0</v>
      </c>
      <c r="T812" s="4" t="e">
        <f t="shared" ca="1" si="83"/>
        <v>#N/A</v>
      </c>
    </row>
    <row r="813" spans="2:20" x14ac:dyDescent="0.3">
      <c r="B813" s="48"/>
      <c r="C813" s="48"/>
      <c r="D813" s="10" t="str">
        <f t="shared" ca="1" si="80"/>
        <v/>
      </c>
      <c r="E813" s="48"/>
      <c r="F813" s="48"/>
      <c r="G813" s="10" t="str">
        <f t="shared" ca="1" si="86"/>
        <v/>
      </c>
      <c r="I813" s="10" t="str">
        <f t="shared" ca="1" si="81"/>
        <v/>
      </c>
      <c r="K813" s="4" t="e">
        <f t="shared" ca="1" si="82"/>
        <v>#N/A</v>
      </c>
      <c r="L813" s="4" t="e">
        <f>VLOOKUP(C813,_resources!B:D,3,0)</f>
        <v>#N/A</v>
      </c>
      <c r="M813" s="4" t="e" cm="1">
        <f t="array" aca="1" ref="M813" ca="1">IF(abbrAtEnd,"",L813&amp;"-")&amp;E813&amp;"-"&amp;INDIRECT(OFFSET(element3,MATCH($C813,resources,0)-1,0))&amp;"-"&amp;INDIRECT(OFFSET(element4,MATCH($C813,resources,0)-1,0))&amp;"-"&amp;INDIRECT(OFFSET(element5,MATCH($C813,resources,0)-1,0))&amp;IF(OFFSET(element6,MATCH($C813,resources,0)-1,0)="","","-"&amp;INDIRECT(OFFSET(element6,MATCH($C813,resources,0)-1,0)))&amp;IF(abbrAtEnd,"-"&amp;L813,"")</f>
        <v>#N/A</v>
      </c>
      <c r="N813" s="4" t="str">
        <f t="shared" si="85"/>
        <v>-000</v>
      </c>
      <c r="O813" s="4">
        <f ca="1">IF(totalElements+COUNTIF(Entities!$C$10,"*")+COUNTIF(B813:C813,"*")+COUNTIF(E813:F813,"*")=9,1,0)</f>
        <v>0</v>
      </c>
      <c r="P813" s="4">
        <f>COUNTIF($C$6:C813,C813)</f>
        <v>0</v>
      </c>
      <c r="Q813" s="4">
        <f ca="1">IF(ISNA(M813),0,COUNTIF($M$6:M813,M813))</f>
        <v>0</v>
      </c>
      <c r="R813" s="4" t="e">
        <f t="shared" ca="1" si="84"/>
        <v>#N/A</v>
      </c>
      <c r="S813" s="4">
        <f ca="1">IF(ISNA(M813),0,COUNTIF($R$6:R813,R813))</f>
        <v>0</v>
      </c>
      <c r="T813" s="4" t="e">
        <f t="shared" ca="1" si="83"/>
        <v>#N/A</v>
      </c>
    </row>
    <row r="814" spans="2:20" x14ac:dyDescent="0.3">
      <c r="B814" s="48"/>
      <c r="C814" s="48"/>
      <c r="D814" s="10" t="str">
        <f t="shared" ca="1" si="80"/>
        <v/>
      </c>
      <c r="E814" s="48"/>
      <c r="F814" s="48"/>
      <c r="G814" s="10" t="str">
        <f t="shared" ca="1" si="86"/>
        <v/>
      </c>
      <c r="I814" s="10" t="str">
        <f t="shared" ca="1" si="81"/>
        <v/>
      </c>
      <c r="K814" s="4" t="e">
        <f t="shared" ca="1" si="82"/>
        <v>#N/A</v>
      </c>
      <c r="L814" s="4" t="e">
        <f>VLOOKUP(C814,_resources!B:D,3,0)</f>
        <v>#N/A</v>
      </c>
      <c r="M814" s="4" t="e" cm="1">
        <f t="array" aca="1" ref="M814" ca="1">IF(abbrAtEnd,"",L814&amp;"-")&amp;E814&amp;"-"&amp;INDIRECT(OFFSET(element3,MATCH($C814,resources,0)-1,0))&amp;"-"&amp;INDIRECT(OFFSET(element4,MATCH($C814,resources,0)-1,0))&amp;"-"&amp;INDIRECT(OFFSET(element5,MATCH($C814,resources,0)-1,0))&amp;IF(OFFSET(element6,MATCH($C814,resources,0)-1,0)="","","-"&amp;INDIRECT(OFFSET(element6,MATCH($C814,resources,0)-1,0)))&amp;IF(abbrAtEnd,"-"&amp;L814,"")</f>
        <v>#N/A</v>
      </c>
      <c r="N814" s="4" t="str">
        <f t="shared" si="85"/>
        <v>-000</v>
      </c>
      <c r="O814" s="4">
        <f ca="1">IF(totalElements+COUNTIF(Entities!$C$10,"*")+COUNTIF(B814:C814,"*")+COUNTIF(E814:F814,"*")=9,1,0)</f>
        <v>0</v>
      </c>
      <c r="P814" s="4">
        <f>COUNTIF($C$6:C814,C814)</f>
        <v>0</v>
      </c>
      <c r="Q814" s="4">
        <f ca="1">IF(ISNA(M814),0,COUNTIF($M$6:M814,M814))</f>
        <v>0</v>
      </c>
      <c r="R814" s="4" t="e">
        <f t="shared" ca="1" si="84"/>
        <v>#N/A</v>
      </c>
      <c r="S814" s="4">
        <f ca="1">IF(ISNA(M814),0,COUNTIF($R$6:R814,R814))</f>
        <v>0</v>
      </c>
      <c r="T814" s="4" t="e">
        <f t="shared" ca="1" si="83"/>
        <v>#N/A</v>
      </c>
    </row>
    <row r="815" spans="2:20" x14ac:dyDescent="0.3">
      <c r="B815" s="48"/>
      <c r="C815" s="48"/>
      <c r="D815" s="10" t="str">
        <f t="shared" ca="1" si="80"/>
        <v/>
      </c>
      <c r="E815" s="48"/>
      <c r="F815" s="48"/>
      <c r="G815" s="10" t="str">
        <f t="shared" ca="1" si="86"/>
        <v/>
      </c>
      <c r="I815" s="10" t="str">
        <f t="shared" ca="1" si="81"/>
        <v/>
      </c>
      <c r="K815" s="4" t="e">
        <f t="shared" ca="1" si="82"/>
        <v>#N/A</v>
      </c>
      <c r="L815" s="4" t="e">
        <f>VLOOKUP(C815,_resources!B:D,3,0)</f>
        <v>#N/A</v>
      </c>
      <c r="M815" s="4" t="e" cm="1">
        <f t="array" aca="1" ref="M815" ca="1">IF(abbrAtEnd,"",L815&amp;"-")&amp;E815&amp;"-"&amp;INDIRECT(OFFSET(element3,MATCH($C815,resources,0)-1,0))&amp;"-"&amp;INDIRECT(OFFSET(element4,MATCH($C815,resources,0)-1,0))&amp;"-"&amp;INDIRECT(OFFSET(element5,MATCH($C815,resources,0)-1,0))&amp;IF(OFFSET(element6,MATCH($C815,resources,0)-1,0)="","","-"&amp;INDIRECT(OFFSET(element6,MATCH($C815,resources,0)-1,0)))&amp;IF(abbrAtEnd,"-"&amp;L815,"")</f>
        <v>#N/A</v>
      </c>
      <c r="N815" s="4" t="str">
        <f t="shared" si="85"/>
        <v>-000</v>
      </c>
      <c r="O815" s="4">
        <f ca="1">IF(totalElements+COUNTIF(Entities!$C$10,"*")+COUNTIF(B815:C815,"*")+COUNTIF(E815:F815,"*")=9,1,0)</f>
        <v>0</v>
      </c>
      <c r="P815" s="4">
        <f>COUNTIF($C$6:C815,C815)</f>
        <v>0</v>
      </c>
      <c r="Q815" s="4">
        <f ca="1">IF(ISNA(M815),0,COUNTIF($M$6:M815,M815))</f>
        <v>0</v>
      </c>
      <c r="R815" s="4" t="e">
        <f t="shared" ca="1" si="84"/>
        <v>#N/A</v>
      </c>
      <c r="S815" s="4">
        <f ca="1">IF(ISNA(M815),0,COUNTIF($R$6:R815,R815))</f>
        <v>0</v>
      </c>
      <c r="T815" s="4" t="e">
        <f t="shared" ca="1" si="83"/>
        <v>#N/A</v>
      </c>
    </row>
    <row r="816" spans="2:20" x14ac:dyDescent="0.3">
      <c r="B816" s="48"/>
      <c r="C816" s="48"/>
      <c r="D816" s="10" t="str">
        <f t="shared" ca="1" si="80"/>
        <v/>
      </c>
      <c r="E816" s="48"/>
      <c r="F816" s="48"/>
      <c r="G816" s="10" t="str">
        <f t="shared" ca="1" si="86"/>
        <v/>
      </c>
      <c r="I816" s="10" t="str">
        <f t="shared" ca="1" si="81"/>
        <v/>
      </c>
      <c r="K816" s="4" t="e">
        <f t="shared" ca="1" si="82"/>
        <v>#N/A</v>
      </c>
      <c r="L816" s="4" t="e">
        <f>VLOOKUP(C816,_resources!B:D,3,0)</f>
        <v>#N/A</v>
      </c>
      <c r="M816" s="4" t="e" cm="1">
        <f t="array" aca="1" ref="M816" ca="1">IF(abbrAtEnd,"",L816&amp;"-")&amp;E816&amp;"-"&amp;INDIRECT(OFFSET(element3,MATCH($C816,resources,0)-1,0))&amp;"-"&amp;INDIRECT(OFFSET(element4,MATCH($C816,resources,0)-1,0))&amp;"-"&amp;INDIRECT(OFFSET(element5,MATCH($C816,resources,0)-1,0))&amp;IF(OFFSET(element6,MATCH($C816,resources,0)-1,0)="","","-"&amp;INDIRECT(OFFSET(element6,MATCH($C816,resources,0)-1,0)))&amp;IF(abbrAtEnd,"-"&amp;L816,"")</f>
        <v>#N/A</v>
      </c>
      <c r="N816" s="4" t="str">
        <f t="shared" si="85"/>
        <v>-000</v>
      </c>
      <c r="O816" s="4">
        <f ca="1">IF(totalElements+COUNTIF(Entities!$C$10,"*")+COUNTIF(B816:C816,"*")+COUNTIF(E816:F816,"*")=9,1,0)</f>
        <v>0</v>
      </c>
      <c r="P816" s="4">
        <f>COUNTIF($C$6:C816,C816)</f>
        <v>0</v>
      </c>
      <c r="Q816" s="4">
        <f ca="1">IF(ISNA(M816),0,COUNTIF($M$6:M816,M816))</f>
        <v>0</v>
      </c>
      <c r="R816" s="4" t="e">
        <f t="shared" ca="1" si="84"/>
        <v>#N/A</v>
      </c>
      <c r="S816" s="4">
        <f ca="1">IF(ISNA(M816),0,COUNTIF($R$6:R816,R816))</f>
        <v>0</v>
      </c>
      <c r="T816" s="4" t="e">
        <f t="shared" ca="1" si="83"/>
        <v>#N/A</v>
      </c>
    </row>
    <row r="817" spans="2:20" x14ac:dyDescent="0.3">
      <c r="B817" s="48"/>
      <c r="C817" s="48"/>
      <c r="D817" s="10" t="str">
        <f t="shared" ref="D817:D880" ca="1" si="87">IF(ISBLANK(C817),"",OFFSET(element2,MATCH($C817,resources,0)-1,0))</f>
        <v/>
      </c>
      <c r="E817" s="48"/>
      <c r="F817" s="48"/>
      <c r="G817" s="10" t="str">
        <f t="shared" ca="1" si="86"/>
        <v/>
      </c>
      <c r="I817" s="10" t="str">
        <f t="shared" ref="I817:I880" ca="1" si="88">IF(O817,IF(LEN(G817)&gt;T817,"Name too Long (length: "&amp;LEN(G817)&amp;", max. "&amp;T817&amp;")","None"),"")</f>
        <v/>
      </c>
      <c r="K817" s="4" t="e">
        <f t="shared" ca="1" si="82"/>
        <v>#N/A</v>
      </c>
      <c r="L817" s="4" t="e">
        <f>VLOOKUP(C817,_resources!B:D,3,0)</f>
        <v>#N/A</v>
      </c>
      <c r="M817" s="4" t="e" cm="1">
        <f t="array" aca="1" ref="M817" ca="1">IF(abbrAtEnd,"",L817&amp;"-")&amp;E817&amp;"-"&amp;INDIRECT(OFFSET(element3,MATCH($C817,resources,0)-1,0))&amp;"-"&amp;INDIRECT(OFFSET(element4,MATCH($C817,resources,0)-1,0))&amp;"-"&amp;INDIRECT(OFFSET(element5,MATCH($C817,resources,0)-1,0))&amp;IF(OFFSET(element6,MATCH($C817,resources,0)-1,0)="","","-"&amp;INDIRECT(OFFSET(element6,MATCH($C817,resources,0)-1,0)))&amp;IF(abbrAtEnd,"-"&amp;L817,"")</f>
        <v>#N/A</v>
      </c>
      <c r="N817" s="4" t="str">
        <f t="shared" si="85"/>
        <v>-000</v>
      </c>
      <c r="O817" s="4">
        <f ca="1">IF(totalElements+COUNTIF(Entities!$C$10,"*")+COUNTIF(B817:C817,"*")+COUNTIF(E817:F817,"*")=9,1,0)</f>
        <v>0</v>
      </c>
      <c r="P817" s="4">
        <f>COUNTIF($C$6:C817,C817)</f>
        <v>0</v>
      </c>
      <c r="Q817" s="4">
        <f ca="1">IF(ISNA(M817),0,COUNTIF($M$6:M817,M817))</f>
        <v>0</v>
      </c>
      <c r="R817" s="4" t="e">
        <f t="shared" ca="1" si="84"/>
        <v>#N/A</v>
      </c>
      <c r="S817" s="4">
        <f ca="1">IF(ISNA(M817),0,COUNTIF($R$6:R817,R817))</f>
        <v>0</v>
      </c>
      <c r="T817" s="4" t="e">
        <f t="shared" ca="1" si="83"/>
        <v>#N/A</v>
      </c>
    </row>
    <row r="818" spans="2:20" x14ac:dyDescent="0.3">
      <c r="B818" s="48"/>
      <c r="C818" s="48"/>
      <c r="D818" s="10" t="str">
        <f t="shared" ca="1" si="87"/>
        <v/>
      </c>
      <c r="E818" s="48"/>
      <c r="F818" s="48"/>
      <c r="G818" s="10" t="str">
        <f t="shared" ca="1" si="86"/>
        <v/>
      </c>
      <c r="I818" s="10" t="str">
        <f t="shared" ca="1" si="88"/>
        <v/>
      </c>
      <c r="K818" s="4" t="e">
        <f t="shared" ca="1" si="82"/>
        <v>#N/A</v>
      </c>
      <c r="L818" s="4" t="e">
        <f>VLOOKUP(C818,_resources!B:D,3,0)</f>
        <v>#N/A</v>
      </c>
      <c r="M818" s="4" t="e" cm="1">
        <f t="array" aca="1" ref="M818" ca="1">IF(abbrAtEnd,"",L818&amp;"-")&amp;E818&amp;"-"&amp;INDIRECT(OFFSET(element3,MATCH($C818,resources,0)-1,0))&amp;"-"&amp;INDIRECT(OFFSET(element4,MATCH($C818,resources,0)-1,0))&amp;"-"&amp;INDIRECT(OFFSET(element5,MATCH($C818,resources,0)-1,0))&amp;IF(OFFSET(element6,MATCH($C818,resources,0)-1,0)="","","-"&amp;INDIRECT(OFFSET(element6,MATCH($C818,resources,0)-1,0)))&amp;IF(abbrAtEnd,"-"&amp;L818,"")</f>
        <v>#N/A</v>
      </c>
      <c r="N818" s="4" t="str">
        <f t="shared" si="85"/>
        <v>-000</v>
      </c>
      <c r="O818" s="4">
        <f ca="1">IF(totalElements+COUNTIF(Entities!$C$10,"*")+COUNTIF(B818:C818,"*")+COUNTIF(E818:F818,"*")=9,1,0)</f>
        <v>0</v>
      </c>
      <c r="P818" s="4">
        <f>COUNTIF($C$6:C818,C818)</f>
        <v>0</v>
      </c>
      <c r="Q818" s="4">
        <f ca="1">IF(ISNA(M818),0,COUNTIF($M$6:M818,M818))</f>
        <v>0</v>
      </c>
      <c r="R818" s="4" t="e">
        <f t="shared" ca="1" si="84"/>
        <v>#N/A</v>
      </c>
      <c r="S818" s="4">
        <f ca="1">IF(ISNA(M818),0,COUNTIF($R$6:R818,R818))</f>
        <v>0</v>
      </c>
      <c r="T818" s="4" t="e">
        <f t="shared" ca="1" si="83"/>
        <v>#N/A</v>
      </c>
    </row>
    <row r="819" spans="2:20" x14ac:dyDescent="0.3">
      <c r="B819" s="48"/>
      <c r="C819" s="48"/>
      <c r="D819" s="10" t="str">
        <f t="shared" ca="1" si="87"/>
        <v/>
      </c>
      <c r="E819" s="48"/>
      <c r="F819" s="48"/>
      <c r="G819" s="10" t="str">
        <f t="shared" ca="1" si="86"/>
        <v/>
      </c>
      <c r="I819" s="10" t="str">
        <f t="shared" ca="1" si="88"/>
        <v/>
      </c>
      <c r="K819" s="4" t="e">
        <f t="shared" ca="1" si="82"/>
        <v>#N/A</v>
      </c>
      <c r="L819" s="4" t="e">
        <f>VLOOKUP(C819,_resources!B:D,3,0)</f>
        <v>#N/A</v>
      </c>
      <c r="M819" s="4" t="e" cm="1">
        <f t="array" aca="1" ref="M819" ca="1">IF(abbrAtEnd,"",L819&amp;"-")&amp;E819&amp;"-"&amp;INDIRECT(OFFSET(element3,MATCH($C819,resources,0)-1,0))&amp;"-"&amp;INDIRECT(OFFSET(element4,MATCH($C819,resources,0)-1,0))&amp;"-"&amp;INDIRECT(OFFSET(element5,MATCH($C819,resources,0)-1,0))&amp;IF(OFFSET(element6,MATCH($C819,resources,0)-1,0)="","","-"&amp;INDIRECT(OFFSET(element6,MATCH($C819,resources,0)-1,0)))&amp;IF(abbrAtEnd,"-"&amp;L819,"")</f>
        <v>#N/A</v>
      </c>
      <c r="N819" s="4" t="str">
        <f t="shared" si="85"/>
        <v>-000</v>
      </c>
      <c r="O819" s="4">
        <f ca="1">IF(totalElements+COUNTIF(Entities!$C$10,"*")+COUNTIF(B819:C819,"*")+COUNTIF(E819:F819,"*")=9,1,0)</f>
        <v>0</v>
      </c>
      <c r="P819" s="4">
        <f>COUNTIF($C$6:C819,C819)</f>
        <v>0</v>
      </c>
      <c r="Q819" s="4">
        <f ca="1">IF(ISNA(M819),0,COUNTIF($M$6:M819,M819))</f>
        <v>0</v>
      </c>
      <c r="R819" s="4" t="e">
        <f t="shared" ca="1" si="84"/>
        <v>#N/A</v>
      </c>
      <c r="S819" s="4">
        <f ca="1">IF(ISNA(M819),0,COUNTIF($R$6:R819,R819))</f>
        <v>0</v>
      </c>
      <c r="T819" s="4" t="e">
        <f t="shared" ca="1" si="83"/>
        <v>#N/A</v>
      </c>
    </row>
    <row r="820" spans="2:20" x14ac:dyDescent="0.3">
      <c r="B820" s="48"/>
      <c r="C820" s="48"/>
      <c r="D820" s="10" t="str">
        <f t="shared" ca="1" si="87"/>
        <v/>
      </c>
      <c r="E820" s="48"/>
      <c r="F820" s="48"/>
      <c r="G820" s="10" t="str">
        <f t="shared" ca="1" si="86"/>
        <v/>
      </c>
      <c r="I820" s="10" t="str">
        <f t="shared" ca="1" si="88"/>
        <v/>
      </c>
      <c r="K820" s="4" t="e">
        <f t="shared" ca="1" si="82"/>
        <v>#N/A</v>
      </c>
      <c r="L820" s="4" t="e">
        <f>VLOOKUP(C820,_resources!B:D,3,0)</f>
        <v>#N/A</v>
      </c>
      <c r="M820" s="4" t="e" cm="1">
        <f t="array" aca="1" ref="M820" ca="1">IF(abbrAtEnd,"",L820&amp;"-")&amp;E820&amp;"-"&amp;INDIRECT(OFFSET(element3,MATCH($C820,resources,0)-1,0))&amp;"-"&amp;INDIRECT(OFFSET(element4,MATCH($C820,resources,0)-1,0))&amp;"-"&amp;INDIRECT(OFFSET(element5,MATCH($C820,resources,0)-1,0))&amp;IF(OFFSET(element6,MATCH($C820,resources,0)-1,0)="","","-"&amp;INDIRECT(OFFSET(element6,MATCH($C820,resources,0)-1,0)))&amp;IF(abbrAtEnd,"-"&amp;L820,"")</f>
        <v>#N/A</v>
      </c>
      <c r="N820" s="4" t="str">
        <f t="shared" si="85"/>
        <v>-000</v>
      </c>
      <c r="O820" s="4">
        <f ca="1">IF(totalElements+COUNTIF(Entities!$C$10,"*")+COUNTIF(B820:C820,"*")+COUNTIF(E820:F820,"*")=9,1,0)</f>
        <v>0</v>
      </c>
      <c r="P820" s="4">
        <f>COUNTIF($C$6:C820,C820)</f>
        <v>0</v>
      </c>
      <c r="Q820" s="4">
        <f ca="1">IF(ISNA(M820),0,COUNTIF($M$6:M820,M820))</f>
        <v>0</v>
      </c>
      <c r="R820" s="4" t="e">
        <f t="shared" ca="1" si="84"/>
        <v>#N/A</v>
      </c>
      <c r="S820" s="4">
        <f ca="1">IF(ISNA(M820),0,COUNTIF($R$6:R820,R820))</f>
        <v>0</v>
      </c>
      <c r="T820" s="4" t="e">
        <f t="shared" ca="1" si="83"/>
        <v>#N/A</v>
      </c>
    </row>
    <row r="821" spans="2:20" x14ac:dyDescent="0.3">
      <c r="B821" s="48"/>
      <c r="C821" s="48"/>
      <c r="D821" s="10" t="str">
        <f t="shared" ca="1" si="87"/>
        <v/>
      </c>
      <c r="E821" s="48"/>
      <c r="F821" s="48"/>
      <c r="G821" s="10" t="str">
        <f t="shared" ca="1" si="86"/>
        <v/>
      </c>
      <c r="I821" s="10" t="str">
        <f t="shared" ca="1" si="88"/>
        <v/>
      </c>
      <c r="K821" s="4" t="e">
        <f t="shared" ca="1" si="82"/>
        <v>#N/A</v>
      </c>
      <c r="L821" s="4" t="e">
        <f>VLOOKUP(C821,_resources!B:D,3,0)</f>
        <v>#N/A</v>
      </c>
      <c r="M821" s="4" t="e" cm="1">
        <f t="array" aca="1" ref="M821" ca="1">IF(abbrAtEnd,"",L821&amp;"-")&amp;E821&amp;"-"&amp;INDIRECT(OFFSET(element3,MATCH($C821,resources,0)-1,0))&amp;"-"&amp;INDIRECT(OFFSET(element4,MATCH($C821,resources,0)-1,0))&amp;"-"&amp;INDIRECT(OFFSET(element5,MATCH($C821,resources,0)-1,0))&amp;IF(OFFSET(element6,MATCH($C821,resources,0)-1,0)="","","-"&amp;INDIRECT(OFFSET(element6,MATCH($C821,resources,0)-1,0)))&amp;IF(abbrAtEnd,"-"&amp;L821,"")</f>
        <v>#N/A</v>
      </c>
      <c r="N821" s="4" t="str">
        <f t="shared" si="85"/>
        <v>-000</v>
      </c>
      <c r="O821" s="4">
        <f ca="1">IF(totalElements+COUNTIF(Entities!$C$10,"*")+COUNTIF(B821:C821,"*")+COUNTIF(E821:F821,"*")=9,1,0)</f>
        <v>0</v>
      </c>
      <c r="P821" s="4">
        <f>COUNTIF($C$6:C821,C821)</f>
        <v>0</v>
      </c>
      <c r="Q821" s="4">
        <f ca="1">IF(ISNA(M821),0,COUNTIF($M$6:M821,M821))</f>
        <v>0</v>
      </c>
      <c r="R821" s="4" t="e">
        <f t="shared" ca="1" si="84"/>
        <v>#N/A</v>
      </c>
      <c r="S821" s="4">
        <f ca="1">IF(ISNA(M821),0,COUNTIF($R$6:R821,R821))</f>
        <v>0</v>
      </c>
      <c r="T821" s="4" t="e">
        <f t="shared" ca="1" si="83"/>
        <v>#N/A</v>
      </c>
    </row>
    <row r="822" spans="2:20" x14ac:dyDescent="0.3">
      <c r="B822" s="48"/>
      <c r="C822" s="48"/>
      <c r="D822" s="10" t="str">
        <f t="shared" ca="1" si="87"/>
        <v/>
      </c>
      <c r="E822" s="48"/>
      <c r="F822" s="48"/>
      <c r="G822" s="10" t="str">
        <f t="shared" ca="1" si="86"/>
        <v/>
      </c>
      <c r="I822" s="10" t="str">
        <f t="shared" ca="1" si="88"/>
        <v/>
      </c>
      <c r="K822" s="4" t="e">
        <f t="shared" ca="1" si="82"/>
        <v>#N/A</v>
      </c>
      <c r="L822" s="4" t="e">
        <f>VLOOKUP(C822,_resources!B:D,3,0)</f>
        <v>#N/A</v>
      </c>
      <c r="M822" s="4" t="e" cm="1">
        <f t="array" aca="1" ref="M822" ca="1">IF(abbrAtEnd,"",L822&amp;"-")&amp;E822&amp;"-"&amp;INDIRECT(OFFSET(element3,MATCH($C822,resources,0)-1,0))&amp;"-"&amp;INDIRECT(OFFSET(element4,MATCH($C822,resources,0)-1,0))&amp;"-"&amp;INDIRECT(OFFSET(element5,MATCH($C822,resources,0)-1,0))&amp;IF(OFFSET(element6,MATCH($C822,resources,0)-1,0)="","","-"&amp;INDIRECT(OFFSET(element6,MATCH($C822,resources,0)-1,0)))&amp;IF(abbrAtEnd,"-"&amp;L822,"")</f>
        <v>#N/A</v>
      </c>
      <c r="N822" s="4" t="str">
        <f t="shared" si="85"/>
        <v>-000</v>
      </c>
      <c r="O822" s="4">
        <f ca="1">IF(totalElements+COUNTIF(Entities!$C$10,"*")+COUNTIF(B822:C822,"*")+COUNTIF(E822:F822,"*")=9,1,0)</f>
        <v>0</v>
      </c>
      <c r="P822" s="4">
        <f>COUNTIF($C$6:C822,C822)</f>
        <v>0</v>
      </c>
      <c r="Q822" s="4">
        <f ca="1">IF(ISNA(M822),0,COUNTIF($M$6:M822,M822))</f>
        <v>0</v>
      </c>
      <c r="R822" s="4" t="e">
        <f t="shared" ca="1" si="84"/>
        <v>#N/A</v>
      </c>
      <c r="S822" s="4">
        <f ca="1">IF(ISNA(M822),0,COUNTIF($R$6:R822,R822))</f>
        <v>0</v>
      </c>
      <c r="T822" s="4" t="e">
        <f t="shared" ca="1" si="83"/>
        <v>#N/A</v>
      </c>
    </row>
    <row r="823" spans="2:20" x14ac:dyDescent="0.3">
      <c r="B823" s="48"/>
      <c r="C823" s="48"/>
      <c r="D823" s="10" t="str">
        <f t="shared" ca="1" si="87"/>
        <v/>
      </c>
      <c r="E823" s="48"/>
      <c r="F823" s="48"/>
      <c r="G823" s="10" t="str">
        <f t="shared" ca="1" si="86"/>
        <v/>
      </c>
      <c r="I823" s="10" t="str">
        <f t="shared" ca="1" si="88"/>
        <v/>
      </c>
      <c r="K823" s="4" t="e">
        <f t="shared" ca="1" si="82"/>
        <v>#N/A</v>
      </c>
      <c r="L823" s="4" t="e">
        <f>VLOOKUP(C823,_resources!B:D,3,0)</f>
        <v>#N/A</v>
      </c>
      <c r="M823" s="4" t="e" cm="1">
        <f t="array" aca="1" ref="M823" ca="1">IF(abbrAtEnd,"",L823&amp;"-")&amp;E823&amp;"-"&amp;INDIRECT(OFFSET(element3,MATCH($C823,resources,0)-1,0))&amp;"-"&amp;INDIRECT(OFFSET(element4,MATCH($C823,resources,0)-1,0))&amp;"-"&amp;INDIRECT(OFFSET(element5,MATCH($C823,resources,0)-1,0))&amp;IF(OFFSET(element6,MATCH($C823,resources,0)-1,0)="","","-"&amp;INDIRECT(OFFSET(element6,MATCH($C823,resources,0)-1,0)))&amp;IF(abbrAtEnd,"-"&amp;L823,"")</f>
        <v>#N/A</v>
      </c>
      <c r="N823" s="4" t="str">
        <f t="shared" si="85"/>
        <v>-000</v>
      </c>
      <c r="O823" s="4">
        <f ca="1">IF(totalElements+COUNTIF(Entities!$C$10,"*")+COUNTIF(B823:C823,"*")+COUNTIF(E823:F823,"*")=9,1,0)</f>
        <v>0</v>
      </c>
      <c r="P823" s="4">
        <f>COUNTIF($C$6:C823,C823)</f>
        <v>0</v>
      </c>
      <c r="Q823" s="4">
        <f ca="1">IF(ISNA(M823),0,COUNTIF($M$6:M823,M823))</f>
        <v>0</v>
      </c>
      <c r="R823" s="4" t="e">
        <f t="shared" ca="1" si="84"/>
        <v>#N/A</v>
      </c>
      <c r="S823" s="4">
        <f ca="1">IF(ISNA(M823),0,COUNTIF($R$6:R823,R823))</f>
        <v>0</v>
      </c>
      <c r="T823" s="4" t="e">
        <f t="shared" ca="1" si="83"/>
        <v>#N/A</v>
      </c>
    </row>
    <row r="824" spans="2:20" x14ac:dyDescent="0.3">
      <c r="B824" s="48"/>
      <c r="C824" s="48"/>
      <c r="D824" s="10" t="str">
        <f t="shared" ca="1" si="87"/>
        <v/>
      </c>
      <c r="E824" s="48"/>
      <c r="F824" s="48"/>
      <c r="G824" s="10" t="str">
        <f t="shared" ca="1" si="86"/>
        <v/>
      </c>
      <c r="I824" s="10" t="str">
        <f t="shared" ca="1" si="88"/>
        <v/>
      </c>
      <c r="K824" s="4" t="e">
        <f t="shared" ca="1" si="82"/>
        <v>#N/A</v>
      </c>
      <c r="L824" s="4" t="e">
        <f>VLOOKUP(C824,_resources!B:D,3,0)</f>
        <v>#N/A</v>
      </c>
      <c r="M824" s="4" t="e" cm="1">
        <f t="array" aca="1" ref="M824" ca="1">IF(abbrAtEnd,"",L824&amp;"-")&amp;E824&amp;"-"&amp;INDIRECT(OFFSET(element3,MATCH($C824,resources,0)-1,0))&amp;"-"&amp;INDIRECT(OFFSET(element4,MATCH($C824,resources,0)-1,0))&amp;"-"&amp;INDIRECT(OFFSET(element5,MATCH($C824,resources,0)-1,0))&amp;IF(OFFSET(element6,MATCH($C824,resources,0)-1,0)="","","-"&amp;INDIRECT(OFFSET(element6,MATCH($C824,resources,0)-1,0)))&amp;IF(abbrAtEnd,"-"&amp;L824,"")</f>
        <v>#N/A</v>
      </c>
      <c r="N824" s="4" t="str">
        <f t="shared" si="85"/>
        <v>-000</v>
      </c>
      <c r="O824" s="4">
        <f ca="1">IF(totalElements+COUNTIF(Entities!$C$10,"*")+COUNTIF(B824:C824,"*")+COUNTIF(E824:F824,"*")=9,1,0)</f>
        <v>0</v>
      </c>
      <c r="P824" s="4">
        <f>COUNTIF($C$6:C824,C824)</f>
        <v>0</v>
      </c>
      <c r="Q824" s="4">
        <f ca="1">IF(ISNA(M824),0,COUNTIF($M$6:M824,M824))</f>
        <v>0</v>
      </c>
      <c r="R824" s="4" t="e">
        <f t="shared" ca="1" si="84"/>
        <v>#N/A</v>
      </c>
      <c r="S824" s="4">
        <f ca="1">IF(ISNA(M824),0,COUNTIF($R$6:R824,R824))</f>
        <v>0</v>
      </c>
      <c r="T824" s="4" t="e">
        <f t="shared" ca="1" si="83"/>
        <v>#N/A</v>
      </c>
    </row>
    <row r="825" spans="2:20" x14ac:dyDescent="0.3">
      <c r="B825" s="48"/>
      <c r="C825" s="48"/>
      <c r="D825" s="10" t="str">
        <f t="shared" ca="1" si="87"/>
        <v/>
      </c>
      <c r="E825" s="48"/>
      <c r="F825" s="48"/>
      <c r="G825" s="10" t="str">
        <f t="shared" ca="1" si="86"/>
        <v/>
      </c>
      <c r="I825" s="10" t="str">
        <f t="shared" ca="1" si="88"/>
        <v/>
      </c>
      <c r="K825" s="4" t="e">
        <f t="shared" ca="1" si="82"/>
        <v>#N/A</v>
      </c>
      <c r="L825" s="4" t="e">
        <f>VLOOKUP(C825,_resources!B:D,3,0)</f>
        <v>#N/A</v>
      </c>
      <c r="M825" s="4" t="e" cm="1">
        <f t="array" aca="1" ref="M825" ca="1">IF(abbrAtEnd,"",L825&amp;"-")&amp;E825&amp;"-"&amp;INDIRECT(OFFSET(element3,MATCH($C825,resources,0)-1,0))&amp;"-"&amp;INDIRECT(OFFSET(element4,MATCH($C825,resources,0)-1,0))&amp;"-"&amp;INDIRECT(OFFSET(element5,MATCH($C825,resources,0)-1,0))&amp;IF(OFFSET(element6,MATCH($C825,resources,0)-1,0)="","","-"&amp;INDIRECT(OFFSET(element6,MATCH($C825,resources,0)-1,0)))&amp;IF(abbrAtEnd,"-"&amp;L825,"")</f>
        <v>#N/A</v>
      </c>
      <c r="N825" s="4" t="str">
        <f t="shared" si="85"/>
        <v>-000</v>
      </c>
      <c r="O825" s="4">
        <f ca="1">IF(totalElements+COUNTIF(Entities!$C$10,"*")+COUNTIF(B825:C825,"*")+COUNTIF(E825:F825,"*")=9,1,0)</f>
        <v>0</v>
      </c>
      <c r="P825" s="4">
        <f>COUNTIF($C$6:C825,C825)</f>
        <v>0</v>
      </c>
      <c r="Q825" s="4">
        <f ca="1">IF(ISNA(M825),0,COUNTIF($M$6:M825,M825))</f>
        <v>0</v>
      </c>
      <c r="R825" s="4" t="e">
        <f t="shared" ca="1" si="84"/>
        <v>#N/A</v>
      </c>
      <c r="S825" s="4">
        <f ca="1">IF(ISNA(M825),0,COUNTIF($R$6:R825,R825))</f>
        <v>0</v>
      </c>
      <c r="T825" s="4" t="e">
        <f t="shared" ca="1" si="83"/>
        <v>#N/A</v>
      </c>
    </row>
    <row r="826" spans="2:20" x14ac:dyDescent="0.3">
      <c r="B826" s="48"/>
      <c r="C826" s="48"/>
      <c r="D826" s="10" t="str">
        <f t="shared" ca="1" si="87"/>
        <v/>
      </c>
      <c r="E826" s="48"/>
      <c r="F826" s="48"/>
      <c r="G826" s="10" t="str">
        <f t="shared" ca="1" si="86"/>
        <v/>
      </c>
      <c r="I826" s="10" t="str">
        <f t="shared" ca="1" si="88"/>
        <v/>
      </c>
      <c r="K826" s="4" t="e">
        <f t="shared" ca="1" si="82"/>
        <v>#N/A</v>
      </c>
      <c r="L826" s="4" t="e">
        <f>VLOOKUP(C826,_resources!B:D,3,0)</f>
        <v>#N/A</v>
      </c>
      <c r="M826" s="4" t="e" cm="1">
        <f t="array" aca="1" ref="M826" ca="1">IF(abbrAtEnd,"",L826&amp;"-")&amp;E826&amp;"-"&amp;INDIRECT(OFFSET(element3,MATCH($C826,resources,0)-1,0))&amp;"-"&amp;INDIRECT(OFFSET(element4,MATCH($C826,resources,0)-1,0))&amp;"-"&amp;INDIRECT(OFFSET(element5,MATCH($C826,resources,0)-1,0))&amp;IF(OFFSET(element6,MATCH($C826,resources,0)-1,0)="","","-"&amp;INDIRECT(OFFSET(element6,MATCH($C826,resources,0)-1,0)))&amp;IF(abbrAtEnd,"-"&amp;L826,"")</f>
        <v>#N/A</v>
      </c>
      <c r="N826" s="4" t="str">
        <f t="shared" si="85"/>
        <v>-000</v>
      </c>
      <c r="O826" s="4">
        <f ca="1">IF(totalElements+COUNTIF(Entities!$C$10,"*")+COUNTIF(B826:C826,"*")+COUNTIF(E826:F826,"*")=9,1,0)</f>
        <v>0</v>
      </c>
      <c r="P826" s="4">
        <f>COUNTIF($C$6:C826,C826)</f>
        <v>0</v>
      </c>
      <c r="Q826" s="4">
        <f ca="1">IF(ISNA(M826),0,COUNTIF($M$6:M826,M826))</f>
        <v>0</v>
      </c>
      <c r="R826" s="4" t="e">
        <f t="shared" ca="1" si="84"/>
        <v>#N/A</v>
      </c>
      <c r="S826" s="4">
        <f ca="1">IF(ISNA(M826),0,COUNTIF($R$6:R826,R826))</f>
        <v>0</v>
      </c>
      <c r="T826" s="4" t="e">
        <f t="shared" ca="1" si="83"/>
        <v>#N/A</v>
      </c>
    </row>
    <row r="827" spans="2:20" x14ac:dyDescent="0.3">
      <c r="B827" s="48"/>
      <c r="C827" s="48"/>
      <c r="D827" s="10" t="str">
        <f t="shared" ca="1" si="87"/>
        <v/>
      </c>
      <c r="E827" s="48"/>
      <c r="F827" s="48"/>
      <c r="G827" s="10" t="str">
        <f t="shared" ca="1" si="86"/>
        <v/>
      </c>
      <c r="I827" s="10" t="str">
        <f t="shared" ca="1" si="88"/>
        <v/>
      </c>
      <c r="K827" s="4" t="e">
        <f t="shared" ca="1" si="82"/>
        <v>#N/A</v>
      </c>
      <c r="L827" s="4" t="e">
        <f>VLOOKUP(C827,_resources!B:D,3,0)</f>
        <v>#N/A</v>
      </c>
      <c r="M827" s="4" t="e" cm="1">
        <f t="array" aca="1" ref="M827" ca="1">IF(abbrAtEnd,"",L827&amp;"-")&amp;E827&amp;"-"&amp;INDIRECT(OFFSET(element3,MATCH($C827,resources,0)-1,0))&amp;"-"&amp;INDIRECT(OFFSET(element4,MATCH($C827,resources,0)-1,0))&amp;"-"&amp;INDIRECT(OFFSET(element5,MATCH($C827,resources,0)-1,0))&amp;IF(OFFSET(element6,MATCH($C827,resources,0)-1,0)="","","-"&amp;INDIRECT(OFFSET(element6,MATCH($C827,resources,0)-1,0)))&amp;IF(abbrAtEnd,"-"&amp;L827,"")</f>
        <v>#N/A</v>
      </c>
      <c r="N827" s="4" t="str">
        <f t="shared" si="85"/>
        <v>-000</v>
      </c>
      <c r="O827" s="4">
        <f ca="1">IF(totalElements+COUNTIF(Entities!$C$10,"*")+COUNTIF(B827:C827,"*")+COUNTIF(E827:F827,"*")=9,1,0)</f>
        <v>0</v>
      </c>
      <c r="P827" s="4">
        <f>COUNTIF($C$6:C827,C827)</f>
        <v>0</v>
      </c>
      <c r="Q827" s="4">
        <f ca="1">IF(ISNA(M827),0,COUNTIF($M$6:M827,M827))</f>
        <v>0</v>
      </c>
      <c r="R827" s="4" t="e">
        <f t="shared" ca="1" si="84"/>
        <v>#N/A</v>
      </c>
      <c r="S827" s="4">
        <f ca="1">IF(ISNA(M827),0,COUNTIF($R$6:R827,R827))</f>
        <v>0</v>
      </c>
      <c r="T827" s="4" t="e">
        <f t="shared" ca="1" si="83"/>
        <v>#N/A</v>
      </c>
    </row>
    <row r="828" spans="2:20" x14ac:dyDescent="0.3">
      <c r="B828" s="48"/>
      <c r="C828" s="48"/>
      <c r="D828" s="10" t="str">
        <f t="shared" ca="1" si="87"/>
        <v/>
      </c>
      <c r="E828" s="48"/>
      <c r="F828" s="48"/>
      <c r="G828" s="10" t="str">
        <f t="shared" ca="1" si="86"/>
        <v/>
      </c>
      <c r="I828" s="10" t="str">
        <f t="shared" ca="1" si="88"/>
        <v/>
      </c>
      <c r="K828" s="4" t="e">
        <f t="shared" ca="1" si="82"/>
        <v>#N/A</v>
      </c>
      <c r="L828" s="4" t="e">
        <f>VLOOKUP(C828,_resources!B:D,3,0)</f>
        <v>#N/A</v>
      </c>
      <c r="M828" s="4" t="e" cm="1">
        <f t="array" aca="1" ref="M828" ca="1">IF(abbrAtEnd,"",L828&amp;"-")&amp;E828&amp;"-"&amp;INDIRECT(OFFSET(element3,MATCH($C828,resources,0)-1,0))&amp;"-"&amp;INDIRECT(OFFSET(element4,MATCH($C828,resources,0)-1,0))&amp;"-"&amp;INDIRECT(OFFSET(element5,MATCH($C828,resources,0)-1,0))&amp;IF(OFFSET(element6,MATCH($C828,resources,0)-1,0)="","","-"&amp;INDIRECT(OFFSET(element6,MATCH($C828,resources,0)-1,0)))&amp;IF(abbrAtEnd,"-"&amp;L828,"")</f>
        <v>#N/A</v>
      </c>
      <c r="N828" s="4" t="str">
        <f t="shared" si="85"/>
        <v>-000</v>
      </c>
      <c r="O828" s="4">
        <f ca="1">IF(totalElements+COUNTIF(Entities!$C$10,"*")+COUNTIF(B828:C828,"*")+COUNTIF(E828:F828,"*")=9,1,0)</f>
        <v>0</v>
      </c>
      <c r="P828" s="4">
        <f>COUNTIF($C$6:C828,C828)</f>
        <v>0</v>
      </c>
      <c r="Q828" s="4">
        <f ca="1">IF(ISNA(M828),0,COUNTIF($M$6:M828,M828))</f>
        <v>0</v>
      </c>
      <c r="R828" s="4" t="e">
        <f t="shared" ca="1" si="84"/>
        <v>#N/A</v>
      </c>
      <c r="S828" s="4">
        <f ca="1">IF(ISNA(M828),0,COUNTIF($R$6:R828,R828))</f>
        <v>0</v>
      </c>
      <c r="T828" s="4" t="e">
        <f t="shared" ca="1" si="83"/>
        <v>#N/A</v>
      </c>
    </row>
    <row r="829" spans="2:20" x14ac:dyDescent="0.3">
      <c r="B829" s="48"/>
      <c r="C829" s="48"/>
      <c r="D829" s="10" t="str">
        <f t="shared" ca="1" si="87"/>
        <v/>
      </c>
      <c r="E829" s="48"/>
      <c r="F829" s="48"/>
      <c r="G829" s="10" t="str">
        <f t="shared" ca="1" si="86"/>
        <v/>
      </c>
      <c r="I829" s="10" t="str">
        <f t="shared" ca="1" si="88"/>
        <v/>
      </c>
      <c r="K829" s="4" t="e">
        <f t="shared" ca="1" si="82"/>
        <v>#N/A</v>
      </c>
      <c r="L829" s="4" t="e">
        <f>VLOOKUP(C829,_resources!B:D,3,0)</f>
        <v>#N/A</v>
      </c>
      <c r="M829" s="4" t="e" cm="1">
        <f t="array" aca="1" ref="M829" ca="1">IF(abbrAtEnd,"",L829&amp;"-")&amp;E829&amp;"-"&amp;INDIRECT(OFFSET(element3,MATCH($C829,resources,0)-1,0))&amp;"-"&amp;INDIRECT(OFFSET(element4,MATCH($C829,resources,0)-1,0))&amp;"-"&amp;INDIRECT(OFFSET(element5,MATCH($C829,resources,0)-1,0))&amp;IF(OFFSET(element6,MATCH($C829,resources,0)-1,0)="","","-"&amp;INDIRECT(OFFSET(element6,MATCH($C829,resources,0)-1,0)))&amp;IF(abbrAtEnd,"-"&amp;L829,"")</f>
        <v>#N/A</v>
      </c>
      <c r="N829" s="4" t="str">
        <f t="shared" si="85"/>
        <v>-000</v>
      </c>
      <c r="O829" s="4">
        <f ca="1">IF(totalElements+COUNTIF(Entities!$C$10,"*")+COUNTIF(B829:C829,"*")+COUNTIF(E829:F829,"*")=9,1,0)</f>
        <v>0</v>
      </c>
      <c r="P829" s="4">
        <f>COUNTIF($C$6:C829,C829)</f>
        <v>0</v>
      </c>
      <c r="Q829" s="4">
        <f ca="1">IF(ISNA(M829),0,COUNTIF($M$6:M829,M829))</f>
        <v>0</v>
      </c>
      <c r="R829" s="4" t="e">
        <f t="shared" ca="1" si="84"/>
        <v>#N/A</v>
      </c>
      <c r="S829" s="4">
        <f ca="1">IF(ISNA(M829),0,COUNTIF($R$6:R829,R829))</f>
        <v>0</v>
      </c>
      <c r="T829" s="4" t="e">
        <f t="shared" ca="1" si="83"/>
        <v>#N/A</v>
      </c>
    </row>
    <row r="830" spans="2:20" x14ac:dyDescent="0.3">
      <c r="B830" s="48"/>
      <c r="C830" s="48"/>
      <c r="D830" s="10" t="str">
        <f t="shared" ca="1" si="87"/>
        <v/>
      </c>
      <c r="E830" s="48"/>
      <c r="F830" s="48"/>
      <c r="G830" s="10" t="str">
        <f t="shared" ca="1" si="86"/>
        <v/>
      </c>
      <c r="I830" s="10" t="str">
        <f t="shared" ca="1" si="88"/>
        <v/>
      </c>
      <c r="K830" s="4" t="e">
        <f t="shared" ca="1" si="82"/>
        <v>#N/A</v>
      </c>
      <c r="L830" s="4" t="e">
        <f>VLOOKUP(C830,_resources!B:D,3,0)</f>
        <v>#N/A</v>
      </c>
      <c r="M830" s="4" t="e" cm="1">
        <f t="array" aca="1" ref="M830" ca="1">IF(abbrAtEnd,"",L830&amp;"-")&amp;E830&amp;"-"&amp;INDIRECT(OFFSET(element3,MATCH($C830,resources,0)-1,0))&amp;"-"&amp;INDIRECT(OFFSET(element4,MATCH($C830,resources,0)-1,0))&amp;"-"&amp;INDIRECT(OFFSET(element5,MATCH($C830,resources,0)-1,0))&amp;IF(OFFSET(element6,MATCH($C830,resources,0)-1,0)="","","-"&amp;INDIRECT(OFFSET(element6,MATCH($C830,resources,0)-1,0)))&amp;IF(abbrAtEnd,"-"&amp;L830,"")</f>
        <v>#N/A</v>
      </c>
      <c r="N830" s="4" t="str">
        <f t="shared" si="85"/>
        <v>-000</v>
      </c>
      <c r="O830" s="4">
        <f ca="1">IF(totalElements+COUNTIF(Entities!$C$10,"*")+COUNTIF(B830:C830,"*")+COUNTIF(E830:F830,"*")=9,1,0)</f>
        <v>0</v>
      </c>
      <c r="P830" s="4">
        <f>COUNTIF($C$6:C830,C830)</f>
        <v>0</v>
      </c>
      <c r="Q830" s="4">
        <f ca="1">IF(ISNA(M830),0,COUNTIF($M$6:M830,M830))</f>
        <v>0</v>
      </c>
      <c r="R830" s="4" t="e">
        <f t="shared" ca="1" si="84"/>
        <v>#N/A</v>
      </c>
      <c r="S830" s="4">
        <f ca="1">IF(ISNA(M830),0,COUNTIF($R$6:R830,R830))</f>
        <v>0</v>
      </c>
      <c r="T830" s="4" t="e">
        <f t="shared" ca="1" si="83"/>
        <v>#N/A</v>
      </c>
    </row>
    <row r="831" spans="2:20" x14ac:dyDescent="0.3">
      <c r="B831" s="48"/>
      <c r="C831" s="48"/>
      <c r="D831" s="10" t="str">
        <f t="shared" ca="1" si="87"/>
        <v/>
      </c>
      <c r="E831" s="48"/>
      <c r="F831" s="48"/>
      <c r="G831" s="10" t="str">
        <f t="shared" ca="1" si="86"/>
        <v/>
      </c>
      <c r="I831" s="10" t="str">
        <f t="shared" ca="1" si="88"/>
        <v/>
      </c>
      <c r="K831" s="4" t="e">
        <f t="shared" ca="1" si="82"/>
        <v>#N/A</v>
      </c>
      <c r="L831" s="4" t="e">
        <f>VLOOKUP(C831,_resources!B:D,3,0)</f>
        <v>#N/A</v>
      </c>
      <c r="M831" s="4" t="e" cm="1">
        <f t="array" aca="1" ref="M831" ca="1">IF(abbrAtEnd,"",L831&amp;"-")&amp;E831&amp;"-"&amp;INDIRECT(OFFSET(element3,MATCH($C831,resources,0)-1,0))&amp;"-"&amp;INDIRECT(OFFSET(element4,MATCH($C831,resources,0)-1,0))&amp;"-"&amp;INDIRECT(OFFSET(element5,MATCH($C831,resources,0)-1,0))&amp;IF(OFFSET(element6,MATCH($C831,resources,0)-1,0)="","","-"&amp;INDIRECT(OFFSET(element6,MATCH($C831,resources,0)-1,0)))&amp;IF(abbrAtEnd,"-"&amp;L831,"")</f>
        <v>#N/A</v>
      </c>
      <c r="N831" s="4" t="str">
        <f t="shared" si="85"/>
        <v>-000</v>
      </c>
      <c r="O831" s="4">
        <f ca="1">IF(totalElements+COUNTIF(Entities!$C$10,"*")+COUNTIF(B831:C831,"*")+COUNTIF(E831:F831,"*")=9,1,0)</f>
        <v>0</v>
      </c>
      <c r="P831" s="4">
        <f>COUNTIF($C$6:C831,C831)</f>
        <v>0</v>
      </c>
      <c r="Q831" s="4">
        <f ca="1">IF(ISNA(M831),0,COUNTIF($M$6:M831,M831))</f>
        <v>0</v>
      </c>
      <c r="R831" s="4" t="e">
        <f t="shared" ca="1" si="84"/>
        <v>#N/A</v>
      </c>
      <c r="S831" s="4">
        <f ca="1">IF(ISNA(M831),0,COUNTIF($R$6:R831,R831))</f>
        <v>0</v>
      </c>
      <c r="T831" s="4" t="e">
        <f t="shared" ca="1" si="83"/>
        <v>#N/A</v>
      </c>
    </row>
    <row r="832" spans="2:20" x14ac:dyDescent="0.3">
      <c r="B832" s="48"/>
      <c r="C832" s="48"/>
      <c r="D832" s="10" t="str">
        <f t="shared" ca="1" si="87"/>
        <v/>
      </c>
      <c r="E832" s="48"/>
      <c r="F832" s="48"/>
      <c r="G832" s="10" t="str">
        <f t="shared" ca="1" si="86"/>
        <v/>
      </c>
      <c r="I832" s="10" t="str">
        <f t="shared" ca="1" si="88"/>
        <v/>
      </c>
      <c r="K832" s="4" t="e">
        <f t="shared" ca="1" si="82"/>
        <v>#N/A</v>
      </c>
      <c r="L832" s="4" t="e">
        <f>VLOOKUP(C832,_resources!B:D,3,0)</f>
        <v>#N/A</v>
      </c>
      <c r="M832" s="4" t="e" cm="1">
        <f t="array" aca="1" ref="M832" ca="1">IF(abbrAtEnd,"",L832&amp;"-")&amp;E832&amp;"-"&amp;INDIRECT(OFFSET(element3,MATCH($C832,resources,0)-1,0))&amp;"-"&amp;INDIRECT(OFFSET(element4,MATCH($C832,resources,0)-1,0))&amp;"-"&amp;INDIRECT(OFFSET(element5,MATCH($C832,resources,0)-1,0))&amp;IF(OFFSET(element6,MATCH($C832,resources,0)-1,0)="","","-"&amp;INDIRECT(OFFSET(element6,MATCH($C832,resources,0)-1,0)))&amp;IF(abbrAtEnd,"-"&amp;L832,"")</f>
        <v>#N/A</v>
      </c>
      <c r="N832" s="4" t="str">
        <f t="shared" si="85"/>
        <v>-000</v>
      </c>
      <c r="O832" s="4">
        <f ca="1">IF(totalElements+COUNTIF(Entities!$C$10,"*")+COUNTIF(B832:C832,"*")+COUNTIF(E832:F832,"*")=9,1,0)</f>
        <v>0</v>
      </c>
      <c r="P832" s="4">
        <f>COUNTIF($C$6:C832,C832)</f>
        <v>0</v>
      </c>
      <c r="Q832" s="4">
        <f ca="1">IF(ISNA(M832),0,COUNTIF($M$6:M832,M832))</f>
        <v>0</v>
      </c>
      <c r="R832" s="4" t="e">
        <f t="shared" ca="1" si="84"/>
        <v>#N/A</v>
      </c>
      <c r="S832" s="4">
        <f ca="1">IF(ISNA(M832),0,COUNTIF($R$6:R832,R832))</f>
        <v>0</v>
      </c>
      <c r="T832" s="4" t="e">
        <f t="shared" ca="1" si="83"/>
        <v>#N/A</v>
      </c>
    </row>
    <row r="833" spans="2:20" x14ac:dyDescent="0.3">
      <c r="B833" s="48"/>
      <c r="C833" s="48"/>
      <c r="D833" s="10" t="str">
        <f t="shared" ca="1" si="87"/>
        <v/>
      </c>
      <c r="E833" s="48"/>
      <c r="F833" s="48"/>
      <c r="G833" s="10" t="str">
        <f t="shared" ca="1" si="86"/>
        <v/>
      </c>
      <c r="I833" s="10" t="str">
        <f t="shared" ca="1" si="88"/>
        <v/>
      </c>
      <c r="K833" s="4" t="e">
        <f t="shared" ca="1" si="82"/>
        <v>#N/A</v>
      </c>
      <c r="L833" s="4" t="e">
        <f>VLOOKUP(C833,_resources!B:D,3,0)</f>
        <v>#N/A</v>
      </c>
      <c r="M833" s="4" t="e" cm="1">
        <f t="array" aca="1" ref="M833" ca="1">IF(abbrAtEnd,"",L833&amp;"-")&amp;E833&amp;"-"&amp;INDIRECT(OFFSET(element3,MATCH($C833,resources,0)-1,0))&amp;"-"&amp;INDIRECT(OFFSET(element4,MATCH($C833,resources,0)-1,0))&amp;"-"&amp;INDIRECT(OFFSET(element5,MATCH($C833,resources,0)-1,0))&amp;IF(OFFSET(element6,MATCH($C833,resources,0)-1,0)="","","-"&amp;INDIRECT(OFFSET(element6,MATCH($C833,resources,0)-1,0)))&amp;IF(abbrAtEnd,"-"&amp;L833,"")</f>
        <v>#N/A</v>
      </c>
      <c r="N833" s="4" t="str">
        <f t="shared" si="85"/>
        <v>-000</v>
      </c>
      <c r="O833" s="4">
        <f ca="1">IF(totalElements+COUNTIF(Entities!$C$10,"*")+COUNTIF(B833:C833,"*")+COUNTIF(E833:F833,"*")=9,1,0)</f>
        <v>0</v>
      </c>
      <c r="P833" s="4">
        <f>COUNTIF($C$6:C833,C833)</f>
        <v>0</v>
      </c>
      <c r="Q833" s="4">
        <f ca="1">IF(ISNA(M833),0,COUNTIF($M$6:M833,M833))</f>
        <v>0</v>
      </c>
      <c r="R833" s="4" t="e">
        <f t="shared" ca="1" si="84"/>
        <v>#N/A</v>
      </c>
      <c r="S833" s="4">
        <f ca="1">IF(ISNA(M833),0,COUNTIF($R$6:R833,R833))</f>
        <v>0</v>
      </c>
      <c r="T833" s="4" t="e">
        <f t="shared" ca="1" si="83"/>
        <v>#N/A</v>
      </c>
    </row>
    <row r="834" spans="2:20" x14ac:dyDescent="0.3">
      <c r="B834" s="48"/>
      <c r="C834" s="48"/>
      <c r="D834" s="10" t="str">
        <f t="shared" ca="1" si="87"/>
        <v/>
      </c>
      <c r="E834" s="48"/>
      <c r="F834" s="48"/>
      <c r="G834" s="10" t="str">
        <f t="shared" ca="1" si="86"/>
        <v/>
      </c>
      <c r="I834" s="10" t="str">
        <f t="shared" ca="1" si="88"/>
        <v/>
      </c>
      <c r="K834" s="4" t="e">
        <f t="shared" ca="1" si="82"/>
        <v>#N/A</v>
      </c>
      <c r="L834" s="4" t="e">
        <f>VLOOKUP(C834,_resources!B:D,3,0)</f>
        <v>#N/A</v>
      </c>
      <c r="M834" s="4" t="e" cm="1">
        <f t="array" aca="1" ref="M834" ca="1">IF(abbrAtEnd,"",L834&amp;"-")&amp;E834&amp;"-"&amp;INDIRECT(OFFSET(element3,MATCH($C834,resources,0)-1,0))&amp;"-"&amp;INDIRECT(OFFSET(element4,MATCH($C834,resources,0)-1,0))&amp;"-"&amp;INDIRECT(OFFSET(element5,MATCH($C834,resources,0)-1,0))&amp;IF(OFFSET(element6,MATCH($C834,resources,0)-1,0)="","","-"&amp;INDIRECT(OFFSET(element6,MATCH($C834,resources,0)-1,0)))&amp;IF(abbrAtEnd,"-"&amp;L834,"")</f>
        <v>#N/A</v>
      </c>
      <c r="N834" s="4" t="str">
        <f t="shared" si="85"/>
        <v>-000</v>
      </c>
      <c r="O834" s="4">
        <f ca="1">IF(totalElements+COUNTIF(Entities!$C$10,"*")+COUNTIF(B834:C834,"*")+COUNTIF(E834:F834,"*")=9,1,0)</f>
        <v>0</v>
      </c>
      <c r="P834" s="4">
        <f>COUNTIF($C$6:C834,C834)</f>
        <v>0</v>
      </c>
      <c r="Q834" s="4">
        <f ca="1">IF(ISNA(M834),0,COUNTIF($M$6:M834,M834))</f>
        <v>0</v>
      </c>
      <c r="R834" s="4" t="e">
        <f t="shared" ca="1" si="84"/>
        <v>#N/A</v>
      </c>
      <c r="S834" s="4">
        <f ca="1">IF(ISNA(M834),0,COUNTIF($R$6:R834,R834))</f>
        <v>0</v>
      </c>
      <c r="T834" s="4" t="e">
        <f t="shared" ca="1" si="83"/>
        <v>#N/A</v>
      </c>
    </row>
    <row r="835" spans="2:20" x14ac:dyDescent="0.3">
      <c r="B835" s="48"/>
      <c r="C835" s="48"/>
      <c r="D835" s="10" t="str">
        <f t="shared" ca="1" si="87"/>
        <v/>
      </c>
      <c r="E835" s="48"/>
      <c r="F835" s="48"/>
      <c r="G835" s="10" t="str">
        <f t="shared" ca="1" si="86"/>
        <v/>
      </c>
      <c r="I835" s="10" t="str">
        <f t="shared" ca="1" si="88"/>
        <v/>
      </c>
      <c r="K835" s="4" t="e">
        <f t="shared" ca="1" si="82"/>
        <v>#N/A</v>
      </c>
      <c r="L835" s="4" t="e">
        <f>VLOOKUP(C835,_resources!B:D,3,0)</f>
        <v>#N/A</v>
      </c>
      <c r="M835" s="4" t="e" cm="1">
        <f t="array" aca="1" ref="M835" ca="1">IF(abbrAtEnd,"",L835&amp;"-")&amp;E835&amp;"-"&amp;INDIRECT(OFFSET(element3,MATCH($C835,resources,0)-1,0))&amp;"-"&amp;INDIRECT(OFFSET(element4,MATCH($C835,resources,0)-1,0))&amp;"-"&amp;INDIRECT(OFFSET(element5,MATCH($C835,resources,0)-1,0))&amp;IF(OFFSET(element6,MATCH($C835,resources,0)-1,0)="","","-"&amp;INDIRECT(OFFSET(element6,MATCH($C835,resources,0)-1,0)))&amp;IF(abbrAtEnd,"-"&amp;L835,"")</f>
        <v>#N/A</v>
      </c>
      <c r="N835" s="4" t="str">
        <f t="shared" si="85"/>
        <v>-000</v>
      </c>
      <c r="O835" s="4">
        <f ca="1">IF(totalElements+COUNTIF(Entities!$C$10,"*")+COUNTIF(B835:C835,"*")+COUNTIF(E835:F835,"*")=9,1,0)</f>
        <v>0</v>
      </c>
      <c r="P835" s="4">
        <f>COUNTIF($C$6:C835,C835)</f>
        <v>0</v>
      </c>
      <c r="Q835" s="4">
        <f ca="1">IF(ISNA(M835),0,COUNTIF($M$6:M835,M835))</f>
        <v>0</v>
      </c>
      <c r="R835" s="4" t="e">
        <f t="shared" ca="1" si="84"/>
        <v>#N/A</v>
      </c>
      <c r="S835" s="4">
        <f ca="1">IF(ISNA(M835),0,COUNTIF($R$6:R835,R835))</f>
        <v>0</v>
      </c>
      <c r="T835" s="4" t="e">
        <f t="shared" ca="1" si="83"/>
        <v>#N/A</v>
      </c>
    </row>
    <row r="836" spans="2:20" x14ac:dyDescent="0.3">
      <c r="B836" s="48"/>
      <c r="C836" s="48"/>
      <c r="D836" s="10" t="str">
        <f t="shared" ca="1" si="87"/>
        <v/>
      </c>
      <c r="E836" s="48"/>
      <c r="F836" s="48"/>
      <c r="G836" s="10" t="str">
        <f t="shared" ca="1" si="86"/>
        <v/>
      </c>
      <c r="I836" s="10" t="str">
        <f t="shared" ca="1" si="88"/>
        <v/>
      </c>
      <c r="K836" s="4" t="e">
        <f t="shared" ca="1" si="82"/>
        <v>#N/A</v>
      </c>
      <c r="L836" s="4" t="e">
        <f>VLOOKUP(C836,_resources!B:D,3,0)</f>
        <v>#N/A</v>
      </c>
      <c r="M836" s="4" t="e" cm="1">
        <f t="array" aca="1" ref="M836" ca="1">IF(abbrAtEnd,"",L836&amp;"-")&amp;E836&amp;"-"&amp;INDIRECT(OFFSET(element3,MATCH($C836,resources,0)-1,0))&amp;"-"&amp;INDIRECT(OFFSET(element4,MATCH($C836,resources,0)-1,0))&amp;"-"&amp;INDIRECT(OFFSET(element5,MATCH($C836,resources,0)-1,0))&amp;IF(OFFSET(element6,MATCH($C836,resources,0)-1,0)="","","-"&amp;INDIRECT(OFFSET(element6,MATCH($C836,resources,0)-1,0)))&amp;IF(abbrAtEnd,"-"&amp;L836,"")</f>
        <v>#N/A</v>
      </c>
      <c r="N836" s="4" t="str">
        <f t="shared" si="85"/>
        <v>-000</v>
      </c>
      <c r="O836" s="4">
        <f ca="1">IF(totalElements+COUNTIF(Entities!$C$10,"*")+COUNTIF(B836:C836,"*")+COUNTIF(E836:F836,"*")=9,1,0)</f>
        <v>0</v>
      </c>
      <c r="P836" s="4">
        <f>COUNTIF($C$6:C836,C836)</f>
        <v>0</v>
      </c>
      <c r="Q836" s="4">
        <f ca="1">IF(ISNA(M836),0,COUNTIF($M$6:M836,M836))</f>
        <v>0</v>
      </c>
      <c r="R836" s="4" t="e">
        <f t="shared" ca="1" si="84"/>
        <v>#N/A</v>
      </c>
      <c r="S836" s="4">
        <f ca="1">IF(ISNA(M836),0,COUNTIF($R$6:R836,R836))</f>
        <v>0</v>
      </c>
      <c r="T836" s="4" t="e">
        <f t="shared" ca="1" si="83"/>
        <v>#N/A</v>
      </c>
    </row>
    <row r="837" spans="2:20" x14ac:dyDescent="0.3">
      <c r="B837" s="48"/>
      <c r="C837" s="48"/>
      <c r="D837" s="10" t="str">
        <f t="shared" ca="1" si="87"/>
        <v/>
      </c>
      <c r="E837" s="48"/>
      <c r="F837" s="48"/>
      <c r="G837" s="10" t="str">
        <f t="shared" ca="1" si="86"/>
        <v/>
      </c>
      <c r="I837" s="10" t="str">
        <f t="shared" ca="1" si="88"/>
        <v/>
      </c>
      <c r="K837" s="4" t="e">
        <f t="shared" ca="1" si="82"/>
        <v>#N/A</v>
      </c>
      <c r="L837" s="4" t="e">
        <f>VLOOKUP(C837,_resources!B:D,3,0)</f>
        <v>#N/A</v>
      </c>
      <c r="M837" s="4" t="e" cm="1">
        <f t="array" aca="1" ref="M837" ca="1">IF(abbrAtEnd,"",L837&amp;"-")&amp;E837&amp;"-"&amp;INDIRECT(OFFSET(element3,MATCH($C837,resources,0)-1,0))&amp;"-"&amp;INDIRECT(OFFSET(element4,MATCH($C837,resources,0)-1,0))&amp;"-"&amp;INDIRECT(OFFSET(element5,MATCH($C837,resources,0)-1,0))&amp;IF(OFFSET(element6,MATCH($C837,resources,0)-1,0)="","","-"&amp;INDIRECT(OFFSET(element6,MATCH($C837,resources,0)-1,0)))&amp;IF(abbrAtEnd,"-"&amp;L837,"")</f>
        <v>#N/A</v>
      </c>
      <c r="N837" s="4" t="str">
        <f t="shared" si="85"/>
        <v>-000</v>
      </c>
      <c r="O837" s="4">
        <f ca="1">IF(totalElements+COUNTIF(Entities!$C$10,"*")+COUNTIF(B837:C837,"*")+COUNTIF(E837:F837,"*")=9,1,0)</f>
        <v>0</v>
      </c>
      <c r="P837" s="4">
        <f>COUNTIF($C$6:C837,C837)</f>
        <v>0</v>
      </c>
      <c r="Q837" s="4">
        <f ca="1">IF(ISNA(M837),0,COUNTIF($M$6:M837,M837))</f>
        <v>0</v>
      </c>
      <c r="R837" s="4" t="e">
        <f t="shared" ca="1" si="84"/>
        <v>#N/A</v>
      </c>
      <c r="S837" s="4">
        <f ca="1">IF(ISNA(M837),0,COUNTIF($R$6:R837,R837))</f>
        <v>0</v>
      </c>
      <c r="T837" s="4" t="e">
        <f t="shared" ca="1" si="83"/>
        <v>#N/A</v>
      </c>
    </row>
    <row r="838" spans="2:20" x14ac:dyDescent="0.3">
      <c r="B838" s="48"/>
      <c r="C838" s="48"/>
      <c r="D838" s="10" t="str">
        <f t="shared" ca="1" si="87"/>
        <v/>
      </c>
      <c r="E838" s="48"/>
      <c r="F838" s="48"/>
      <c r="G838" s="10" t="str">
        <f t="shared" ca="1" si="86"/>
        <v/>
      </c>
      <c r="I838" s="10" t="str">
        <f t="shared" ca="1" si="88"/>
        <v/>
      </c>
      <c r="K838" s="4" t="e">
        <f t="shared" ref="K838:K901" ca="1" si="89">OFFSET(structure,MATCH($C838,resources,0)-1,0)</f>
        <v>#N/A</v>
      </c>
      <c r="L838" s="4" t="e">
        <f>VLOOKUP(C838,_resources!B:D,3,0)</f>
        <v>#N/A</v>
      </c>
      <c r="M838" s="4" t="e" cm="1">
        <f t="array" aca="1" ref="M838" ca="1">IF(abbrAtEnd,"",L838&amp;"-")&amp;E838&amp;"-"&amp;INDIRECT(OFFSET(element3,MATCH($C838,resources,0)-1,0))&amp;"-"&amp;INDIRECT(OFFSET(element4,MATCH($C838,resources,0)-1,0))&amp;"-"&amp;INDIRECT(OFFSET(element5,MATCH($C838,resources,0)-1,0))&amp;IF(OFFSET(element6,MATCH($C838,resources,0)-1,0)="","","-"&amp;INDIRECT(OFFSET(element6,MATCH($C838,resources,0)-1,0)))&amp;IF(abbrAtEnd,"-"&amp;L838,"")</f>
        <v>#N/A</v>
      </c>
      <c r="N838" s="4" t="str">
        <f t="shared" si="85"/>
        <v>-000</v>
      </c>
      <c r="O838" s="4">
        <f ca="1">IF(totalElements+COUNTIF(Entities!$C$10,"*")+COUNTIF(B838:C838,"*")+COUNTIF(E838:F838,"*")=9,1,0)</f>
        <v>0</v>
      </c>
      <c r="P838" s="4">
        <f>COUNTIF($C$6:C838,C838)</f>
        <v>0</v>
      </c>
      <c r="Q838" s="4">
        <f ca="1">IF(ISNA(M838),0,COUNTIF($M$6:M838,M838))</f>
        <v>0</v>
      </c>
      <c r="R838" s="4" t="e">
        <f t="shared" ca="1" si="84"/>
        <v>#N/A</v>
      </c>
      <c r="S838" s="4">
        <f ca="1">IF(ISNA(M838),0,COUNTIF($R$6:R838,R838))</f>
        <v>0</v>
      </c>
      <c r="T838" s="4" t="e">
        <f t="shared" ref="T838:T901" ca="1" si="90">OFFSET(maxLength,MATCH($C838,resources,0)-1,0)</f>
        <v>#N/A</v>
      </c>
    </row>
    <row r="839" spans="2:20" x14ac:dyDescent="0.3">
      <c r="B839" s="48"/>
      <c r="C839" s="48"/>
      <c r="D839" s="10" t="str">
        <f t="shared" ca="1" si="87"/>
        <v/>
      </c>
      <c r="E839" s="48"/>
      <c r="F839" s="48"/>
      <c r="G839" s="10" t="str">
        <f t="shared" ca="1" si="86"/>
        <v/>
      </c>
      <c r="I839" s="10" t="str">
        <f t="shared" ca="1" si="88"/>
        <v/>
      </c>
      <c r="K839" s="4" t="e">
        <f t="shared" ca="1" si="89"/>
        <v>#N/A</v>
      </c>
      <c r="L839" s="4" t="e">
        <f>VLOOKUP(C839,_resources!B:D,3,0)</f>
        <v>#N/A</v>
      </c>
      <c r="M839" s="4" t="e" cm="1">
        <f t="array" aca="1" ref="M839" ca="1">IF(abbrAtEnd,"",L839&amp;"-")&amp;E839&amp;"-"&amp;INDIRECT(OFFSET(element3,MATCH($C839,resources,0)-1,0))&amp;"-"&amp;INDIRECT(OFFSET(element4,MATCH($C839,resources,0)-1,0))&amp;"-"&amp;INDIRECT(OFFSET(element5,MATCH($C839,resources,0)-1,0))&amp;IF(OFFSET(element6,MATCH($C839,resources,0)-1,0)="","","-"&amp;INDIRECT(OFFSET(element6,MATCH($C839,resources,0)-1,0)))&amp;IF(abbrAtEnd,"-"&amp;L839,"")</f>
        <v>#N/A</v>
      </c>
      <c r="N839" s="4" t="str">
        <f t="shared" si="85"/>
        <v>-000</v>
      </c>
      <c r="O839" s="4">
        <f ca="1">IF(totalElements+COUNTIF(Entities!$C$10,"*")+COUNTIF(B839:C839,"*")+COUNTIF(E839:F839,"*")=9,1,0)</f>
        <v>0</v>
      </c>
      <c r="P839" s="4">
        <f>COUNTIF($C$6:C839,C839)</f>
        <v>0</v>
      </c>
      <c r="Q839" s="4">
        <f ca="1">IF(ISNA(M839),0,COUNTIF($M$6:M839,M839))</f>
        <v>0</v>
      </c>
      <c r="R839" s="4" t="e">
        <f t="shared" ref="R839:R902" ca="1" si="91">F839&amp;"__"&amp;M839</f>
        <v>#N/A</v>
      </c>
      <c r="S839" s="4">
        <f ca="1">IF(ISNA(M839),0,COUNTIF($R$6:R839,R839))</f>
        <v>0</v>
      </c>
      <c r="T839" s="4" t="e">
        <f t="shared" ca="1" si="90"/>
        <v>#N/A</v>
      </c>
    </row>
    <row r="840" spans="2:20" x14ac:dyDescent="0.3">
      <c r="B840" s="48"/>
      <c r="C840" s="48"/>
      <c r="D840" s="10" t="str">
        <f t="shared" ca="1" si="87"/>
        <v/>
      </c>
      <c r="E840" s="48"/>
      <c r="F840" s="48"/>
      <c r="G840" s="10" t="str">
        <f t="shared" ca="1" si="86"/>
        <v/>
      </c>
      <c r="I840" s="10" t="str">
        <f t="shared" ca="1" si="88"/>
        <v/>
      </c>
      <c r="K840" s="4" t="e">
        <f t="shared" ca="1" si="89"/>
        <v>#N/A</v>
      </c>
      <c r="L840" s="4" t="e">
        <f>VLOOKUP(C840,_resources!B:D,3,0)</f>
        <v>#N/A</v>
      </c>
      <c r="M840" s="4" t="e" cm="1">
        <f t="array" aca="1" ref="M840" ca="1">IF(abbrAtEnd,"",L840&amp;"-")&amp;E840&amp;"-"&amp;INDIRECT(OFFSET(element3,MATCH($C840,resources,0)-1,0))&amp;"-"&amp;INDIRECT(OFFSET(element4,MATCH($C840,resources,0)-1,0))&amp;"-"&amp;INDIRECT(OFFSET(element5,MATCH($C840,resources,0)-1,0))&amp;IF(OFFSET(element6,MATCH($C840,resources,0)-1,0)="","","-"&amp;INDIRECT(OFFSET(element6,MATCH($C840,resources,0)-1,0)))&amp;IF(abbrAtEnd,"-"&amp;L840,"")</f>
        <v>#N/A</v>
      </c>
      <c r="N840" s="4" t="str">
        <f t="shared" si="85"/>
        <v>-000</v>
      </c>
      <c r="O840" s="4">
        <f ca="1">IF(totalElements+COUNTIF(Entities!$C$10,"*")+COUNTIF(B840:C840,"*")+COUNTIF(E840:F840,"*")=9,1,0)</f>
        <v>0</v>
      </c>
      <c r="P840" s="4">
        <f>COUNTIF($C$6:C840,C840)</f>
        <v>0</v>
      </c>
      <c r="Q840" s="4">
        <f ca="1">IF(ISNA(M840),0,COUNTIF($M$6:M840,M840))</f>
        <v>0</v>
      </c>
      <c r="R840" s="4" t="e">
        <f t="shared" ca="1" si="91"/>
        <v>#N/A</v>
      </c>
      <c r="S840" s="4">
        <f ca="1">IF(ISNA(M840),0,COUNTIF($R$6:R840,R840))</f>
        <v>0</v>
      </c>
      <c r="T840" s="4" t="e">
        <f t="shared" ca="1" si="90"/>
        <v>#N/A</v>
      </c>
    </row>
    <row r="841" spans="2:20" x14ac:dyDescent="0.3">
      <c r="B841" s="48"/>
      <c r="C841" s="48"/>
      <c r="D841" s="10" t="str">
        <f t="shared" ca="1" si="87"/>
        <v/>
      </c>
      <c r="E841" s="48"/>
      <c r="F841" s="48"/>
      <c r="G841" s="10" t="str">
        <f t="shared" ca="1" si="86"/>
        <v/>
      </c>
      <c r="I841" s="10" t="str">
        <f t="shared" ca="1" si="88"/>
        <v/>
      </c>
      <c r="K841" s="4" t="e">
        <f t="shared" ca="1" si="89"/>
        <v>#N/A</v>
      </c>
      <c r="L841" s="4" t="e">
        <f>VLOOKUP(C841,_resources!B:D,3,0)</f>
        <v>#N/A</v>
      </c>
      <c r="M841" s="4" t="e" cm="1">
        <f t="array" aca="1" ref="M841" ca="1">IF(abbrAtEnd,"",L841&amp;"-")&amp;E841&amp;"-"&amp;INDIRECT(OFFSET(element3,MATCH($C841,resources,0)-1,0))&amp;"-"&amp;INDIRECT(OFFSET(element4,MATCH($C841,resources,0)-1,0))&amp;"-"&amp;INDIRECT(OFFSET(element5,MATCH($C841,resources,0)-1,0))&amp;IF(OFFSET(element6,MATCH($C841,resources,0)-1,0)="","","-"&amp;INDIRECT(OFFSET(element6,MATCH($C841,resources,0)-1,0)))&amp;IF(abbrAtEnd,"-"&amp;L841,"")</f>
        <v>#N/A</v>
      </c>
      <c r="N841" s="4" t="str">
        <f t="shared" si="85"/>
        <v>-000</v>
      </c>
      <c r="O841" s="4">
        <f ca="1">IF(totalElements+COUNTIF(Entities!$C$10,"*")+COUNTIF(B841:C841,"*")+COUNTIF(E841:F841,"*")=9,1,0)</f>
        <v>0</v>
      </c>
      <c r="P841" s="4">
        <f>COUNTIF($C$6:C841,C841)</f>
        <v>0</v>
      </c>
      <c r="Q841" s="4">
        <f ca="1">IF(ISNA(M841),0,COUNTIF($M$6:M841,M841))</f>
        <v>0</v>
      </c>
      <c r="R841" s="4" t="e">
        <f t="shared" ca="1" si="91"/>
        <v>#N/A</v>
      </c>
      <c r="S841" s="4">
        <f ca="1">IF(ISNA(M841),0,COUNTIF($R$6:R841,R841))</f>
        <v>0</v>
      </c>
      <c r="T841" s="4" t="e">
        <f t="shared" ca="1" si="90"/>
        <v>#N/A</v>
      </c>
    </row>
    <row r="842" spans="2:20" x14ac:dyDescent="0.3">
      <c r="B842" s="48"/>
      <c r="C842" s="48"/>
      <c r="D842" s="10" t="str">
        <f t="shared" ca="1" si="87"/>
        <v/>
      </c>
      <c r="E842" s="48"/>
      <c r="F842" s="48"/>
      <c r="G842" s="10" t="str">
        <f t="shared" ca="1" si="86"/>
        <v/>
      </c>
      <c r="I842" s="10" t="str">
        <f t="shared" ca="1" si="88"/>
        <v/>
      </c>
      <c r="K842" s="4" t="e">
        <f t="shared" ca="1" si="89"/>
        <v>#N/A</v>
      </c>
      <c r="L842" s="4" t="e">
        <f>VLOOKUP(C842,_resources!B:D,3,0)</f>
        <v>#N/A</v>
      </c>
      <c r="M842" s="4" t="e" cm="1">
        <f t="array" aca="1" ref="M842" ca="1">IF(abbrAtEnd,"",L842&amp;"-")&amp;E842&amp;"-"&amp;INDIRECT(OFFSET(element3,MATCH($C842,resources,0)-1,0))&amp;"-"&amp;INDIRECT(OFFSET(element4,MATCH($C842,resources,0)-1,0))&amp;"-"&amp;INDIRECT(OFFSET(element5,MATCH($C842,resources,0)-1,0))&amp;IF(OFFSET(element6,MATCH($C842,resources,0)-1,0)="","","-"&amp;INDIRECT(OFFSET(element6,MATCH($C842,resources,0)-1,0)))&amp;IF(abbrAtEnd,"-"&amp;L842,"")</f>
        <v>#N/A</v>
      </c>
      <c r="N842" s="4" t="str">
        <f t="shared" si="85"/>
        <v>-000</v>
      </c>
      <c r="O842" s="4">
        <f ca="1">IF(totalElements+COUNTIF(Entities!$C$10,"*")+COUNTIF(B842:C842,"*")+COUNTIF(E842:F842,"*")=9,1,0)</f>
        <v>0</v>
      </c>
      <c r="P842" s="4">
        <f>COUNTIF($C$6:C842,C842)</f>
        <v>0</v>
      </c>
      <c r="Q842" s="4">
        <f ca="1">IF(ISNA(M842),0,COUNTIF($M$6:M842,M842))</f>
        <v>0</v>
      </c>
      <c r="R842" s="4" t="e">
        <f t="shared" ca="1" si="91"/>
        <v>#N/A</v>
      </c>
      <c r="S842" s="4">
        <f ca="1">IF(ISNA(M842),0,COUNTIF($R$6:R842,R842))</f>
        <v>0</v>
      </c>
      <c r="T842" s="4" t="e">
        <f t="shared" ca="1" si="90"/>
        <v>#N/A</v>
      </c>
    </row>
    <row r="843" spans="2:20" x14ac:dyDescent="0.3">
      <c r="B843" s="48"/>
      <c r="C843" s="48"/>
      <c r="D843" s="10" t="str">
        <f t="shared" ca="1" si="87"/>
        <v/>
      </c>
      <c r="E843" s="48"/>
      <c r="F843" s="48"/>
      <c r="G843" s="10" t="str">
        <f t="shared" ca="1" si="86"/>
        <v/>
      </c>
      <c r="I843" s="10" t="str">
        <f t="shared" ca="1" si="88"/>
        <v/>
      </c>
      <c r="K843" s="4" t="e">
        <f t="shared" ca="1" si="89"/>
        <v>#N/A</v>
      </c>
      <c r="L843" s="4" t="e">
        <f>VLOOKUP(C843,_resources!B:D,3,0)</f>
        <v>#N/A</v>
      </c>
      <c r="M843" s="4" t="e" cm="1">
        <f t="array" aca="1" ref="M843" ca="1">IF(abbrAtEnd,"",L843&amp;"-")&amp;E843&amp;"-"&amp;INDIRECT(OFFSET(element3,MATCH($C843,resources,0)-1,0))&amp;"-"&amp;INDIRECT(OFFSET(element4,MATCH($C843,resources,0)-1,0))&amp;"-"&amp;INDIRECT(OFFSET(element5,MATCH($C843,resources,0)-1,0))&amp;IF(OFFSET(element6,MATCH($C843,resources,0)-1,0)="","","-"&amp;INDIRECT(OFFSET(element6,MATCH($C843,resources,0)-1,0)))&amp;IF(abbrAtEnd,"-"&amp;L843,"")</f>
        <v>#N/A</v>
      </c>
      <c r="N843" s="4" t="str">
        <f t="shared" si="85"/>
        <v>-000</v>
      </c>
      <c r="O843" s="4">
        <f ca="1">IF(totalElements+COUNTIF(Entities!$C$10,"*")+COUNTIF(B843:C843,"*")+COUNTIF(E843:F843,"*")=9,1,0)</f>
        <v>0</v>
      </c>
      <c r="P843" s="4">
        <f>COUNTIF($C$6:C843,C843)</f>
        <v>0</v>
      </c>
      <c r="Q843" s="4">
        <f ca="1">IF(ISNA(M843),0,COUNTIF($M$6:M843,M843))</f>
        <v>0</v>
      </c>
      <c r="R843" s="4" t="e">
        <f t="shared" ca="1" si="91"/>
        <v>#N/A</v>
      </c>
      <c r="S843" s="4">
        <f ca="1">IF(ISNA(M843),0,COUNTIF($R$6:R843,R843))</f>
        <v>0</v>
      </c>
      <c r="T843" s="4" t="e">
        <f t="shared" ca="1" si="90"/>
        <v>#N/A</v>
      </c>
    </row>
    <row r="844" spans="2:20" x14ac:dyDescent="0.3">
      <c r="B844" s="48"/>
      <c r="C844" s="48"/>
      <c r="D844" s="10" t="str">
        <f t="shared" ca="1" si="87"/>
        <v/>
      </c>
      <c r="E844" s="48"/>
      <c r="F844" s="48"/>
      <c r="G844" s="10" t="str">
        <f t="shared" ca="1" si="86"/>
        <v/>
      </c>
      <c r="I844" s="10" t="str">
        <f t="shared" ca="1" si="88"/>
        <v/>
      </c>
      <c r="K844" s="4" t="e">
        <f t="shared" ca="1" si="89"/>
        <v>#N/A</v>
      </c>
      <c r="L844" s="4" t="e">
        <f>VLOOKUP(C844,_resources!B:D,3,0)</f>
        <v>#N/A</v>
      </c>
      <c r="M844" s="4" t="e" cm="1">
        <f t="array" aca="1" ref="M844" ca="1">IF(abbrAtEnd,"",L844&amp;"-")&amp;E844&amp;"-"&amp;INDIRECT(OFFSET(element3,MATCH($C844,resources,0)-1,0))&amp;"-"&amp;INDIRECT(OFFSET(element4,MATCH($C844,resources,0)-1,0))&amp;"-"&amp;INDIRECT(OFFSET(element5,MATCH($C844,resources,0)-1,0))&amp;IF(OFFSET(element6,MATCH($C844,resources,0)-1,0)="","","-"&amp;INDIRECT(OFFSET(element6,MATCH($C844,resources,0)-1,0)))&amp;IF(abbrAtEnd,"-"&amp;L844,"")</f>
        <v>#N/A</v>
      </c>
      <c r="N844" s="4" t="str">
        <f t="shared" si="85"/>
        <v>-000</v>
      </c>
      <c r="O844" s="4">
        <f ca="1">IF(totalElements+COUNTIF(Entities!$C$10,"*")+COUNTIF(B844:C844,"*")+COUNTIF(E844:F844,"*")=9,1,0)</f>
        <v>0</v>
      </c>
      <c r="P844" s="4">
        <f>COUNTIF($C$6:C844,C844)</f>
        <v>0</v>
      </c>
      <c r="Q844" s="4">
        <f ca="1">IF(ISNA(M844),0,COUNTIF($M$6:M844,M844))</f>
        <v>0</v>
      </c>
      <c r="R844" s="4" t="e">
        <f t="shared" ca="1" si="91"/>
        <v>#N/A</v>
      </c>
      <c r="S844" s="4">
        <f ca="1">IF(ISNA(M844),0,COUNTIF($R$6:R844,R844))</f>
        <v>0</v>
      </c>
      <c r="T844" s="4" t="e">
        <f t="shared" ca="1" si="90"/>
        <v>#N/A</v>
      </c>
    </row>
    <row r="845" spans="2:20" x14ac:dyDescent="0.3">
      <c r="B845" s="48"/>
      <c r="C845" s="48"/>
      <c r="D845" s="10" t="str">
        <f t="shared" ca="1" si="87"/>
        <v/>
      </c>
      <c r="E845" s="48"/>
      <c r="F845" s="48"/>
      <c r="G845" s="10" t="str">
        <f t="shared" ca="1" si="86"/>
        <v/>
      </c>
      <c r="I845" s="10" t="str">
        <f t="shared" ca="1" si="88"/>
        <v/>
      </c>
      <c r="K845" s="4" t="e">
        <f t="shared" ca="1" si="89"/>
        <v>#N/A</v>
      </c>
      <c r="L845" s="4" t="e">
        <f>VLOOKUP(C845,_resources!B:D,3,0)</f>
        <v>#N/A</v>
      </c>
      <c r="M845" s="4" t="e" cm="1">
        <f t="array" aca="1" ref="M845" ca="1">IF(abbrAtEnd,"",L845&amp;"-")&amp;E845&amp;"-"&amp;INDIRECT(OFFSET(element3,MATCH($C845,resources,0)-1,0))&amp;"-"&amp;INDIRECT(OFFSET(element4,MATCH($C845,resources,0)-1,0))&amp;"-"&amp;INDIRECT(OFFSET(element5,MATCH($C845,resources,0)-1,0))&amp;IF(OFFSET(element6,MATCH($C845,resources,0)-1,0)="","","-"&amp;INDIRECT(OFFSET(element6,MATCH($C845,resources,0)-1,0)))&amp;IF(abbrAtEnd,"-"&amp;L845,"")</f>
        <v>#N/A</v>
      </c>
      <c r="N845" s="4" t="str">
        <f t="shared" si="85"/>
        <v>-000</v>
      </c>
      <c r="O845" s="4">
        <f ca="1">IF(totalElements+COUNTIF(Entities!$C$10,"*")+COUNTIF(B845:C845,"*")+COUNTIF(E845:F845,"*")=9,1,0)</f>
        <v>0</v>
      </c>
      <c r="P845" s="4">
        <f>COUNTIF($C$6:C845,C845)</f>
        <v>0</v>
      </c>
      <c r="Q845" s="4">
        <f ca="1">IF(ISNA(M845),0,COUNTIF($M$6:M845,M845))</f>
        <v>0</v>
      </c>
      <c r="R845" s="4" t="e">
        <f t="shared" ca="1" si="91"/>
        <v>#N/A</v>
      </c>
      <c r="S845" s="4">
        <f ca="1">IF(ISNA(M845),0,COUNTIF($R$6:R845,R845))</f>
        <v>0</v>
      </c>
      <c r="T845" s="4" t="e">
        <f t="shared" ca="1" si="90"/>
        <v>#N/A</v>
      </c>
    </row>
    <row r="846" spans="2:20" x14ac:dyDescent="0.3">
      <c r="B846" s="48"/>
      <c r="C846" s="48"/>
      <c r="D846" s="10" t="str">
        <f t="shared" ca="1" si="87"/>
        <v/>
      </c>
      <c r="E846" s="48"/>
      <c r="F846" s="48"/>
      <c r="G846" s="10" t="str">
        <f t="shared" ca="1" si="86"/>
        <v/>
      </c>
      <c r="I846" s="10" t="str">
        <f t="shared" ca="1" si="88"/>
        <v/>
      </c>
      <c r="K846" s="4" t="e">
        <f t="shared" ca="1" si="89"/>
        <v>#N/A</v>
      </c>
      <c r="L846" s="4" t="e">
        <f>VLOOKUP(C846,_resources!B:D,3,0)</f>
        <v>#N/A</v>
      </c>
      <c r="M846" s="4" t="e" cm="1">
        <f t="array" aca="1" ref="M846" ca="1">IF(abbrAtEnd,"",L846&amp;"-")&amp;E846&amp;"-"&amp;INDIRECT(OFFSET(element3,MATCH($C846,resources,0)-1,0))&amp;"-"&amp;INDIRECT(OFFSET(element4,MATCH($C846,resources,0)-1,0))&amp;"-"&amp;INDIRECT(OFFSET(element5,MATCH($C846,resources,0)-1,0))&amp;IF(OFFSET(element6,MATCH($C846,resources,0)-1,0)="","","-"&amp;INDIRECT(OFFSET(element6,MATCH($C846,resources,0)-1,0)))&amp;IF(abbrAtEnd,"-"&amp;L846,"")</f>
        <v>#N/A</v>
      </c>
      <c r="N846" s="4" t="str">
        <f t="shared" ref="N846:N909" si="92">IF($M$4,"-"&amp;TEXT(P846,"000"),"-"&amp;TEXT(Q846,"000"))</f>
        <v>-000</v>
      </c>
      <c r="O846" s="4">
        <f ca="1">IF(totalElements+COUNTIF(Entities!$C$10,"*")+COUNTIF(B846:C846,"*")+COUNTIF(E846:F846,"*")=9,1,0)</f>
        <v>0</v>
      </c>
      <c r="P846" s="4">
        <f>COUNTIF($C$6:C846,C846)</f>
        <v>0</v>
      </c>
      <c r="Q846" s="4">
        <f ca="1">IF(ISNA(M846),0,COUNTIF($M$6:M846,M846))</f>
        <v>0</v>
      </c>
      <c r="R846" s="4" t="e">
        <f t="shared" ca="1" si="91"/>
        <v>#N/A</v>
      </c>
      <c r="S846" s="4">
        <f ca="1">IF(ISNA(M846),0,COUNTIF($R$6:R846,R846))</f>
        <v>0</v>
      </c>
      <c r="T846" s="4" t="e">
        <f t="shared" ca="1" si="90"/>
        <v>#N/A</v>
      </c>
    </row>
    <row r="847" spans="2:20" x14ac:dyDescent="0.3">
      <c r="B847" s="48"/>
      <c r="C847" s="48"/>
      <c r="D847" s="10" t="str">
        <f t="shared" ca="1" si="87"/>
        <v/>
      </c>
      <c r="E847" s="48"/>
      <c r="F847" s="48"/>
      <c r="G847" s="10" t="str">
        <f t="shared" ca="1" si="86"/>
        <v/>
      </c>
      <c r="I847" s="10" t="str">
        <f t="shared" ca="1" si="88"/>
        <v/>
      </c>
      <c r="K847" s="4" t="e">
        <f t="shared" ca="1" si="89"/>
        <v>#N/A</v>
      </c>
      <c r="L847" s="4" t="e">
        <f>VLOOKUP(C847,_resources!B:D,3,0)</f>
        <v>#N/A</v>
      </c>
      <c r="M847" s="4" t="e" cm="1">
        <f t="array" aca="1" ref="M847" ca="1">IF(abbrAtEnd,"",L847&amp;"-")&amp;E847&amp;"-"&amp;INDIRECT(OFFSET(element3,MATCH($C847,resources,0)-1,0))&amp;"-"&amp;INDIRECT(OFFSET(element4,MATCH($C847,resources,0)-1,0))&amp;"-"&amp;INDIRECT(OFFSET(element5,MATCH($C847,resources,0)-1,0))&amp;IF(OFFSET(element6,MATCH($C847,resources,0)-1,0)="","","-"&amp;INDIRECT(OFFSET(element6,MATCH($C847,resources,0)-1,0)))&amp;IF(abbrAtEnd,"-"&amp;L847,"")</f>
        <v>#N/A</v>
      </c>
      <c r="N847" s="4" t="str">
        <f t="shared" si="92"/>
        <v>-000</v>
      </c>
      <c r="O847" s="4">
        <f ca="1">IF(totalElements+COUNTIF(Entities!$C$10,"*")+COUNTIF(B847:C847,"*")+COUNTIF(E847:F847,"*")=9,1,0)</f>
        <v>0</v>
      </c>
      <c r="P847" s="4">
        <f>COUNTIF($C$6:C847,C847)</f>
        <v>0</v>
      </c>
      <c r="Q847" s="4">
        <f ca="1">IF(ISNA(M847),0,COUNTIF($M$6:M847,M847))</f>
        <v>0</v>
      </c>
      <c r="R847" s="4" t="e">
        <f t="shared" ca="1" si="91"/>
        <v>#N/A</v>
      </c>
      <c r="S847" s="4">
        <f ca="1">IF(ISNA(M847),0,COUNTIF($R$6:R847,R847))</f>
        <v>0</v>
      </c>
      <c r="T847" s="4" t="e">
        <f t="shared" ca="1" si="90"/>
        <v>#N/A</v>
      </c>
    </row>
    <row r="848" spans="2:20" x14ac:dyDescent="0.3">
      <c r="B848" s="48"/>
      <c r="C848" s="48"/>
      <c r="D848" s="10" t="str">
        <f t="shared" ca="1" si="87"/>
        <v/>
      </c>
      <c r="E848" s="48"/>
      <c r="F848" s="48"/>
      <c r="G848" s="10" t="str">
        <f t="shared" ca="1" si="86"/>
        <v/>
      </c>
      <c r="I848" s="10" t="str">
        <f t="shared" ca="1" si="88"/>
        <v/>
      </c>
      <c r="K848" s="4" t="e">
        <f t="shared" ca="1" si="89"/>
        <v>#N/A</v>
      </c>
      <c r="L848" s="4" t="e">
        <f>VLOOKUP(C848,_resources!B:D,3,0)</f>
        <v>#N/A</v>
      </c>
      <c r="M848" s="4" t="e" cm="1">
        <f t="array" aca="1" ref="M848" ca="1">IF(abbrAtEnd,"",L848&amp;"-")&amp;E848&amp;"-"&amp;INDIRECT(OFFSET(element3,MATCH($C848,resources,0)-1,0))&amp;"-"&amp;INDIRECT(OFFSET(element4,MATCH($C848,resources,0)-1,0))&amp;"-"&amp;INDIRECT(OFFSET(element5,MATCH($C848,resources,0)-1,0))&amp;IF(OFFSET(element6,MATCH($C848,resources,0)-1,0)="","","-"&amp;INDIRECT(OFFSET(element6,MATCH($C848,resources,0)-1,0)))&amp;IF(abbrAtEnd,"-"&amp;L848,"")</f>
        <v>#N/A</v>
      </c>
      <c r="N848" s="4" t="str">
        <f t="shared" si="92"/>
        <v>-000</v>
      </c>
      <c r="O848" s="4">
        <f ca="1">IF(totalElements+COUNTIF(Entities!$C$10,"*")+COUNTIF(B848:C848,"*")+COUNTIF(E848:F848,"*")=9,1,0)</f>
        <v>0</v>
      </c>
      <c r="P848" s="4">
        <f>COUNTIF($C$6:C848,C848)</f>
        <v>0</v>
      </c>
      <c r="Q848" s="4">
        <f ca="1">IF(ISNA(M848),0,COUNTIF($M$6:M848,M848))</f>
        <v>0</v>
      </c>
      <c r="R848" s="4" t="e">
        <f t="shared" ca="1" si="91"/>
        <v>#N/A</v>
      </c>
      <c r="S848" s="4">
        <f ca="1">IF(ISNA(M848),0,COUNTIF($R$6:R848,R848))</f>
        <v>0</v>
      </c>
      <c r="T848" s="4" t="e">
        <f t="shared" ca="1" si="90"/>
        <v>#N/A</v>
      </c>
    </row>
    <row r="849" spans="2:20" x14ac:dyDescent="0.3">
      <c r="B849" s="48"/>
      <c r="C849" s="48"/>
      <c r="D849" s="10" t="str">
        <f t="shared" ca="1" si="87"/>
        <v/>
      </c>
      <c r="E849" s="48"/>
      <c r="F849" s="48"/>
      <c r="G849" s="10" t="str">
        <f t="shared" ca="1" si="86"/>
        <v/>
      </c>
      <c r="I849" s="10" t="str">
        <f t="shared" ca="1" si="88"/>
        <v/>
      </c>
      <c r="K849" s="4" t="e">
        <f t="shared" ca="1" si="89"/>
        <v>#N/A</v>
      </c>
      <c r="L849" s="4" t="e">
        <f>VLOOKUP(C849,_resources!B:D,3,0)</f>
        <v>#N/A</v>
      </c>
      <c r="M849" s="4" t="e" cm="1">
        <f t="array" aca="1" ref="M849" ca="1">IF(abbrAtEnd,"",L849&amp;"-")&amp;E849&amp;"-"&amp;INDIRECT(OFFSET(element3,MATCH($C849,resources,0)-1,0))&amp;"-"&amp;INDIRECT(OFFSET(element4,MATCH($C849,resources,0)-1,0))&amp;"-"&amp;INDIRECT(OFFSET(element5,MATCH($C849,resources,0)-1,0))&amp;IF(OFFSET(element6,MATCH($C849,resources,0)-1,0)="","","-"&amp;INDIRECT(OFFSET(element6,MATCH($C849,resources,0)-1,0)))&amp;IF(abbrAtEnd,"-"&amp;L849,"")</f>
        <v>#N/A</v>
      </c>
      <c r="N849" s="4" t="str">
        <f t="shared" si="92"/>
        <v>-000</v>
      </c>
      <c r="O849" s="4">
        <f ca="1">IF(totalElements+COUNTIF(Entities!$C$10,"*")+COUNTIF(B849:C849,"*")+COUNTIF(E849:F849,"*")=9,1,0)</f>
        <v>0</v>
      </c>
      <c r="P849" s="4">
        <f>COUNTIF($C$6:C849,C849)</f>
        <v>0</v>
      </c>
      <c r="Q849" s="4">
        <f ca="1">IF(ISNA(M849),0,COUNTIF($M$6:M849,M849))</f>
        <v>0</v>
      </c>
      <c r="R849" s="4" t="e">
        <f t="shared" ca="1" si="91"/>
        <v>#N/A</v>
      </c>
      <c r="S849" s="4">
        <f ca="1">IF(ISNA(M849),0,COUNTIF($R$6:R849,R849))</f>
        <v>0</v>
      </c>
      <c r="T849" s="4" t="e">
        <f t="shared" ca="1" si="90"/>
        <v>#N/A</v>
      </c>
    </row>
    <row r="850" spans="2:20" x14ac:dyDescent="0.3">
      <c r="B850" s="48"/>
      <c r="C850" s="48"/>
      <c r="D850" s="10" t="str">
        <f t="shared" ca="1" si="87"/>
        <v/>
      </c>
      <c r="E850" s="48"/>
      <c r="F850" s="48"/>
      <c r="G850" s="10" t="str">
        <f t="shared" ca="1" si="86"/>
        <v/>
      </c>
      <c r="I850" s="10" t="str">
        <f t="shared" ca="1" si="88"/>
        <v/>
      </c>
      <c r="K850" s="4" t="e">
        <f t="shared" ca="1" si="89"/>
        <v>#N/A</v>
      </c>
      <c r="L850" s="4" t="e">
        <f>VLOOKUP(C850,_resources!B:D,3,0)</f>
        <v>#N/A</v>
      </c>
      <c r="M850" s="4" t="e" cm="1">
        <f t="array" aca="1" ref="M850" ca="1">IF(abbrAtEnd,"",L850&amp;"-")&amp;E850&amp;"-"&amp;INDIRECT(OFFSET(element3,MATCH($C850,resources,0)-1,0))&amp;"-"&amp;INDIRECT(OFFSET(element4,MATCH($C850,resources,0)-1,0))&amp;"-"&amp;INDIRECT(OFFSET(element5,MATCH($C850,resources,0)-1,0))&amp;IF(OFFSET(element6,MATCH($C850,resources,0)-1,0)="","","-"&amp;INDIRECT(OFFSET(element6,MATCH($C850,resources,0)-1,0)))&amp;IF(abbrAtEnd,"-"&amp;L850,"")</f>
        <v>#N/A</v>
      </c>
      <c r="N850" s="4" t="str">
        <f t="shared" si="92"/>
        <v>-000</v>
      </c>
      <c r="O850" s="4">
        <f ca="1">IF(totalElements+COUNTIF(Entities!$C$10,"*")+COUNTIF(B850:C850,"*")+COUNTIF(E850:F850,"*")=9,1,0)</f>
        <v>0</v>
      </c>
      <c r="P850" s="4">
        <f>COUNTIF($C$6:C850,C850)</f>
        <v>0</v>
      </c>
      <c r="Q850" s="4">
        <f ca="1">IF(ISNA(M850),0,COUNTIF($M$6:M850,M850))</f>
        <v>0</v>
      </c>
      <c r="R850" s="4" t="e">
        <f t="shared" ca="1" si="91"/>
        <v>#N/A</v>
      </c>
      <c r="S850" s="4">
        <f ca="1">IF(ISNA(M850),0,COUNTIF($R$6:R850,R850))</f>
        <v>0</v>
      </c>
      <c r="T850" s="4" t="e">
        <f t="shared" ca="1" si="90"/>
        <v>#N/A</v>
      </c>
    </row>
    <row r="851" spans="2:20" x14ac:dyDescent="0.3">
      <c r="B851" s="48"/>
      <c r="C851" s="48"/>
      <c r="D851" s="10" t="str">
        <f t="shared" ca="1" si="87"/>
        <v/>
      </c>
      <c r="E851" s="48"/>
      <c r="F851" s="48"/>
      <c r="G851" s="10" t="str">
        <f t="shared" ref="G851:G914" ca="1" si="93">IF(O851,IF(K851="hyphenated",M851&amp;N851,IF(K851="dnsname",E851,IF(K851="alphanumeric",SUBSTITUTE(M851&amp;N851,"-",""),"unknown or missing resource structure"))),"")</f>
        <v/>
      </c>
      <c r="I851" s="10" t="str">
        <f t="shared" ca="1" si="88"/>
        <v/>
      </c>
      <c r="K851" s="4" t="e">
        <f t="shared" ca="1" si="89"/>
        <v>#N/A</v>
      </c>
      <c r="L851" s="4" t="e">
        <f>VLOOKUP(C851,_resources!B:D,3,0)</f>
        <v>#N/A</v>
      </c>
      <c r="M851" s="4" t="e" cm="1">
        <f t="array" aca="1" ref="M851" ca="1">IF(abbrAtEnd,"",L851&amp;"-")&amp;E851&amp;"-"&amp;INDIRECT(OFFSET(element3,MATCH($C851,resources,0)-1,0))&amp;"-"&amp;INDIRECT(OFFSET(element4,MATCH($C851,resources,0)-1,0))&amp;"-"&amp;INDIRECT(OFFSET(element5,MATCH($C851,resources,0)-1,0))&amp;IF(OFFSET(element6,MATCH($C851,resources,0)-1,0)="","","-"&amp;INDIRECT(OFFSET(element6,MATCH($C851,resources,0)-1,0)))&amp;IF(abbrAtEnd,"-"&amp;L851,"")</f>
        <v>#N/A</v>
      </c>
      <c r="N851" s="4" t="str">
        <f t="shared" si="92"/>
        <v>-000</v>
      </c>
      <c r="O851" s="4">
        <f ca="1">IF(totalElements+COUNTIF(Entities!$C$10,"*")+COUNTIF(B851:C851,"*")+COUNTIF(E851:F851,"*")=9,1,0)</f>
        <v>0</v>
      </c>
      <c r="P851" s="4">
        <f>COUNTIF($C$6:C851,C851)</f>
        <v>0</v>
      </c>
      <c r="Q851" s="4">
        <f ca="1">IF(ISNA(M851),0,COUNTIF($M$6:M851,M851))</f>
        <v>0</v>
      </c>
      <c r="R851" s="4" t="e">
        <f t="shared" ca="1" si="91"/>
        <v>#N/A</v>
      </c>
      <c r="S851" s="4">
        <f ca="1">IF(ISNA(M851),0,COUNTIF($R$6:R851,R851))</f>
        <v>0</v>
      </c>
      <c r="T851" s="4" t="e">
        <f t="shared" ca="1" si="90"/>
        <v>#N/A</v>
      </c>
    </row>
    <row r="852" spans="2:20" x14ac:dyDescent="0.3">
      <c r="B852" s="48"/>
      <c r="C852" s="48"/>
      <c r="D852" s="10" t="str">
        <f t="shared" ca="1" si="87"/>
        <v/>
      </c>
      <c r="E852" s="48"/>
      <c r="F852" s="48"/>
      <c r="G852" s="10" t="str">
        <f t="shared" ca="1" si="93"/>
        <v/>
      </c>
      <c r="I852" s="10" t="str">
        <f t="shared" ca="1" si="88"/>
        <v/>
      </c>
      <c r="K852" s="4" t="e">
        <f t="shared" ca="1" si="89"/>
        <v>#N/A</v>
      </c>
      <c r="L852" s="4" t="e">
        <f>VLOOKUP(C852,_resources!B:D,3,0)</f>
        <v>#N/A</v>
      </c>
      <c r="M852" s="4" t="e" cm="1">
        <f t="array" aca="1" ref="M852" ca="1">IF(abbrAtEnd,"",L852&amp;"-")&amp;E852&amp;"-"&amp;INDIRECT(OFFSET(element3,MATCH($C852,resources,0)-1,0))&amp;"-"&amp;INDIRECT(OFFSET(element4,MATCH($C852,resources,0)-1,0))&amp;"-"&amp;INDIRECT(OFFSET(element5,MATCH($C852,resources,0)-1,0))&amp;IF(OFFSET(element6,MATCH($C852,resources,0)-1,0)="","","-"&amp;INDIRECT(OFFSET(element6,MATCH($C852,resources,0)-1,0)))&amp;IF(abbrAtEnd,"-"&amp;L852,"")</f>
        <v>#N/A</v>
      </c>
      <c r="N852" s="4" t="str">
        <f t="shared" si="92"/>
        <v>-000</v>
      </c>
      <c r="O852" s="4">
        <f ca="1">IF(totalElements+COUNTIF(Entities!$C$10,"*")+COUNTIF(B852:C852,"*")+COUNTIF(E852:F852,"*")=9,1,0)</f>
        <v>0</v>
      </c>
      <c r="P852" s="4">
        <f>COUNTIF($C$6:C852,C852)</f>
        <v>0</v>
      </c>
      <c r="Q852" s="4">
        <f ca="1">IF(ISNA(M852),0,COUNTIF($M$6:M852,M852))</f>
        <v>0</v>
      </c>
      <c r="R852" s="4" t="e">
        <f t="shared" ca="1" si="91"/>
        <v>#N/A</v>
      </c>
      <c r="S852" s="4">
        <f ca="1">IF(ISNA(M852),0,COUNTIF($R$6:R852,R852))</f>
        <v>0</v>
      </c>
      <c r="T852" s="4" t="e">
        <f t="shared" ca="1" si="90"/>
        <v>#N/A</v>
      </c>
    </row>
    <row r="853" spans="2:20" x14ac:dyDescent="0.3">
      <c r="B853" s="48"/>
      <c r="C853" s="48"/>
      <c r="D853" s="10" t="str">
        <f t="shared" ca="1" si="87"/>
        <v/>
      </c>
      <c r="E853" s="48"/>
      <c r="F853" s="48"/>
      <c r="G853" s="10" t="str">
        <f t="shared" ca="1" si="93"/>
        <v/>
      </c>
      <c r="I853" s="10" t="str">
        <f t="shared" ca="1" si="88"/>
        <v/>
      </c>
      <c r="K853" s="4" t="e">
        <f t="shared" ca="1" si="89"/>
        <v>#N/A</v>
      </c>
      <c r="L853" s="4" t="e">
        <f>VLOOKUP(C853,_resources!B:D,3,0)</f>
        <v>#N/A</v>
      </c>
      <c r="M853" s="4" t="e" cm="1">
        <f t="array" aca="1" ref="M853" ca="1">IF(abbrAtEnd,"",L853&amp;"-")&amp;E853&amp;"-"&amp;INDIRECT(OFFSET(element3,MATCH($C853,resources,0)-1,0))&amp;"-"&amp;INDIRECT(OFFSET(element4,MATCH($C853,resources,0)-1,0))&amp;"-"&amp;INDIRECT(OFFSET(element5,MATCH($C853,resources,0)-1,0))&amp;IF(OFFSET(element6,MATCH($C853,resources,0)-1,0)="","","-"&amp;INDIRECT(OFFSET(element6,MATCH($C853,resources,0)-1,0)))&amp;IF(abbrAtEnd,"-"&amp;L853,"")</f>
        <v>#N/A</v>
      </c>
      <c r="N853" s="4" t="str">
        <f t="shared" si="92"/>
        <v>-000</v>
      </c>
      <c r="O853" s="4">
        <f ca="1">IF(totalElements+COUNTIF(Entities!$C$10,"*")+COUNTIF(B853:C853,"*")+COUNTIF(E853:F853,"*")=9,1,0)</f>
        <v>0</v>
      </c>
      <c r="P853" s="4">
        <f>COUNTIF($C$6:C853,C853)</f>
        <v>0</v>
      </c>
      <c r="Q853" s="4">
        <f ca="1">IF(ISNA(M853),0,COUNTIF($M$6:M853,M853))</f>
        <v>0</v>
      </c>
      <c r="R853" s="4" t="e">
        <f t="shared" ca="1" si="91"/>
        <v>#N/A</v>
      </c>
      <c r="S853" s="4">
        <f ca="1">IF(ISNA(M853),0,COUNTIF($R$6:R853,R853))</f>
        <v>0</v>
      </c>
      <c r="T853" s="4" t="e">
        <f t="shared" ca="1" si="90"/>
        <v>#N/A</v>
      </c>
    </row>
    <row r="854" spans="2:20" x14ac:dyDescent="0.3">
      <c r="B854" s="48"/>
      <c r="C854" s="48"/>
      <c r="D854" s="10" t="str">
        <f t="shared" ca="1" si="87"/>
        <v/>
      </c>
      <c r="E854" s="48"/>
      <c r="F854" s="48"/>
      <c r="G854" s="10" t="str">
        <f t="shared" ca="1" si="93"/>
        <v/>
      </c>
      <c r="I854" s="10" t="str">
        <f t="shared" ca="1" si="88"/>
        <v/>
      </c>
      <c r="K854" s="4" t="e">
        <f t="shared" ca="1" si="89"/>
        <v>#N/A</v>
      </c>
      <c r="L854" s="4" t="e">
        <f>VLOOKUP(C854,_resources!B:D,3,0)</f>
        <v>#N/A</v>
      </c>
      <c r="M854" s="4" t="e" cm="1">
        <f t="array" aca="1" ref="M854" ca="1">IF(abbrAtEnd,"",L854&amp;"-")&amp;E854&amp;"-"&amp;INDIRECT(OFFSET(element3,MATCH($C854,resources,0)-1,0))&amp;"-"&amp;INDIRECT(OFFSET(element4,MATCH($C854,resources,0)-1,0))&amp;"-"&amp;INDIRECT(OFFSET(element5,MATCH($C854,resources,0)-1,0))&amp;IF(OFFSET(element6,MATCH($C854,resources,0)-1,0)="","","-"&amp;INDIRECT(OFFSET(element6,MATCH($C854,resources,0)-1,0)))&amp;IF(abbrAtEnd,"-"&amp;L854,"")</f>
        <v>#N/A</v>
      </c>
      <c r="N854" s="4" t="str">
        <f t="shared" si="92"/>
        <v>-000</v>
      </c>
      <c r="O854" s="4">
        <f ca="1">IF(totalElements+COUNTIF(Entities!$C$10,"*")+COUNTIF(B854:C854,"*")+COUNTIF(E854:F854,"*")=9,1,0)</f>
        <v>0</v>
      </c>
      <c r="P854" s="4">
        <f>COUNTIF($C$6:C854,C854)</f>
        <v>0</v>
      </c>
      <c r="Q854" s="4">
        <f ca="1">IF(ISNA(M854),0,COUNTIF($M$6:M854,M854))</f>
        <v>0</v>
      </c>
      <c r="R854" s="4" t="e">
        <f t="shared" ca="1" si="91"/>
        <v>#N/A</v>
      </c>
      <c r="S854" s="4">
        <f ca="1">IF(ISNA(M854),0,COUNTIF($R$6:R854,R854))</f>
        <v>0</v>
      </c>
      <c r="T854" s="4" t="e">
        <f t="shared" ca="1" si="90"/>
        <v>#N/A</v>
      </c>
    </row>
    <row r="855" spans="2:20" x14ac:dyDescent="0.3">
      <c r="B855" s="48"/>
      <c r="C855" s="48"/>
      <c r="D855" s="10" t="str">
        <f t="shared" ca="1" si="87"/>
        <v/>
      </c>
      <c r="E855" s="48"/>
      <c r="F855" s="48"/>
      <c r="G855" s="10" t="str">
        <f t="shared" ca="1" si="93"/>
        <v/>
      </c>
      <c r="I855" s="10" t="str">
        <f t="shared" ca="1" si="88"/>
        <v/>
      </c>
      <c r="K855" s="4" t="e">
        <f t="shared" ca="1" si="89"/>
        <v>#N/A</v>
      </c>
      <c r="L855" s="4" t="e">
        <f>VLOOKUP(C855,_resources!B:D,3,0)</f>
        <v>#N/A</v>
      </c>
      <c r="M855" s="4" t="e" cm="1">
        <f t="array" aca="1" ref="M855" ca="1">IF(abbrAtEnd,"",L855&amp;"-")&amp;E855&amp;"-"&amp;INDIRECT(OFFSET(element3,MATCH($C855,resources,0)-1,0))&amp;"-"&amp;INDIRECT(OFFSET(element4,MATCH($C855,resources,0)-1,0))&amp;"-"&amp;INDIRECT(OFFSET(element5,MATCH($C855,resources,0)-1,0))&amp;IF(OFFSET(element6,MATCH($C855,resources,0)-1,0)="","","-"&amp;INDIRECT(OFFSET(element6,MATCH($C855,resources,0)-1,0)))&amp;IF(abbrAtEnd,"-"&amp;L855,"")</f>
        <v>#N/A</v>
      </c>
      <c r="N855" s="4" t="str">
        <f t="shared" si="92"/>
        <v>-000</v>
      </c>
      <c r="O855" s="4">
        <f ca="1">IF(totalElements+COUNTIF(Entities!$C$10,"*")+COUNTIF(B855:C855,"*")+COUNTIF(E855:F855,"*")=9,1,0)</f>
        <v>0</v>
      </c>
      <c r="P855" s="4">
        <f>COUNTIF($C$6:C855,C855)</f>
        <v>0</v>
      </c>
      <c r="Q855" s="4">
        <f ca="1">IF(ISNA(M855),0,COUNTIF($M$6:M855,M855))</f>
        <v>0</v>
      </c>
      <c r="R855" s="4" t="e">
        <f t="shared" ca="1" si="91"/>
        <v>#N/A</v>
      </c>
      <c r="S855" s="4">
        <f ca="1">IF(ISNA(M855),0,COUNTIF($R$6:R855,R855))</f>
        <v>0</v>
      </c>
      <c r="T855" s="4" t="e">
        <f t="shared" ca="1" si="90"/>
        <v>#N/A</v>
      </c>
    </row>
    <row r="856" spans="2:20" x14ac:dyDescent="0.3">
      <c r="B856" s="48"/>
      <c r="C856" s="48"/>
      <c r="D856" s="10" t="str">
        <f t="shared" ca="1" si="87"/>
        <v/>
      </c>
      <c r="E856" s="48"/>
      <c r="F856" s="48"/>
      <c r="G856" s="10" t="str">
        <f t="shared" ca="1" si="93"/>
        <v/>
      </c>
      <c r="I856" s="10" t="str">
        <f t="shared" ca="1" si="88"/>
        <v/>
      </c>
      <c r="K856" s="4" t="e">
        <f t="shared" ca="1" si="89"/>
        <v>#N/A</v>
      </c>
      <c r="L856" s="4" t="e">
        <f>VLOOKUP(C856,_resources!B:D,3,0)</f>
        <v>#N/A</v>
      </c>
      <c r="M856" s="4" t="e" cm="1">
        <f t="array" aca="1" ref="M856" ca="1">IF(abbrAtEnd,"",L856&amp;"-")&amp;E856&amp;"-"&amp;INDIRECT(OFFSET(element3,MATCH($C856,resources,0)-1,0))&amp;"-"&amp;INDIRECT(OFFSET(element4,MATCH($C856,resources,0)-1,0))&amp;"-"&amp;INDIRECT(OFFSET(element5,MATCH($C856,resources,0)-1,0))&amp;IF(OFFSET(element6,MATCH($C856,resources,0)-1,0)="","","-"&amp;INDIRECT(OFFSET(element6,MATCH($C856,resources,0)-1,0)))&amp;IF(abbrAtEnd,"-"&amp;L856,"")</f>
        <v>#N/A</v>
      </c>
      <c r="N856" s="4" t="str">
        <f t="shared" si="92"/>
        <v>-000</v>
      </c>
      <c r="O856" s="4">
        <f ca="1">IF(totalElements+COUNTIF(Entities!$C$10,"*")+COUNTIF(B856:C856,"*")+COUNTIF(E856:F856,"*")=9,1,0)</f>
        <v>0</v>
      </c>
      <c r="P856" s="4">
        <f>COUNTIF($C$6:C856,C856)</f>
        <v>0</v>
      </c>
      <c r="Q856" s="4">
        <f ca="1">IF(ISNA(M856),0,COUNTIF($M$6:M856,M856))</f>
        <v>0</v>
      </c>
      <c r="R856" s="4" t="e">
        <f t="shared" ca="1" si="91"/>
        <v>#N/A</v>
      </c>
      <c r="S856" s="4">
        <f ca="1">IF(ISNA(M856),0,COUNTIF($R$6:R856,R856))</f>
        <v>0</v>
      </c>
      <c r="T856" s="4" t="e">
        <f t="shared" ca="1" si="90"/>
        <v>#N/A</v>
      </c>
    </row>
    <row r="857" spans="2:20" x14ac:dyDescent="0.3">
      <c r="B857" s="48"/>
      <c r="C857" s="48"/>
      <c r="D857" s="10" t="str">
        <f t="shared" ca="1" si="87"/>
        <v/>
      </c>
      <c r="E857" s="48"/>
      <c r="F857" s="48"/>
      <c r="G857" s="10" t="str">
        <f t="shared" ca="1" si="93"/>
        <v/>
      </c>
      <c r="I857" s="10" t="str">
        <f t="shared" ca="1" si="88"/>
        <v/>
      </c>
      <c r="K857" s="4" t="e">
        <f t="shared" ca="1" si="89"/>
        <v>#N/A</v>
      </c>
      <c r="L857" s="4" t="e">
        <f>VLOOKUP(C857,_resources!B:D,3,0)</f>
        <v>#N/A</v>
      </c>
      <c r="M857" s="4" t="e" cm="1">
        <f t="array" aca="1" ref="M857" ca="1">IF(abbrAtEnd,"",L857&amp;"-")&amp;E857&amp;"-"&amp;INDIRECT(OFFSET(element3,MATCH($C857,resources,0)-1,0))&amp;"-"&amp;INDIRECT(OFFSET(element4,MATCH($C857,resources,0)-1,0))&amp;"-"&amp;INDIRECT(OFFSET(element5,MATCH($C857,resources,0)-1,0))&amp;IF(OFFSET(element6,MATCH($C857,resources,0)-1,0)="","","-"&amp;INDIRECT(OFFSET(element6,MATCH($C857,resources,0)-1,0)))&amp;IF(abbrAtEnd,"-"&amp;L857,"")</f>
        <v>#N/A</v>
      </c>
      <c r="N857" s="4" t="str">
        <f t="shared" si="92"/>
        <v>-000</v>
      </c>
      <c r="O857" s="4">
        <f ca="1">IF(totalElements+COUNTIF(Entities!$C$10,"*")+COUNTIF(B857:C857,"*")+COUNTIF(E857:F857,"*")=9,1,0)</f>
        <v>0</v>
      </c>
      <c r="P857" s="4">
        <f>COUNTIF($C$6:C857,C857)</f>
        <v>0</v>
      </c>
      <c r="Q857" s="4">
        <f ca="1">IF(ISNA(M857),0,COUNTIF($M$6:M857,M857))</f>
        <v>0</v>
      </c>
      <c r="R857" s="4" t="e">
        <f t="shared" ca="1" si="91"/>
        <v>#N/A</v>
      </c>
      <c r="S857" s="4">
        <f ca="1">IF(ISNA(M857),0,COUNTIF($R$6:R857,R857))</f>
        <v>0</v>
      </c>
      <c r="T857" s="4" t="e">
        <f t="shared" ca="1" si="90"/>
        <v>#N/A</v>
      </c>
    </row>
    <row r="858" spans="2:20" x14ac:dyDescent="0.3">
      <c r="B858" s="48"/>
      <c r="C858" s="48"/>
      <c r="D858" s="10" t="str">
        <f t="shared" ca="1" si="87"/>
        <v/>
      </c>
      <c r="E858" s="48"/>
      <c r="F858" s="48"/>
      <c r="G858" s="10" t="str">
        <f t="shared" ca="1" si="93"/>
        <v/>
      </c>
      <c r="I858" s="10" t="str">
        <f t="shared" ca="1" si="88"/>
        <v/>
      </c>
      <c r="K858" s="4" t="e">
        <f t="shared" ca="1" si="89"/>
        <v>#N/A</v>
      </c>
      <c r="L858" s="4" t="e">
        <f>VLOOKUP(C858,_resources!B:D,3,0)</f>
        <v>#N/A</v>
      </c>
      <c r="M858" s="4" t="e" cm="1">
        <f t="array" aca="1" ref="M858" ca="1">IF(abbrAtEnd,"",L858&amp;"-")&amp;E858&amp;"-"&amp;INDIRECT(OFFSET(element3,MATCH($C858,resources,0)-1,0))&amp;"-"&amp;INDIRECT(OFFSET(element4,MATCH($C858,resources,0)-1,0))&amp;"-"&amp;INDIRECT(OFFSET(element5,MATCH($C858,resources,0)-1,0))&amp;IF(OFFSET(element6,MATCH($C858,resources,0)-1,0)="","","-"&amp;INDIRECT(OFFSET(element6,MATCH($C858,resources,0)-1,0)))&amp;IF(abbrAtEnd,"-"&amp;L858,"")</f>
        <v>#N/A</v>
      </c>
      <c r="N858" s="4" t="str">
        <f t="shared" si="92"/>
        <v>-000</v>
      </c>
      <c r="O858" s="4">
        <f ca="1">IF(totalElements+COUNTIF(Entities!$C$10,"*")+COUNTIF(B858:C858,"*")+COUNTIF(E858:F858,"*")=9,1,0)</f>
        <v>0</v>
      </c>
      <c r="P858" s="4">
        <f>COUNTIF($C$6:C858,C858)</f>
        <v>0</v>
      </c>
      <c r="Q858" s="4">
        <f ca="1">IF(ISNA(M858),0,COUNTIF($M$6:M858,M858))</f>
        <v>0</v>
      </c>
      <c r="R858" s="4" t="e">
        <f t="shared" ca="1" si="91"/>
        <v>#N/A</v>
      </c>
      <c r="S858" s="4">
        <f ca="1">IF(ISNA(M858),0,COUNTIF($R$6:R858,R858))</f>
        <v>0</v>
      </c>
      <c r="T858" s="4" t="e">
        <f t="shared" ca="1" si="90"/>
        <v>#N/A</v>
      </c>
    </row>
    <row r="859" spans="2:20" x14ac:dyDescent="0.3">
      <c r="B859" s="48"/>
      <c r="C859" s="48"/>
      <c r="D859" s="10" t="str">
        <f t="shared" ca="1" si="87"/>
        <v/>
      </c>
      <c r="E859" s="48"/>
      <c r="F859" s="48"/>
      <c r="G859" s="10" t="str">
        <f t="shared" ca="1" si="93"/>
        <v/>
      </c>
      <c r="I859" s="10" t="str">
        <f t="shared" ca="1" si="88"/>
        <v/>
      </c>
      <c r="K859" s="4" t="e">
        <f t="shared" ca="1" si="89"/>
        <v>#N/A</v>
      </c>
      <c r="L859" s="4" t="e">
        <f>VLOOKUP(C859,_resources!B:D,3,0)</f>
        <v>#N/A</v>
      </c>
      <c r="M859" s="4" t="e" cm="1">
        <f t="array" aca="1" ref="M859" ca="1">IF(abbrAtEnd,"",L859&amp;"-")&amp;E859&amp;"-"&amp;INDIRECT(OFFSET(element3,MATCH($C859,resources,0)-1,0))&amp;"-"&amp;INDIRECT(OFFSET(element4,MATCH($C859,resources,0)-1,0))&amp;"-"&amp;INDIRECT(OFFSET(element5,MATCH($C859,resources,0)-1,0))&amp;IF(OFFSET(element6,MATCH($C859,resources,0)-1,0)="","","-"&amp;INDIRECT(OFFSET(element6,MATCH($C859,resources,0)-1,0)))&amp;IF(abbrAtEnd,"-"&amp;L859,"")</f>
        <v>#N/A</v>
      </c>
      <c r="N859" s="4" t="str">
        <f t="shared" si="92"/>
        <v>-000</v>
      </c>
      <c r="O859" s="4">
        <f ca="1">IF(totalElements+COUNTIF(Entities!$C$10,"*")+COUNTIF(B859:C859,"*")+COUNTIF(E859:F859,"*")=9,1,0)</f>
        <v>0</v>
      </c>
      <c r="P859" s="4">
        <f>COUNTIF($C$6:C859,C859)</f>
        <v>0</v>
      </c>
      <c r="Q859" s="4">
        <f ca="1">IF(ISNA(M859),0,COUNTIF($M$6:M859,M859))</f>
        <v>0</v>
      </c>
      <c r="R859" s="4" t="e">
        <f t="shared" ca="1" si="91"/>
        <v>#N/A</v>
      </c>
      <c r="S859" s="4">
        <f ca="1">IF(ISNA(M859),0,COUNTIF($R$6:R859,R859))</f>
        <v>0</v>
      </c>
      <c r="T859" s="4" t="e">
        <f t="shared" ca="1" si="90"/>
        <v>#N/A</v>
      </c>
    </row>
    <row r="860" spans="2:20" x14ac:dyDescent="0.3">
      <c r="B860" s="48"/>
      <c r="C860" s="48"/>
      <c r="D860" s="10" t="str">
        <f t="shared" ca="1" si="87"/>
        <v/>
      </c>
      <c r="E860" s="48"/>
      <c r="F860" s="48"/>
      <c r="G860" s="10" t="str">
        <f t="shared" ca="1" si="93"/>
        <v/>
      </c>
      <c r="I860" s="10" t="str">
        <f t="shared" ca="1" si="88"/>
        <v/>
      </c>
      <c r="K860" s="4" t="e">
        <f t="shared" ca="1" si="89"/>
        <v>#N/A</v>
      </c>
      <c r="L860" s="4" t="e">
        <f>VLOOKUP(C860,_resources!B:D,3,0)</f>
        <v>#N/A</v>
      </c>
      <c r="M860" s="4" t="e" cm="1">
        <f t="array" aca="1" ref="M860" ca="1">IF(abbrAtEnd,"",L860&amp;"-")&amp;E860&amp;"-"&amp;INDIRECT(OFFSET(element3,MATCH($C860,resources,0)-1,0))&amp;"-"&amp;INDIRECT(OFFSET(element4,MATCH($C860,resources,0)-1,0))&amp;"-"&amp;INDIRECT(OFFSET(element5,MATCH($C860,resources,0)-1,0))&amp;IF(OFFSET(element6,MATCH($C860,resources,0)-1,0)="","","-"&amp;INDIRECT(OFFSET(element6,MATCH($C860,resources,0)-1,0)))&amp;IF(abbrAtEnd,"-"&amp;L860,"")</f>
        <v>#N/A</v>
      </c>
      <c r="N860" s="4" t="str">
        <f t="shared" si="92"/>
        <v>-000</v>
      </c>
      <c r="O860" s="4">
        <f ca="1">IF(totalElements+COUNTIF(Entities!$C$10,"*")+COUNTIF(B860:C860,"*")+COUNTIF(E860:F860,"*")=9,1,0)</f>
        <v>0</v>
      </c>
      <c r="P860" s="4">
        <f>COUNTIF($C$6:C860,C860)</f>
        <v>0</v>
      </c>
      <c r="Q860" s="4">
        <f ca="1">IF(ISNA(M860),0,COUNTIF($M$6:M860,M860))</f>
        <v>0</v>
      </c>
      <c r="R860" s="4" t="e">
        <f t="shared" ca="1" si="91"/>
        <v>#N/A</v>
      </c>
      <c r="S860" s="4">
        <f ca="1">IF(ISNA(M860),0,COUNTIF($R$6:R860,R860))</f>
        <v>0</v>
      </c>
      <c r="T860" s="4" t="e">
        <f t="shared" ca="1" si="90"/>
        <v>#N/A</v>
      </c>
    </row>
    <row r="861" spans="2:20" x14ac:dyDescent="0.3">
      <c r="B861" s="48"/>
      <c r="C861" s="48"/>
      <c r="D861" s="10" t="str">
        <f t="shared" ca="1" si="87"/>
        <v/>
      </c>
      <c r="E861" s="48"/>
      <c r="F861" s="48"/>
      <c r="G861" s="10" t="str">
        <f t="shared" ca="1" si="93"/>
        <v/>
      </c>
      <c r="I861" s="10" t="str">
        <f t="shared" ca="1" si="88"/>
        <v/>
      </c>
      <c r="K861" s="4" t="e">
        <f t="shared" ca="1" si="89"/>
        <v>#N/A</v>
      </c>
      <c r="L861" s="4" t="e">
        <f>VLOOKUP(C861,_resources!B:D,3,0)</f>
        <v>#N/A</v>
      </c>
      <c r="M861" s="4" t="e" cm="1">
        <f t="array" aca="1" ref="M861" ca="1">IF(abbrAtEnd,"",L861&amp;"-")&amp;E861&amp;"-"&amp;INDIRECT(OFFSET(element3,MATCH($C861,resources,0)-1,0))&amp;"-"&amp;INDIRECT(OFFSET(element4,MATCH($C861,resources,0)-1,0))&amp;"-"&amp;INDIRECT(OFFSET(element5,MATCH($C861,resources,0)-1,0))&amp;IF(OFFSET(element6,MATCH($C861,resources,0)-1,0)="","","-"&amp;INDIRECT(OFFSET(element6,MATCH($C861,resources,0)-1,0)))&amp;IF(abbrAtEnd,"-"&amp;L861,"")</f>
        <v>#N/A</v>
      </c>
      <c r="N861" s="4" t="str">
        <f t="shared" si="92"/>
        <v>-000</v>
      </c>
      <c r="O861" s="4">
        <f ca="1">IF(totalElements+COUNTIF(Entities!$C$10,"*")+COUNTIF(B861:C861,"*")+COUNTIF(E861:F861,"*")=9,1,0)</f>
        <v>0</v>
      </c>
      <c r="P861" s="4">
        <f>COUNTIF($C$6:C861,C861)</f>
        <v>0</v>
      </c>
      <c r="Q861" s="4">
        <f ca="1">IF(ISNA(M861),0,COUNTIF($M$6:M861,M861))</f>
        <v>0</v>
      </c>
      <c r="R861" s="4" t="e">
        <f t="shared" ca="1" si="91"/>
        <v>#N/A</v>
      </c>
      <c r="S861" s="4">
        <f ca="1">IF(ISNA(M861),0,COUNTIF($R$6:R861,R861))</f>
        <v>0</v>
      </c>
      <c r="T861" s="4" t="e">
        <f t="shared" ca="1" si="90"/>
        <v>#N/A</v>
      </c>
    </row>
    <row r="862" spans="2:20" x14ac:dyDescent="0.3">
      <c r="B862" s="48"/>
      <c r="C862" s="48"/>
      <c r="D862" s="10" t="str">
        <f t="shared" ca="1" si="87"/>
        <v/>
      </c>
      <c r="E862" s="48"/>
      <c r="F862" s="48"/>
      <c r="G862" s="10" t="str">
        <f t="shared" ca="1" si="93"/>
        <v/>
      </c>
      <c r="I862" s="10" t="str">
        <f t="shared" ca="1" si="88"/>
        <v/>
      </c>
      <c r="K862" s="4" t="e">
        <f t="shared" ca="1" si="89"/>
        <v>#N/A</v>
      </c>
      <c r="L862" s="4" t="e">
        <f>VLOOKUP(C862,_resources!B:D,3,0)</f>
        <v>#N/A</v>
      </c>
      <c r="M862" s="4" t="e" cm="1">
        <f t="array" aca="1" ref="M862" ca="1">IF(abbrAtEnd,"",L862&amp;"-")&amp;E862&amp;"-"&amp;INDIRECT(OFFSET(element3,MATCH($C862,resources,0)-1,0))&amp;"-"&amp;INDIRECT(OFFSET(element4,MATCH($C862,resources,0)-1,0))&amp;"-"&amp;INDIRECT(OFFSET(element5,MATCH($C862,resources,0)-1,0))&amp;IF(OFFSET(element6,MATCH($C862,resources,0)-1,0)="","","-"&amp;INDIRECT(OFFSET(element6,MATCH($C862,resources,0)-1,0)))&amp;IF(abbrAtEnd,"-"&amp;L862,"")</f>
        <v>#N/A</v>
      </c>
      <c r="N862" s="4" t="str">
        <f t="shared" si="92"/>
        <v>-000</v>
      </c>
      <c r="O862" s="4">
        <f ca="1">IF(totalElements+COUNTIF(Entities!$C$10,"*")+COUNTIF(B862:C862,"*")+COUNTIF(E862:F862,"*")=9,1,0)</f>
        <v>0</v>
      </c>
      <c r="P862" s="4">
        <f>COUNTIF($C$6:C862,C862)</f>
        <v>0</v>
      </c>
      <c r="Q862" s="4">
        <f ca="1">IF(ISNA(M862),0,COUNTIF($M$6:M862,M862))</f>
        <v>0</v>
      </c>
      <c r="R862" s="4" t="e">
        <f t="shared" ca="1" si="91"/>
        <v>#N/A</v>
      </c>
      <c r="S862" s="4">
        <f ca="1">IF(ISNA(M862),0,COUNTIF($R$6:R862,R862))</f>
        <v>0</v>
      </c>
      <c r="T862" s="4" t="e">
        <f t="shared" ca="1" si="90"/>
        <v>#N/A</v>
      </c>
    </row>
    <row r="863" spans="2:20" x14ac:dyDescent="0.3">
      <c r="B863" s="48"/>
      <c r="C863" s="48"/>
      <c r="D863" s="10" t="str">
        <f t="shared" ca="1" si="87"/>
        <v/>
      </c>
      <c r="E863" s="48"/>
      <c r="F863" s="48"/>
      <c r="G863" s="10" t="str">
        <f t="shared" ca="1" si="93"/>
        <v/>
      </c>
      <c r="I863" s="10" t="str">
        <f t="shared" ca="1" si="88"/>
        <v/>
      </c>
      <c r="K863" s="4" t="e">
        <f t="shared" ca="1" si="89"/>
        <v>#N/A</v>
      </c>
      <c r="L863" s="4" t="e">
        <f>VLOOKUP(C863,_resources!B:D,3,0)</f>
        <v>#N/A</v>
      </c>
      <c r="M863" s="4" t="e" cm="1">
        <f t="array" aca="1" ref="M863" ca="1">IF(abbrAtEnd,"",L863&amp;"-")&amp;E863&amp;"-"&amp;INDIRECT(OFFSET(element3,MATCH($C863,resources,0)-1,0))&amp;"-"&amp;INDIRECT(OFFSET(element4,MATCH($C863,resources,0)-1,0))&amp;"-"&amp;INDIRECT(OFFSET(element5,MATCH($C863,resources,0)-1,0))&amp;IF(OFFSET(element6,MATCH($C863,resources,0)-1,0)="","","-"&amp;INDIRECT(OFFSET(element6,MATCH($C863,resources,0)-1,0)))&amp;IF(abbrAtEnd,"-"&amp;L863,"")</f>
        <v>#N/A</v>
      </c>
      <c r="N863" s="4" t="str">
        <f t="shared" si="92"/>
        <v>-000</v>
      </c>
      <c r="O863" s="4">
        <f ca="1">IF(totalElements+COUNTIF(Entities!$C$10,"*")+COUNTIF(B863:C863,"*")+COUNTIF(E863:F863,"*")=9,1,0)</f>
        <v>0</v>
      </c>
      <c r="P863" s="4">
        <f>COUNTIF($C$6:C863,C863)</f>
        <v>0</v>
      </c>
      <c r="Q863" s="4">
        <f ca="1">IF(ISNA(M863),0,COUNTIF($M$6:M863,M863))</f>
        <v>0</v>
      </c>
      <c r="R863" s="4" t="e">
        <f t="shared" ca="1" si="91"/>
        <v>#N/A</v>
      </c>
      <c r="S863" s="4">
        <f ca="1">IF(ISNA(M863),0,COUNTIF($R$6:R863,R863))</f>
        <v>0</v>
      </c>
      <c r="T863" s="4" t="e">
        <f t="shared" ca="1" si="90"/>
        <v>#N/A</v>
      </c>
    </row>
    <row r="864" spans="2:20" x14ac:dyDescent="0.3">
      <c r="B864" s="48"/>
      <c r="C864" s="48"/>
      <c r="D864" s="10" t="str">
        <f t="shared" ca="1" si="87"/>
        <v/>
      </c>
      <c r="E864" s="48"/>
      <c r="F864" s="48"/>
      <c r="G864" s="10" t="str">
        <f t="shared" ca="1" si="93"/>
        <v/>
      </c>
      <c r="I864" s="10" t="str">
        <f t="shared" ca="1" si="88"/>
        <v/>
      </c>
      <c r="K864" s="4" t="e">
        <f t="shared" ca="1" si="89"/>
        <v>#N/A</v>
      </c>
      <c r="L864" s="4" t="e">
        <f>VLOOKUP(C864,_resources!B:D,3,0)</f>
        <v>#N/A</v>
      </c>
      <c r="M864" s="4" t="e" cm="1">
        <f t="array" aca="1" ref="M864" ca="1">IF(abbrAtEnd,"",L864&amp;"-")&amp;E864&amp;"-"&amp;INDIRECT(OFFSET(element3,MATCH($C864,resources,0)-1,0))&amp;"-"&amp;INDIRECT(OFFSET(element4,MATCH($C864,resources,0)-1,0))&amp;"-"&amp;INDIRECT(OFFSET(element5,MATCH($C864,resources,0)-1,0))&amp;IF(OFFSET(element6,MATCH($C864,resources,0)-1,0)="","","-"&amp;INDIRECT(OFFSET(element6,MATCH($C864,resources,0)-1,0)))&amp;IF(abbrAtEnd,"-"&amp;L864,"")</f>
        <v>#N/A</v>
      </c>
      <c r="N864" s="4" t="str">
        <f t="shared" si="92"/>
        <v>-000</v>
      </c>
      <c r="O864" s="4">
        <f ca="1">IF(totalElements+COUNTIF(Entities!$C$10,"*")+COUNTIF(B864:C864,"*")+COUNTIF(E864:F864,"*")=9,1,0)</f>
        <v>0</v>
      </c>
      <c r="P864" s="4">
        <f>COUNTIF($C$6:C864,C864)</f>
        <v>0</v>
      </c>
      <c r="Q864" s="4">
        <f ca="1">IF(ISNA(M864),0,COUNTIF($M$6:M864,M864))</f>
        <v>0</v>
      </c>
      <c r="R864" s="4" t="e">
        <f t="shared" ca="1" si="91"/>
        <v>#N/A</v>
      </c>
      <c r="S864" s="4">
        <f ca="1">IF(ISNA(M864),0,COUNTIF($R$6:R864,R864))</f>
        <v>0</v>
      </c>
      <c r="T864" s="4" t="e">
        <f t="shared" ca="1" si="90"/>
        <v>#N/A</v>
      </c>
    </row>
    <row r="865" spans="2:20" x14ac:dyDescent="0.3">
      <c r="B865" s="48"/>
      <c r="C865" s="48"/>
      <c r="D865" s="10" t="str">
        <f t="shared" ca="1" si="87"/>
        <v/>
      </c>
      <c r="E865" s="48"/>
      <c r="F865" s="48"/>
      <c r="G865" s="10" t="str">
        <f t="shared" ca="1" si="93"/>
        <v/>
      </c>
      <c r="I865" s="10" t="str">
        <f t="shared" ca="1" si="88"/>
        <v/>
      </c>
      <c r="K865" s="4" t="e">
        <f t="shared" ca="1" si="89"/>
        <v>#N/A</v>
      </c>
      <c r="L865" s="4" t="e">
        <f>VLOOKUP(C865,_resources!B:D,3,0)</f>
        <v>#N/A</v>
      </c>
      <c r="M865" s="4" t="e" cm="1">
        <f t="array" aca="1" ref="M865" ca="1">IF(abbrAtEnd,"",L865&amp;"-")&amp;E865&amp;"-"&amp;INDIRECT(OFFSET(element3,MATCH($C865,resources,0)-1,0))&amp;"-"&amp;INDIRECT(OFFSET(element4,MATCH($C865,resources,0)-1,0))&amp;"-"&amp;INDIRECT(OFFSET(element5,MATCH($C865,resources,0)-1,0))&amp;IF(OFFSET(element6,MATCH($C865,resources,0)-1,0)="","","-"&amp;INDIRECT(OFFSET(element6,MATCH($C865,resources,0)-1,0)))&amp;IF(abbrAtEnd,"-"&amp;L865,"")</f>
        <v>#N/A</v>
      </c>
      <c r="N865" s="4" t="str">
        <f t="shared" si="92"/>
        <v>-000</v>
      </c>
      <c r="O865" s="4">
        <f ca="1">IF(totalElements+COUNTIF(Entities!$C$10,"*")+COUNTIF(B865:C865,"*")+COUNTIF(E865:F865,"*")=9,1,0)</f>
        <v>0</v>
      </c>
      <c r="P865" s="4">
        <f>COUNTIF($C$6:C865,C865)</f>
        <v>0</v>
      </c>
      <c r="Q865" s="4">
        <f ca="1">IF(ISNA(M865),0,COUNTIF($M$6:M865,M865))</f>
        <v>0</v>
      </c>
      <c r="R865" s="4" t="e">
        <f t="shared" ca="1" si="91"/>
        <v>#N/A</v>
      </c>
      <c r="S865" s="4">
        <f ca="1">IF(ISNA(M865),0,COUNTIF($R$6:R865,R865))</f>
        <v>0</v>
      </c>
      <c r="T865" s="4" t="e">
        <f t="shared" ca="1" si="90"/>
        <v>#N/A</v>
      </c>
    </row>
    <row r="866" spans="2:20" x14ac:dyDescent="0.3">
      <c r="B866" s="48"/>
      <c r="C866" s="48"/>
      <c r="D866" s="10" t="str">
        <f t="shared" ca="1" si="87"/>
        <v/>
      </c>
      <c r="E866" s="48"/>
      <c r="F866" s="48"/>
      <c r="G866" s="10" t="str">
        <f t="shared" ca="1" si="93"/>
        <v/>
      </c>
      <c r="I866" s="10" t="str">
        <f t="shared" ca="1" si="88"/>
        <v/>
      </c>
      <c r="K866" s="4" t="e">
        <f t="shared" ca="1" si="89"/>
        <v>#N/A</v>
      </c>
      <c r="L866" s="4" t="e">
        <f>VLOOKUP(C866,_resources!B:D,3,0)</f>
        <v>#N/A</v>
      </c>
      <c r="M866" s="4" t="e" cm="1">
        <f t="array" aca="1" ref="M866" ca="1">IF(abbrAtEnd,"",L866&amp;"-")&amp;E866&amp;"-"&amp;INDIRECT(OFFSET(element3,MATCH($C866,resources,0)-1,0))&amp;"-"&amp;INDIRECT(OFFSET(element4,MATCH($C866,resources,0)-1,0))&amp;"-"&amp;INDIRECT(OFFSET(element5,MATCH($C866,resources,0)-1,0))&amp;IF(OFFSET(element6,MATCH($C866,resources,0)-1,0)="","","-"&amp;INDIRECT(OFFSET(element6,MATCH($C866,resources,0)-1,0)))&amp;IF(abbrAtEnd,"-"&amp;L866,"")</f>
        <v>#N/A</v>
      </c>
      <c r="N866" s="4" t="str">
        <f t="shared" si="92"/>
        <v>-000</v>
      </c>
      <c r="O866" s="4">
        <f ca="1">IF(totalElements+COUNTIF(Entities!$C$10,"*")+COUNTIF(B866:C866,"*")+COUNTIF(E866:F866,"*")=9,1,0)</f>
        <v>0</v>
      </c>
      <c r="P866" s="4">
        <f>COUNTIF($C$6:C866,C866)</f>
        <v>0</v>
      </c>
      <c r="Q866" s="4">
        <f ca="1">IF(ISNA(M866),0,COUNTIF($M$6:M866,M866))</f>
        <v>0</v>
      </c>
      <c r="R866" s="4" t="e">
        <f t="shared" ca="1" si="91"/>
        <v>#N/A</v>
      </c>
      <c r="S866" s="4">
        <f ca="1">IF(ISNA(M866),0,COUNTIF($R$6:R866,R866))</f>
        <v>0</v>
      </c>
      <c r="T866" s="4" t="e">
        <f t="shared" ca="1" si="90"/>
        <v>#N/A</v>
      </c>
    </row>
    <row r="867" spans="2:20" x14ac:dyDescent="0.3">
      <c r="B867" s="48"/>
      <c r="C867" s="48"/>
      <c r="D867" s="10" t="str">
        <f t="shared" ca="1" si="87"/>
        <v/>
      </c>
      <c r="E867" s="48"/>
      <c r="F867" s="48"/>
      <c r="G867" s="10" t="str">
        <f t="shared" ca="1" si="93"/>
        <v/>
      </c>
      <c r="I867" s="10" t="str">
        <f t="shared" ca="1" si="88"/>
        <v/>
      </c>
      <c r="K867" s="4" t="e">
        <f t="shared" ca="1" si="89"/>
        <v>#N/A</v>
      </c>
      <c r="L867" s="4" t="e">
        <f>VLOOKUP(C867,_resources!B:D,3,0)</f>
        <v>#N/A</v>
      </c>
      <c r="M867" s="4" t="e" cm="1">
        <f t="array" aca="1" ref="M867" ca="1">IF(abbrAtEnd,"",L867&amp;"-")&amp;E867&amp;"-"&amp;INDIRECT(OFFSET(element3,MATCH($C867,resources,0)-1,0))&amp;"-"&amp;INDIRECT(OFFSET(element4,MATCH($C867,resources,0)-1,0))&amp;"-"&amp;INDIRECT(OFFSET(element5,MATCH($C867,resources,0)-1,0))&amp;IF(OFFSET(element6,MATCH($C867,resources,0)-1,0)="","","-"&amp;INDIRECT(OFFSET(element6,MATCH($C867,resources,0)-1,0)))&amp;IF(abbrAtEnd,"-"&amp;L867,"")</f>
        <v>#N/A</v>
      </c>
      <c r="N867" s="4" t="str">
        <f t="shared" si="92"/>
        <v>-000</v>
      </c>
      <c r="O867" s="4">
        <f ca="1">IF(totalElements+COUNTIF(Entities!$C$10,"*")+COUNTIF(B867:C867,"*")+COUNTIF(E867:F867,"*")=9,1,0)</f>
        <v>0</v>
      </c>
      <c r="P867" s="4">
        <f>COUNTIF($C$6:C867,C867)</f>
        <v>0</v>
      </c>
      <c r="Q867" s="4">
        <f ca="1">IF(ISNA(M867),0,COUNTIF($M$6:M867,M867))</f>
        <v>0</v>
      </c>
      <c r="R867" s="4" t="e">
        <f t="shared" ca="1" si="91"/>
        <v>#N/A</v>
      </c>
      <c r="S867" s="4">
        <f ca="1">IF(ISNA(M867),0,COUNTIF($R$6:R867,R867))</f>
        <v>0</v>
      </c>
      <c r="T867" s="4" t="e">
        <f t="shared" ca="1" si="90"/>
        <v>#N/A</v>
      </c>
    </row>
    <row r="868" spans="2:20" x14ac:dyDescent="0.3">
      <c r="B868" s="48"/>
      <c r="C868" s="48"/>
      <c r="D868" s="10" t="str">
        <f t="shared" ca="1" si="87"/>
        <v/>
      </c>
      <c r="E868" s="48"/>
      <c r="F868" s="48"/>
      <c r="G868" s="10" t="str">
        <f t="shared" ca="1" si="93"/>
        <v/>
      </c>
      <c r="I868" s="10" t="str">
        <f t="shared" ca="1" si="88"/>
        <v/>
      </c>
      <c r="K868" s="4" t="e">
        <f t="shared" ca="1" si="89"/>
        <v>#N/A</v>
      </c>
      <c r="L868" s="4" t="e">
        <f>VLOOKUP(C868,_resources!B:D,3,0)</f>
        <v>#N/A</v>
      </c>
      <c r="M868" s="4" t="e" cm="1">
        <f t="array" aca="1" ref="M868" ca="1">IF(abbrAtEnd,"",L868&amp;"-")&amp;E868&amp;"-"&amp;INDIRECT(OFFSET(element3,MATCH($C868,resources,0)-1,0))&amp;"-"&amp;INDIRECT(OFFSET(element4,MATCH($C868,resources,0)-1,0))&amp;"-"&amp;INDIRECT(OFFSET(element5,MATCH($C868,resources,0)-1,0))&amp;IF(OFFSET(element6,MATCH($C868,resources,0)-1,0)="","","-"&amp;INDIRECT(OFFSET(element6,MATCH($C868,resources,0)-1,0)))&amp;IF(abbrAtEnd,"-"&amp;L868,"")</f>
        <v>#N/A</v>
      </c>
      <c r="N868" s="4" t="str">
        <f t="shared" si="92"/>
        <v>-000</v>
      </c>
      <c r="O868" s="4">
        <f ca="1">IF(totalElements+COUNTIF(Entities!$C$10,"*")+COUNTIF(B868:C868,"*")+COUNTIF(E868:F868,"*")=9,1,0)</f>
        <v>0</v>
      </c>
      <c r="P868" s="4">
        <f>COUNTIF($C$6:C868,C868)</f>
        <v>0</v>
      </c>
      <c r="Q868" s="4">
        <f ca="1">IF(ISNA(M868),0,COUNTIF($M$6:M868,M868))</f>
        <v>0</v>
      </c>
      <c r="R868" s="4" t="e">
        <f t="shared" ca="1" si="91"/>
        <v>#N/A</v>
      </c>
      <c r="S868" s="4">
        <f ca="1">IF(ISNA(M868),0,COUNTIF($R$6:R868,R868))</f>
        <v>0</v>
      </c>
      <c r="T868" s="4" t="e">
        <f t="shared" ca="1" si="90"/>
        <v>#N/A</v>
      </c>
    </row>
    <row r="869" spans="2:20" x14ac:dyDescent="0.3">
      <c r="B869" s="48"/>
      <c r="C869" s="48"/>
      <c r="D869" s="10" t="str">
        <f t="shared" ca="1" si="87"/>
        <v/>
      </c>
      <c r="E869" s="48"/>
      <c r="F869" s="48"/>
      <c r="G869" s="10" t="str">
        <f t="shared" ca="1" si="93"/>
        <v/>
      </c>
      <c r="I869" s="10" t="str">
        <f t="shared" ca="1" si="88"/>
        <v/>
      </c>
      <c r="K869" s="4" t="e">
        <f t="shared" ca="1" si="89"/>
        <v>#N/A</v>
      </c>
      <c r="L869" s="4" t="e">
        <f>VLOOKUP(C869,_resources!B:D,3,0)</f>
        <v>#N/A</v>
      </c>
      <c r="M869" s="4" t="e" cm="1">
        <f t="array" aca="1" ref="M869" ca="1">IF(abbrAtEnd,"",L869&amp;"-")&amp;E869&amp;"-"&amp;INDIRECT(OFFSET(element3,MATCH($C869,resources,0)-1,0))&amp;"-"&amp;INDIRECT(OFFSET(element4,MATCH($C869,resources,0)-1,0))&amp;"-"&amp;INDIRECT(OFFSET(element5,MATCH($C869,resources,0)-1,0))&amp;IF(OFFSET(element6,MATCH($C869,resources,0)-1,0)="","","-"&amp;INDIRECT(OFFSET(element6,MATCH($C869,resources,0)-1,0)))&amp;IF(abbrAtEnd,"-"&amp;L869,"")</f>
        <v>#N/A</v>
      </c>
      <c r="N869" s="4" t="str">
        <f t="shared" si="92"/>
        <v>-000</v>
      </c>
      <c r="O869" s="4">
        <f ca="1">IF(totalElements+COUNTIF(Entities!$C$10,"*")+COUNTIF(B869:C869,"*")+COUNTIF(E869:F869,"*")=9,1,0)</f>
        <v>0</v>
      </c>
      <c r="P869" s="4">
        <f>COUNTIF($C$6:C869,C869)</f>
        <v>0</v>
      </c>
      <c r="Q869" s="4">
        <f ca="1">IF(ISNA(M869),0,COUNTIF($M$6:M869,M869))</f>
        <v>0</v>
      </c>
      <c r="R869" s="4" t="e">
        <f t="shared" ca="1" si="91"/>
        <v>#N/A</v>
      </c>
      <c r="S869" s="4">
        <f ca="1">IF(ISNA(M869),0,COUNTIF($R$6:R869,R869))</f>
        <v>0</v>
      </c>
      <c r="T869" s="4" t="e">
        <f t="shared" ca="1" si="90"/>
        <v>#N/A</v>
      </c>
    </row>
    <row r="870" spans="2:20" x14ac:dyDescent="0.3">
      <c r="B870" s="48"/>
      <c r="C870" s="48"/>
      <c r="D870" s="10" t="str">
        <f t="shared" ca="1" si="87"/>
        <v/>
      </c>
      <c r="E870" s="48"/>
      <c r="F870" s="48"/>
      <c r="G870" s="10" t="str">
        <f t="shared" ca="1" si="93"/>
        <v/>
      </c>
      <c r="I870" s="10" t="str">
        <f t="shared" ca="1" si="88"/>
        <v/>
      </c>
      <c r="K870" s="4" t="e">
        <f t="shared" ca="1" si="89"/>
        <v>#N/A</v>
      </c>
      <c r="L870" s="4" t="e">
        <f>VLOOKUP(C870,_resources!B:D,3,0)</f>
        <v>#N/A</v>
      </c>
      <c r="M870" s="4" t="e" cm="1">
        <f t="array" aca="1" ref="M870" ca="1">IF(abbrAtEnd,"",L870&amp;"-")&amp;E870&amp;"-"&amp;INDIRECT(OFFSET(element3,MATCH($C870,resources,0)-1,0))&amp;"-"&amp;INDIRECT(OFFSET(element4,MATCH($C870,resources,0)-1,0))&amp;"-"&amp;INDIRECT(OFFSET(element5,MATCH($C870,resources,0)-1,0))&amp;IF(OFFSET(element6,MATCH($C870,resources,0)-1,0)="","","-"&amp;INDIRECT(OFFSET(element6,MATCH($C870,resources,0)-1,0)))&amp;IF(abbrAtEnd,"-"&amp;L870,"")</f>
        <v>#N/A</v>
      </c>
      <c r="N870" s="4" t="str">
        <f t="shared" si="92"/>
        <v>-000</v>
      </c>
      <c r="O870" s="4">
        <f ca="1">IF(totalElements+COUNTIF(Entities!$C$10,"*")+COUNTIF(B870:C870,"*")+COUNTIF(E870:F870,"*")=9,1,0)</f>
        <v>0</v>
      </c>
      <c r="P870" s="4">
        <f>COUNTIF($C$6:C870,C870)</f>
        <v>0</v>
      </c>
      <c r="Q870" s="4">
        <f ca="1">IF(ISNA(M870),0,COUNTIF($M$6:M870,M870))</f>
        <v>0</v>
      </c>
      <c r="R870" s="4" t="e">
        <f t="shared" ca="1" si="91"/>
        <v>#N/A</v>
      </c>
      <c r="S870" s="4">
        <f ca="1">IF(ISNA(M870),0,COUNTIF($R$6:R870,R870))</f>
        <v>0</v>
      </c>
      <c r="T870" s="4" t="e">
        <f t="shared" ca="1" si="90"/>
        <v>#N/A</v>
      </c>
    </row>
    <row r="871" spans="2:20" x14ac:dyDescent="0.3">
      <c r="B871" s="48"/>
      <c r="C871" s="48"/>
      <c r="D871" s="10" t="str">
        <f t="shared" ca="1" si="87"/>
        <v/>
      </c>
      <c r="E871" s="48"/>
      <c r="F871" s="48"/>
      <c r="G871" s="10" t="str">
        <f t="shared" ca="1" si="93"/>
        <v/>
      </c>
      <c r="I871" s="10" t="str">
        <f t="shared" ca="1" si="88"/>
        <v/>
      </c>
      <c r="K871" s="4" t="e">
        <f t="shared" ca="1" si="89"/>
        <v>#N/A</v>
      </c>
      <c r="L871" s="4" t="e">
        <f>VLOOKUP(C871,_resources!B:D,3,0)</f>
        <v>#N/A</v>
      </c>
      <c r="M871" s="4" t="e" cm="1">
        <f t="array" aca="1" ref="M871" ca="1">IF(abbrAtEnd,"",L871&amp;"-")&amp;E871&amp;"-"&amp;INDIRECT(OFFSET(element3,MATCH($C871,resources,0)-1,0))&amp;"-"&amp;INDIRECT(OFFSET(element4,MATCH($C871,resources,0)-1,0))&amp;"-"&amp;INDIRECT(OFFSET(element5,MATCH($C871,resources,0)-1,0))&amp;IF(OFFSET(element6,MATCH($C871,resources,0)-1,0)="","","-"&amp;INDIRECT(OFFSET(element6,MATCH($C871,resources,0)-1,0)))&amp;IF(abbrAtEnd,"-"&amp;L871,"")</f>
        <v>#N/A</v>
      </c>
      <c r="N871" s="4" t="str">
        <f t="shared" si="92"/>
        <v>-000</v>
      </c>
      <c r="O871" s="4">
        <f ca="1">IF(totalElements+COUNTIF(Entities!$C$10,"*")+COUNTIF(B871:C871,"*")+COUNTIF(E871:F871,"*")=9,1,0)</f>
        <v>0</v>
      </c>
      <c r="P871" s="4">
        <f>COUNTIF($C$6:C871,C871)</f>
        <v>0</v>
      </c>
      <c r="Q871" s="4">
        <f ca="1">IF(ISNA(M871),0,COUNTIF($M$6:M871,M871))</f>
        <v>0</v>
      </c>
      <c r="R871" s="4" t="e">
        <f t="shared" ca="1" si="91"/>
        <v>#N/A</v>
      </c>
      <c r="S871" s="4">
        <f ca="1">IF(ISNA(M871),0,COUNTIF($R$6:R871,R871))</f>
        <v>0</v>
      </c>
      <c r="T871" s="4" t="e">
        <f t="shared" ca="1" si="90"/>
        <v>#N/A</v>
      </c>
    </row>
    <row r="872" spans="2:20" x14ac:dyDescent="0.3">
      <c r="B872" s="48"/>
      <c r="C872" s="48"/>
      <c r="D872" s="10" t="str">
        <f t="shared" ca="1" si="87"/>
        <v/>
      </c>
      <c r="E872" s="48"/>
      <c r="F872" s="48"/>
      <c r="G872" s="10" t="str">
        <f t="shared" ca="1" si="93"/>
        <v/>
      </c>
      <c r="I872" s="10" t="str">
        <f t="shared" ca="1" si="88"/>
        <v/>
      </c>
      <c r="K872" s="4" t="e">
        <f t="shared" ca="1" si="89"/>
        <v>#N/A</v>
      </c>
      <c r="L872" s="4" t="e">
        <f>VLOOKUP(C872,_resources!B:D,3,0)</f>
        <v>#N/A</v>
      </c>
      <c r="M872" s="4" t="e" cm="1">
        <f t="array" aca="1" ref="M872" ca="1">IF(abbrAtEnd,"",L872&amp;"-")&amp;E872&amp;"-"&amp;INDIRECT(OFFSET(element3,MATCH($C872,resources,0)-1,0))&amp;"-"&amp;INDIRECT(OFFSET(element4,MATCH($C872,resources,0)-1,0))&amp;"-"&amp;INDIRECT(OFFSET(element5,MATCH($C872,resources,0)-1,0))&amp;IF(OFFSET(element6,MATCH($C872,resources,0)-1,0)="","","-"&amp;INDIRECT(OFFSET(element6,MATCH($C872,resources,0)-1,0)))&amp;IF(abbrAtEnd,"-"&amp;L872,"")</f>
        <v>#N/A</v>
      </c>
      <c r="N872" s="4" t="str">
        <f t="shared" si="92"/>
        <v>-000</v>
      </c>
      <c r="O872" s="4">
        <f ca="1">IF(totalElements+COUNTIF(Entities!$C$10,"*")+COUNTIF(B872:C872,"*")+COUNTIF(E872:F872,"*")=9,1,0)</f>
        <v>0</v>
      </c>
      <c r="P872" s="4">
        <f>COUNTIF($C$6:C872,C872)</f>
        <v>0</v>
      </c>
      <c r="Q872" s="4">
        <f ca="1">IF(ISNA(M872),0,COUNTIF($M$6:M872,M872))</f>
        <v>0</v>
      </c>
      <c r="R872" s="4" t="e">
        <f t="shared" ca="1" si="91"/>
        <v>#N/A</v>
      </c>
      <c r="S872" s="4">
        <f ca="1">IF(ISNA(M872),0,COUNTIF($R$6:R872,R872))</f>
        <v>0</v>
      </c>
      <c r="T872" s="4" t="e">
        <f t="shared" ca="1" si="90"/>
        <v>#N/A</v>
      </c>
    </row>
    <row r="873" spans="2:20" x14ac:dyDescent="0.3">
      <c r="B873" s="48"/>
      <c r="C873" s="48"/>
      <c r="D873" s="10" t="str">
        <f t="shared" ca="1" si="87"/>
        <v/>
      </c>
      <c r="E873" s="48"/>
      <c r="F873" s="48"/>
      <c r="G873" s="10" t="str">
        <f t="shared" ca="1" si="93"/>
        <v/>
      </c>
      <c r="I873" s="10" t="str">
        <f t="shared" ca="1" si="88"/>
        <v/>
      </c>
      <c r="K873" s="4" t="e">
        <f t="shared" ca="1" si="89"/>
        <v>#N/A</v>
      </c>
      <c r="L873" s="4" t="e">
        <f>VLOOKUP(C873,_resources!B:D,3,0)</f>
        <v>#N/A</v>
      </c>
      <c r="M873" s="4" t="e" cm="1">
        <f t="array" aca="1" ref="M873" ca="1">IF(abbrAtEnd,"",L873&amp;"-")&amp;E873&amp;"-"&amp;INDIRECT(OFFSET(element3,MATCH($C873,resources,0)-1,0))&amp;"-"&amp;INDIRECT(OFFSET(element4,MATCH($C873,resources,0)-1,0))&amp;"-"&amp;INDIRECT(OFFSET(element5,MATCH($C873,resources,0)-1,0))&amp;IF(OFFSET(element6,MATCH($C873,resources,0)-1,0)="","","-"&amp;INDIRECT(OFFSET(element6,MATCH($C873,resources,0)-1,0)))&amp;IF(abbrAtEnd,"-"&amp;L873,"")</f>
        <v>#N/A</v>
      </c>
      <c r="N873" s="4" t="str">
        <f t="shared" si="92"/>
        <v>-000</v>
      </c>
      <c r="O873" s="4">
        <f ca="1">IF(totalElements+COUNTIF(Entities!$C$10,"*")+COUNTIF(B873:C873,"*")+COUNTIF(E873:F873,"*")=9,1,0)</f>
        <v>0</v>
      </c>
      <c r="P873" s="4">
        <f>COUNTIF($C$6:C873,C873)</f>
        <v>0</v>
      </c>
      <c r="Q873" s="4">
        <f ca="1">IF(ISNA(M873),0,COUNTIF($M$6:M873,M873))</f>
        <v>0</v>
      </c>
      <c r="R873" s="4" t="e">
        <f t="shared" ca="1" si="91"/>
        <v>#N/A</v>
      </c>
      <c r="S873" s="4">
        <f ca="1">IF(ISNA(M873),0,COUNTIF($R$6:R873,R873))</f>
        <v>0</v>
      </c>
      <c r="T873" s="4" t="e">
        <f t="shared" ca="1" si="90"/>
        <v>#N/A</v>
      </c>
    </row>
    <row r="874" spans="2:20" x14ac:dyDescent="0.3">
      <c r="B874" s="48"/>
      <c r="C874" s="48"/>
      <c r="D874" s="10" t="str">
        <f t="shared" ca="1" si="87"/>
        <v/>
      </c>
      <c r="E874" s="48"/>
      <c r="F874" s="48"/>
      <c r="G874" s="10" t="str">
        <f t="shared" ca="1" si="93"/>
        <v/>
      </c>
      <c r="I874" s="10" t="str">
        <f t="shared" ca="1" si="88"/>
        <v/>
      </c>
      <c r="K874" s="4" t="e">
        <f t="shared" ca="1" si="89"/>
        <v>#N/A</v>
      </c>
      <c r="L874" s="4" t="e">
        <f>VLOOKUP(C874,_resources!B:D,3,0)</f>
        <v>#N/A</v>
      </c>
      <c r="M874" s="4" t="e" cm="1">
        <f t="array" aca="1" ref="M874" ca="1">IF(abbrAtEnd,"",L874&amp;"-")&amp;E874&amp;"-"&amp;INDIRECT(OFFSET(element3,MATCH($C874,resources,0)-1,0))&amp;"-"&amp;INDIRECT(OFFSET(element4,MATCH($C874,resources,0)-1,0))&amp;"-"&amp;INDIRECT(OFFSET(element5,MATCH($C874,resources,0)-1,0))&amp;IF(OFFSET(element6,MATCH($C874,resources,0)-1,0)="","","-"&amp;INDIRECT(OFFSET(element6,MATCH($C874,resources,0)-1,0)))&amp;IF(abbrAtEnd,"-"&amp;L874,"")</f>
        <v>#N/A</v>
      </c>
      <c r="N874" s="4" t="str">
        <f t="shared" si="92"/>
        <v>-000</v>
      </c>
      <c r="O874" s="4">
        <f ca="1">IF(totalElements+COUNTIF(Entities!$C$10,"*")+COUNTIF(B874:C874,"*")+COUNTIF(E874:F874,"*")=9,1,0)</f>
        <v>0</v>
      </c>
      <c r="P874" s="4">
        <f>COUNTIF($C$6:C874,C874)</f>
        <v>0</v>
      </c>
      <c r="Q874" s="4">
        <f ca="1">IF(ISNA(M874),0,COUNTIF($M$6:M874,M874))</f>
        <v>0</v>
      </c>
      <c r="R874" s="4" t="e">
        <f t="shared" ca="1" si="91"/>
        <v>#N/A</v>
      </c>
      <c r="S874" s="4">
        <f ca="1">IF(ISNA(M874),0,COUNTIF($R$6:R874,R874))</f>
        <v>0</v>
      </c>
      <c r="T874" s="4" t="e">
        <f t="shared" ca="1" si="90"/>
        <v>#N/A</v>
      </c>
    </row>
    <row r="875" spans="2:20" x14ac:dyDescent="0.3">
      <c r="B875" s="48"/>
      <c r="C875" s="48"/>
      <c r="D875" s="10" t="str">
        <f t="shared" ca="1" si="87"/>
        <v/>
      </c>
      <c r="E875" s="48"/>
      <c r="F875" s="48"/>
      <c r="G875" s="10" t="str">
        <f t="shared" ca="1" si="93"/>
        <v/>
      </c>
      <c r="I875" s="10" t="str">
        <f t="shared" ca="1" si="88"/>
        <v/>
      </c>
      <c r="K875" s="4" t="e">
        <f t="shared" ca="1" si="89"/>
        <v>#N/A</v>
      </c>
      <c r="L875" s="4" t="e">
        <f>VLOOKUP(C875,_resources!B:D,3,0)</f>
        <v>#N/A</v>
      </c>
      <c r="M875" s="4" t="e" cm="1">
        <f t="array" aca="1" ref="M875" ca="1">IF(abbrAtEnd,"",L875&amp;"-")&amp;E875&amp;"-"&amp;INDIRECT(OFFSET(element3,MATCH($C875,resources,0)-1,0))&amp;"-"&amp;INDIRECT(OFFSET(element4,MATCH($C875,resources,0)-1,0))&amp;"-"&amp;INDIRECT(OFFSET(element5,MATCH($C875,resources,0)-1,0))&amp;IF(OFFSET(element6,MATCH($C875,resources,0)-1,0)="","","-"&amp;INDIRECT(OFFSET(element6,MATCH($C875,resources,0)-1,0)))&amp;IF(abbrAtEnd,"-"&amp;L875,"")</f>
        <v>#N/A</v>
      </c>
      <c r="N875" s="4" t="str">
        <f t="shared" si="92"/>
        <v>-000</v>
      </c>
      <c r="O875" s="4">
        <f ca="1">IF(totalElements+COUNTIF(Entities!$C$10,"*")+COUNTIF(B875:C875,"*")+COUNTIF(E875:F875,"*")=9,1,0)</f>
        <v>0</v>
      </c>
      <c r="P875" s="4">
        <f>COUNTIF($C$6:C875,C875)</f>
        <v>0</v>
      </c>
      <c r="Q875" s="4">
        <f ca="1">IF(ISNA(M875),0,COUNTIF($M$6:M875,M875))</f>
        <v>0</v>
      </c>
      <c r="R875" s="4" t="e">
        <f t="shared" ca="1" si="91"/>
        <v>#N/A</v>
      </c>
      <c r="S875" s="4">
        <f ca="1">IF(ISNA(M875),0,COUNTIF($R$6:R875,R875))</f>
        <v>0</v>
      </c>
      <c r="T875" s="4" t="e">
        <f t="shared" ca="1" si="90"/>
        <v>#N/A</v>
      </c>
    </row>
    <row r="876" spans="2:20" x14ac:dyDescent="0.3">
      <c r="B876" s="48"/>
      <c r="C876" s="48"/>
      <c r="D876" s="10" t="str">
        <f t="shared" ca="1" si="87"/>
        <v/>
      </c>
      <c r="E876" s="48"/>
      <c r="F876" s="48"/>
      <c r="G876" s="10" t="str">
        <f t="shared" ca="1" si="93"/>
        <v/>
      </c>
      <c r="I876" s="10" t="str">
        <f t="shared" ca="1" si="88"/>
        <v/>
      </c>
      <c r="K876" s="4" t="e">
        <f t="shared" ca="1" si="89"/>
        <v>#N/A</v>
      </c>
      <c r="L876" s="4" t="e">
        <f>VLOOKUP(C876,_resources!B:D,3,0)</f>
        <v>#N/A</v>
      </c>
      <c r="M876" s="4" t="e" cm="1">
        <f t="array" aca="1" ref="M876" ca="1">IF(abbrAtEnd,"",L876&amp;"-")&amp;E876&amp;"-"&amp;INDIRECT(OFFSET(element3,MATCH($C876,resources,0)-1,0))&amp;"-"&amp;INDIRECT(OFFSET(element4,MATCH($C876,resources,0)-1,0))&amp;"-"&amp;INDIRECT(OFFSET(element5,MATCH($C876,resources,0)-1,0))&amp;IF(OFFSET(element6,MATCH($C876,resources,0)-1,0)="","","-"&amp;INDIRECT(OFFSET(element6,MATCH($C876,resources,0)-1,0)))&amp;IF(abbrAtEnd,"-"&amp;L876,"")</f>
        <v>#N/A</v>
      </c>
      <c r="N876" s="4" t="str">
        <f t="shared" si="92"/>
        <v>-000</v>
      </c>
      <c r="O876" s="4">
        <f ca="1">IF(totalElements+COUNTIF(Entities!$C$10,"*")+COUNTIF(B876:C876,"*")+COUNTIF(E876:F876,"*")=9,1,0)</f>
        <v>0</v>
      </c>
      <c r="P876" s="4">
        <f>COUNTIF($C$6:C876,C876)</f>
        <v>0</v>
      </c>
      <c r="Q876" s="4">
        <f ca="1">IF(ISNA(M876),0,COUNTIF($M$6:M876,M876))</f>
        <v>0</v>
      </c>
      <c r="R876" s="4" t="e">
        <f t="shared" ca="1" si="91"/>
        <v>#N/A</v>
      </c>
      <c r="S876" s="4">
        <f ca="1">IF(ISNA(M876),0,COUNTIF($R$6:R876,R876))</f>
        <v>0</v>
      </c>
      <c r="T876" s="4" t="e">
        <f t="shared" ca="1" si="90"/>
        <v>#N/A</v>
      </c>
    </row>
    <row r="877" spans="2:20" x14ac:dyDescent="0.3">
      <c r="B877" s="48"/>
      <c r="C877" s="48"/>
      <c r="D877" s="10" t="str">
        <f t="shared" ca="1" si="87"/>
        <v/>
      </c>
      <c r="E877" s="48"/>
      <c r="F877" s="48"/>
      <c r="G877" s="10" t="str">
        <f t="shared" ca="1" si="93"/>
        <v/>
      </c>
      <c r="I877" s="10" t="str">
        <f t="shared" ca="1" si="88"/>
        <v/>
      </c>
      <c r="K877" s="4" t="e">
        <f t="shared" ca="1" si="89"/>
        <v>#N/A</v>
      </c>
      <c r="L877" s="4" t="e">
        <f>VLOOKUP(C877,_resources!B:D,3,0)</f>
        <v>#N/A</v>
      </c>
      <c r="M877" s="4" t="e" cm="1">
        <f t="array" aca="1" ref="M877" ca="1">IF(abbrAtEnd,"",L877&amp;"-")&amp;E877&amp;"-"&amp;INDIRECT(OFFSET(element3,MATCH($C877,resources,0)-1,0))&amp;"-"&amp;INDIRECT(OFFSET(element4,MATCH($C877,resources,0)-1,0))&amp;"-"&amp;INDIRECT(OFFSET(element5,MATCH($C877,resources,0)-1,0))&amp;IF(OFFSET(element6,MATCH($C877,resources,0)-1,0)="","","-"&amp;INDIRECT(OFFSET(element6,MATCH($C877,resources,0)-1,0)))&amp;IF(abbrAtEnd,"-"&amp;L877,"")</f>
        <v>#N/A</v>
      </c>
      <c r="N877" s="4" t="str">
        <f t="shared" si="92"/>
        <v>-000</v>
      </c>
      <c r="O877" s="4">
        <f ca="1">IF(totalElements+COUNTIF(Entities!$C$10,"*")+COUNTIF(B877:C877,"*")+COUNTIF(E877:F877,"*")=9,1,0)</f>
        <v>0</v>
      </c>
      <c r="P877" s="4">
        <f>COUNTIF($C$6:C877,C877)</f>
        <v>0</v>
      </c>
      <c r="Q877" s="4">
        <f ca="1">IF(ISNA(M877),0,COUNTIF($M$6:M877,M877))</f>
        <v>0</v>
      </c>
      <c r="R877" s="4" t="e">
        <f t="shared" ca="1" si="91"/>
        <v>#N/A</v>
      </c>
      <c r="S877" s="4">
        <f ca="1">IF(ISNA(M877),0,COUNTIF($R$6:R877,R877))</f>
        <v>0</v>
      </c>
      <c r="T877" s="4" t="e">
        <f t="shared" ca="1" si="90"/>
        <v>#N/A</v>
      </c>
    </row>
    <row r="878" spans="2:20" x14ac:dyDescent="0.3">
      <c r="B878" s="48"/>
      <c r="C878" s="48"/>
      <c r="D878" s="10" t="str">
        <f t="shared" ca="1" si="87"/>
        <v/>
      </c>
      <c r="E878" s="48"/>
      <c r="F878" s="48"/>
      <c r="G878" s="10" t="str">
        <f t="shared" ca="1" si="93"/>
        <v/>
      </c>
      <c r="I878" s="10" t="str">
        <f t="shared" ca="1" si="88"/>
        <v/>
      </c>
      <c r="K878" s="4" t="e">
        <f t="shared" ca="1" si="89"/>
        <v>#N/A</v>
      </c>
      <c r="L878" s="4" t="e">
        <f>VLOOKUP(C878,_resources!B:D,3,0)</f>
        <v>#N/A</v>
      </c>
      <c r="M878" s="4" t="e" cm="1">
        <f t="array" aca="1" ref="M878" ca="1">IF(abbrAtEnd,"",L878&amp;"-")&amp;E878&amp;"-"&amp;INDIRECT(OFFSET(element3,MATCH($C878,resources,0)-1,0))&amp;"-"&amp;INDIRECT(OFFSET(element4,MATCH($C878,resources,0)-1,0))&amp;"-"&amp;INDIRECT(OFFSET(element5,MATCH($C878,resources,0)-1,0))&amp;IF(OFFSET(element6,MATCH($C878,resources,0)-1,0)="","","-"&amp;INDIRECT(OFFSET(element6,MATCH($C878,resources,0)-1,0)))&amp;IF(abbrAtEnd,"-"&amp;L878,"")</f>
        <v>#N/A</v>
      </c>
      <c r="N878" s="4" t="str">
        <f t="shared" si="92"/>
        <v>-000</v>
      </c>
      <c r="O878" s="4">
        <f ca="1">IF(totalElements+COUNTIF(Entities!$C$10,"*")+COUNTIF(B878:C878,"*")+COUNTIF(E878:F878,"*")=9,1,0)</f>
        <v>0</v>
      </c>
      <c r="P878" s="4">
        <f>COUNTIF($C$6:C878,C878)</f>
        <v>0</v>
      </c>
      <c r="Q878" s="4">
        <f ca="1">IF(ISNA(M878),0,COUNTIF($M$6:M878,M878))</f>
        <v>0</v>
      </c>
      <c r="R878" s="4" t="e">
        <f t="shared" ca="1" si="91"/>
        <v>#N/A</v>
      </c>
      <c r="S878" s="4">
        <f ca="1">IF(ISNA(M878),0,COUNTIF($R$6:R878,R878))</f>
        <v>0</v>
      </c>
      <c r="T878" s="4" t="e">
        <f t="shared" ca="1" si="90"/>
        <v>#N/A</v>
      </c>
    </row>
    <row r="879" spans="2:20" x14ac:dyDescent="0.3">
      <c r="B879" s="48"/>
      <c r="C879" s="48"/>
      <c r="D879" s="10" t="str">
        <f t="shared" ca="1" si="87"/>
        <v/>
      </c>
      <c r="E879" s="48"/>
      <c r="F879" s="48"/>
      <c r="G879" s="10" t="str">
        <f t="shared" ca="1" si="93"/>
        <v/>
      </c>
      <c r="I879" s="10" t="str">
        <f t="shared" ca="1" si="88"/>
        <v/>
      </c>
      <c r="K879" s="4" t="e">
        <f t="shared" ca="1" si="89"/>
        <v>#N/A</v>
      </c>
      <c r="L879" s="4" t="e">
        <f>VLOOKUP(C879,_resources!B:D,3,0)</f>
        <v>#N/A</v>
      </c>
      <c r="M879" s="4" t="e" cm="1">
        <f t="array" aca="1" ref="M879" ca="1">IF(abbrAtEnd,"",L879&amp;"-")&amp;E879&amp;"-"&amp;INDIRECT(OFFSET(element3,MATCH($C879,resources,0)-1,0))&amp;"-"&amp;INDIRECT(OFFSET(element4,MATCH($C879,resources,0)-1,0))&amp;"-"&amp;INDIRECT(OFFSET(element5,MATCH($C879,resources,0)-1,0))&amp;IF(OFFSET(element6,MATCH($C879,resources,0)-1,0)="","","-"&amp;INDIRECT(OFFSET(element6,MATCH($C879,resources,0)-1,0)))&amp;IF(abbrAtEnd,"-"&amp;L879,"")</f>
        <v>#N/A</v>
      </c>
      <c r="N879" s="4" t="str">
        <f t="shared" si="92"/>
        <v>-000</v>
      </c>
      <c r="O879" s="4">
        <f ca="1">IF(totalElements+COUNTIF(Entities!$C$10,"*")+COUNTIF(B879:C879,"*")+COUNTIF(E879:F879,"*")=9,1,0)</f>
        <v>0</v>
      </c>
      <c r="P879" s="4">
        <f>COUNTIF($C$6:C879,C879)</f>
        <v>0</v>
      </c>
      <c r="Q879" s="4">
        <f ca="1">IF(ISNA(M879),0,COUNTIF($M$6:M879,M879))</f>
        <v>0</v>
      </c>
      <c r="R879" s="4" t="e">
        <f t="shared" ca="1" si="91"/>
        <v>#N/A</v>
      </c>
      <c r="S879" s="4">
        <f ca="1">IF(ISNA(M879),0,COUNTIF($R$6:R879,R879))</f>
        <v>0</v>
      </c>
      <c r="T879" s="4" t="e">
        <f t="shared" ca="1" si="90"/>
        <v>#N/A</v>
      </c>
    </row>
    <row r="880" spans="2:20" x14ac:dyDescent="0.3">
      <c r="B880" s="48"/>
      <c r="C880" s="48"/>
      <c r="D880" s="10" t="str">
        <f t="shared" ca="1" si="87"/>
        <v/>
      </c>
      <c r="E880" s="48"/>
      <c r="F880" s="48"/>
      <c r="G880" s="10" t="str">
        <f t="shared" ca="1" si="93"/>
        <v/>
      </c>
      <c r="I880" s="10" t="str">
        <f t="shared" ca="1" si="88"/>
        <v/>
      </c>
      <c r="K880" s="4" t="e">
        <f t="shared" ca="1" si="89"/>
        <v>#N/A</v>
      </c>
      <c r="L880" s="4" t="e">
        <f>VLOOKUP(C880,_resources!B:D,3,0)</f>
        <v>#N/A</v>
      </c>
      <c r="M880" s="4" t="e" cm="1">
        <f t="array" aca="1" ref="M880" ca="1">IF(abbrAtEnd,"",L880&amp;"-")&amp;E880&amp;"-"&amp;INDIRECT(OFFSET(element3,MATCH($C880,resources,0)-1,0))&amp;"-"&amp;INDIRECT(OFFSET(element4,MATCH($C880,resources,0)-1,0))&amp;"-"&amp;INDIRECT(OFFSET(element5,MATCH($C880,resources,0)-1,0))&amp;IF(OFFSET(element6,MATCH($C880,resources,0)-1,0)="","","-"&amp;INDIRECT(OFFSET(element6,MATCH($C880,resources,0)-1,0)))&amp;IF(abbrAtEnd,"-"&amp;L880,"")</f>
        <v>#N/A</v>
      </c>
      <c r="N880" s="4" t="str">
        <f t="shared" si="92"/>
        <v>-000</v>
      </c>
      <c r="O880" s="4">
        <f ca="1">IF(totalElements+COUNTIF(Entities!$C$10,"*")+COUNTIF(B880:C880,"*")+COUNTIF(E880:F880,"*")=9,1,0)</f>
        <v>0</v>
      </c>
      <c r="P880" s="4">
        <f>COUNTIF($C$6:C880,C880)</f>
        <v>0</v>
      </c>
      <c r="Q880" s="4">
        <f ca="1">IF(ISNA(M880),0,COUNTIF($M$6:M880,M880))</f>
        <v>0</v>
      </c>
      <c r="R880" s="4" t="e">
        <f t="shared" ca="1" si="91"/>
        <v>#N/A</v>
      </c>
      <c r="S880" s="4">
        <f ca="1">IF(ISNA(M880),0,COUNTIF($R$6:R880,R880))</f>
        <v>0</v>
      </c>
      <c r="T880" s="4" t="e">
        <f t="shared" ca="1" si="90"/>
        <v>#N/A</v>
      </c>
    </row>
    <row r="881" spans="2:20" x14ac:dyDescent="0.3">
      <c r="B881" s="48"/>
      <c r="C881" s="48"/>
      <c r="D881" s="10" t="str">
        <f t="shared" ref="D881:D944" ca="1" si="94">IF(ISBLANK(C881),"",OFFSET(element2,MATCH($C881,resources,0)-1,0))</f>
        <v/>
      </c>
      <c r="E881" s="48"/>
      <c r="F881" s="48"/>
      <c r="G881" s="10" t="str">
        <f t="shared" ca="1" si="93"/>
        <v/>
      </c>
      <c r="I881" s="10" t="str">
        <f t="shared" ref="I881:I944" ca="1" si="95">IF(O881,IF(LEN(G881)&gt;T881,"Name too Long (length: "&amp;LEN(G881)&amp;", max. "&amp;T881&amp;")","None"),"")</f>
        <v/>
      </c>
      <c r="K881" s="4" t="e">
        <f t="shared" ca="1" si="89"/>
        <v>#N/A</v>
      </c>
      <c r="L881" s="4" t="e">
        <f>VLOOKUP(C881,_resources!B:D,3,0)</f>
        <v>#N/A</v>
      </c>
      <c r="M881" s="4" t="e" cm="1">
        <f t="array" aca="1" ref="M881" ca="1">IF(abbrAtEnd,"",L881&amp;"-")&amp;E881&amp;"-"&amp;INDIRECT(OFFSET(element3,MATCH($C881,resources,0)-1,0))&amp;"-"&amp;INDIRECT(OFFSET(element4,MATCH($C881,resources,0)-1,0))&amp;"-"&amp;INDIRECT(OFFSET(element5,MATCH($C881,resources,0)-1,0))&amp;IF(OFFSET(element6,MATCH($C881,resources,0)-1,0)="","","-"&amp;INDIRECT(OFFSET(element6,MATCH($C881,resources,0)-1,0)))&amp;IF(abbrAtEnd,"-"&amp;L881,"")</f>
        <v>#N/A</v>
      </c>
      <c r="N881" s="4" t="str">
        <f t="shared" si="92"/>
        <v>-000</v>
      </c>
      <c r="O881" s="4">
        <f ca="1">IF(totalElements+COUNTIF(Entities!$C$10,"*")+COUNTIF(B881:C881,"*")+COUNTIF(E881:F881,"*")=9,1,0)</f>
        <v>0</v>
      </c>
      <c r="P881" s="4">
        <f>COUNTIF($C$6:C881,C881)</f>
        <v>0</v>
      </c>
      <c r="Q881" s="4">
        <f ca="1">IF(ISNA(M881),0,COUNTIF($M$6:M881,M881))</f>
        <v>0</v>
      </c>
      <c r="R881" s="4" t="e">
        <f t="shared" ca="1" si="91"/>
        <v>#N/A</v>
      </c>
      <c r="S881" s="4">
        <f ca="1">IF(ISNA(M881),0,COUNTIF($R$6:R881,R881))</f>
        <v>0</v>
      </c>
      <c r="T881" s="4" t="e">
        <f t="shared" ca="1" si="90"/>
        <v>#N/A</v>
      </c>
    </row>
    <row r="882" spans="2:20" x14ac:dyDescent="0.3">
      <c r="B882" s="48"/>
      <c r="C882" s="48"/>
      <c r="D882" s="10" t="str">
        <f t="shared" ca="1" si="94"/>
        <v/>
      </c>
      <c r="E882" s="48"/>
      <c r="F882" s="48"/>
      <c r="G882" s="10" t="str">
        <f t="shared" ca="1" si="93"/>
        <v/>
      </c>
      <c r="I882" s="10" t="str">
        <f t="shared" ca="1" si="95"/>
        <v/>
      </c>
      <c r="K882" s="4" t="e">
        <f t="shared" ca="1" si="89"/>
        <v>#N/A</v>
      </c>
      <c r="L882" s="4" t="e">
        <f>VLOOKUP(C882,_resources!B:D,3,0)</f>
        <v>#N/A</v>
      </c>
      <c r="M882" s="4" t="e" cm="1">
        <f t="array" aca="1" ref="M882" ca="1">IF(abbrAtEnd,"",L882&amp;"-")&amp;E882&amp;"-"&amp;INDIRECT(OFFSET(element3,MATCH($C882,resources,0)-1,0))&amp;"-"&amp;INDIRECT(OFFSET(element4,MATCH($C882,resources,0)-1,0))&amp;"-"&amp;INDIRECT(OFFSET(element5,MATCH($C882,resources,0)-1,0))&amp;IF(OFFSET(element6,MATCH($C882,resources,0)-1,0)="","","-"&amp;INDIRECT(OFFSET(element6,MATCH($C882,resources,0)-1,0)))&amp;IF(abbrAtEnd,"-"&amp;L882,"")</f>
        <v>#N/A</v>
      </c>
      <c r="N882" s="4" t="str">
        <f t="shared" si="92"/>
        <v>-000</v>
      </c>
      <c r="O882" s="4">
        <f ca="1">IF(totalElements+COUNTIF(Entities!$C$10,"*")+COUNTIF(B882:C882,"*")+COUNTIF(E882:F882,"*")=9,1,0)</f>
        <v>0</v>
      </c>
      <c r="P882" s="4">
        <f>COUNTIF($C$6:C882,C882)</f>
        <v>0</v>
      </c>
      <c r="Q882" s="4">
        <f ca="1">IF(ISNA(M882),0,COUNTIF($M$6:M882,M882))</f>
        <v>0</v>
      </c>
      <c r="R882" s="4" t="e">
        <f t="shared" ca="1" si="91"/>
        <v>#N/A</v>
      </c>
      <c r="S882" s="4">
        <f ca="1">IF(ISNA(M882),0,COUNTIF($R$6:R882,R882))</f>
        <v>0</v>
      </c>
      <c r="T882" s="4" t="e">
        <f t="shared" ca="1" si="90"/>
        <v>#N/A</v>
      </c>
    </row>
    <row r="883" spans="2:20" x14ac:dyDescent="0.3">
      <c r="B883" s="48"/>
      <c r="C883" s="48"/>
      <c r="D883" s="10" t="str">
        <f t="shared" ca="1" si="94"/>
        <v/>
      </c>
      <c r="E883" s="48"/>
      <c r="F883" s="48"/>
      <c r="G883" s="10" t="str">
        <f t="shared" ca="1" si="93"/>
        <v/>
      </c>
      <c r="I883" s="10" t="str">
        <f t="shared" ca="1" si="95"/>
        <v/>
      </c>
      <c r="K883" s="4" t="e">
        <f t="shared" ca="1" si="89"/>
        <v>#N/A</v>
      </c>
      <c r="L883" s="4" t="e">
        <f>VLOOKUP(C883,_resources!B:D,3,0)</f>
        <v>#N/A</v>
      </c>
      <c r="M883" s="4" t="e" cm="1">
        <f t="array" aca="1" ref="M883" ca="1">IF(abbrAtEnd,"",L883&amp;"-")&amp;E883&amp;"-"&amp;INDIRECT(OFFSET(element3,MATCH($C883,resources,0)-1,0))&amp;"-"&amp;INDIRECT(OFFSET(element4,MATCH($C883,resources,0)-1,0))&amp;"-"&amp;INDIRECT(OFFSET(element5,MATCH($C883,resources,0)-1,0))&amp;IF(OFFSET(element6,MATCH($C883,resources,0)-1,0)="","","-"&amp;INDIRECT(OFFSET(element6,MATCH($C883,resources,0)-1,0)))&amp;IF(abbrAtEnd,"-"&amp;L883,"")</f>
        <v>#N/A</v>
      </c>
      <c r="N883" s="4" t="str">
        <f t="shared" si="92"/>
        <v>-000</v>
      </c>
      <c r="O883" s="4">
        <f ca="1">IF(totalElements+COUNTIF(Entities!$C$10,"*")+COUNTIF(B883:C883,"*")+COUNTIF(E883:F883,"*")=9,1,0)</f>
        <v>0</v>
      </c>
      <c r="P883" s="4">
        <f>COUNTIF($C$6:C883,C883)</f>
        <v>0</v>
      </c>
      <c r="Q883" s="4">
        <f ca="1">IF(ISNA(M883),0,COUNTIF($M$6:M883,M883))</f>
        <v>0</v>
      </c>
      <c r="R883" s="4" t="e">
        <f t="shared" ca="1" si="91"/>
        <v>#N/A</v>
      </c>
      <c r="S883" s="4">
        <f ca="1">IF(ISNA(M883),0,COUNTIF($R$6:R883,R883))</f>
        <v>0</v>
      </c>
      <c r="T883" s="4" t="e">
        <f t="shared" ca="1" si="90"/>
        <v>#N/A</v>
      </c>
    </row>
    <row r="884" spans="2:20" x14ac:dyDescent="0.3">
      <c r="B884" s="48"/>
      <c r="C884" s="48"/>
      <c r="D884" s="10" t="str">
        <f t="shared" ca="1" si="94"/>
        <v/>
      </c>
      <c r="E884" s="48"/>
      <c r="F884" s="48"/>
      <c r="G884" s="10" t="str">
        <f t="shared" ca="1" si="93"/>
        <v/>
      </c>
      <c r="I884" s="10" t="str">
        <f t="shared" ca="1" si="95"/>
        <v/>
      </c>
      <c r="K884" s="4" t="e">
        <f t="shared" ca="1" si="89"/>
        <v>#N/A</v>
      </c>
      <c r="L884" s="4" t="e">
        <f>VLOOKUP(C884,_resources!B:D,3,0)</f>
        <v>#N/A</v>
      </c>
      <c r="M884" s="4" t="e" cm="1">
        <f t="array" aca="1" ref="M884" ca="1">IF(abbrAtEnd,"",L884&amp;"-")&amp;E884&amp;"-"&amp;INDIRECT(OFFSET(element3,MATCH($C884,resources,0)-1,0))&amp;"-"&amp;INDIRECT(OFFSET(element4,MATCH($C884,resources,0)-1,0))&amp;"-"&amp;INDIRECT(OFFSET(element5,MATCH($C884,resources,0)-1,0))&amp;IF(OFFSET(element6,MATCH($C884,resources,0)-1,0)="","","-"&amp;INDIRECT(OFFSET(element6,MATCH($C884,resources,0)-1,0)))&amp;IF(abbrAtEnd,"-"&amp;L884,"")</f>
        <v>#N/A</v>
      </c>
      <c r="N884" s="4" t="str">
        <f t="shared" si="92"/>
        <v>-000</v>
      </c>
      <c r="O884" s="4">
        <f ca="1">IF(totalElements+COUNTIF(Entities!$C$10,"*")+COUNTIF(B884:C884,"*")+COUNTIF(E884:F884,"*")=9,1,0)</f>
        <v>0</v>
      </c>
      <c r="P884" s="4">
        <f>COUNTIF($C$6:C884,C884)</f>
        <v>0</v>
      </c>
      <c r="Q884" s="4">
        <f ca="1">IF(ISNA(M884),0,COUNTIF($M$6:M884,M884))</f>
        <v>0</v>
      </c>
      <c r="R884" s="4" t="e">
        <f t="shared" ca="1" si="91"/>
        <v>#N/A</v>
      </c>
      <c r="S884" s="4">
        <f ca="1">IF(ISNA(M884),0,COUNTIF($R$6:R884,R884))</f>
        <v>0</v>
      </c>
      <c r="T884" s="4" t="e">
        <f t="shared" ca="1" si="90"/>
        <v>#N/A</v>
      </c>
    </row>
    <row r="885" spans="2:20" x14ac:dyDescent="0.3">
      <c r="B885" s="48"/>
      <c r="C885" s="48"/>
      <c r="D885" s="10" t="str">
        <f t="shared" ca="1" si="94"/>
        <v/>
      </c>
      <c r="E885" s="48"/>
      <c r="F885" s="48"/>
      <c r="G885" s="10" t="str">
        <f t="shared" ca="1" si="93"/>
        <v/>
      </c>
      <c r="I885" s="10" t="str">
        <f t="shared" ca="1" si="95"/>
        <v/>
      </c>
      <c r="K885" s="4" t="e">
        <f t="shared" ca="1" si="89"/>
        <v>#N/A</v>
      </c>
      <c r="L885" s="4" t="e">
        <f>VLOOKUP(C885,_resources!B:D,3,0)</f>
        <v>#N/A</v>
      </c>
      <c r="M885" s="4" t="e" cm="1">
        <f t="array" aca="1" ref="M885" ca="1">IF(abbrAtEnd,"",L885&amp;"-")&amp;E885&amp;"-"&amp;INDIRECT(OFFSET(element3,MATCH($C885,resources,0)-1,0))&amp;"-"&amp;INDIRECT(OFFSET(element4,MATCH($C885,resources,0)-1,0))&amp;"-"&amp;INDIRECT(OFFSET(element5,MATCH($C885,resources,0)-1,0))&amp;IF(OFFSET(element6,MATCH($C885,resources,0)-1,0)="","","-"&amp;INDIRECT(OFFSET(element6,MATCH($C885,resources,0)-1,0)))&amp;IF(abbrAtEnd,"-"&amp;L885,"")</f>
        <v>#N/A</v>
      </c>
      <c r="N885" s="4" t="str">
        <f t="shared" si="92"/>
        <v>-000</v>
      </c>
      <c r="O885" s="4">
        <f ca="1">IF(totalElements+COUNTIF(Entities!$C$10,"*")+COUNTIF(B885:C885,"*")+COUNTIF(E885:F885,"*")=9,1,0)</f>
        <v>0</v>
      </c>
      <c r="P885" s="4">
        <f>COUNTIF($C$6:C885,C885)</f>
        <v>0</v>
      </c>
      <c r="Q885" s="4">
        <f ca="1">IF(ISNA(M885),0,COUNTIF($M$6:M885,M885))</f>
        <v>0</v>
      </c>
      <c r="R885" s="4" t="e">
        <f t="shared" ca="1" si="91"/>
        <v>#N/A</v>
      </c>
      <c r="S885" s="4">
        <f ca="1">IF(ISNA(M885),0,COUNTIF($R$6:R885,R885))</f>
        <v>0</v>
      </c>
      <c r="T885" s="4" t="e">
        <f t="shared" ca="1" si="90"/>
        <v>#N/A</v>
      </c>
    </row>
    <row r="886" spans="2:20" x14ac:dyDescent="0.3">
      <c r="B886" s="48"/>
      <c r="C886" s="48"/>
      <c r="D886" s="10" t="str">
        <f t="shared" ca="1" si="94"/>
        <v/>
      </c>
      <c r="E886" s="48"/>
      <c r="F886" s="48"/>
      <c r="G886" s="10" t="str">
        <f t="shared" ca="1" si="93"/>
        <v/>
      </c>
      <c r="I886" s="10" t="str">
        <f t="shared" ca="1" si="95"/>
        <v/>
      </c>
      <c r="K886" s="4" t="e">
        <f t="shared" ca="1" si="89"/>
        <v>#N/A</v>
      </c>
      <c r="L886" s="4" t="e">
        <f>VLOOKUP(C886,_resources!B:D,3,0)</f>
        <v>#N/A</v>
      </c>
      <c r="M886" s="4" t="e" cm="1">
        <f t="array" aca="1" ref="M886" ca="1">IF(abbrAtEnd,"",L886&amp;"-")&amp;E886&amp;"-"&amp;INDIRECT(OFFSET(element3,MATCH($C886,resources,0)-1,0))&amp;"-"&amp;INDIRECT(OFFSET(element4,MATCH($C886,resources,0)-1,0))&amp;"-"&amp;INDIRECT(OFFSET(element5,MATCH($C886,resources,0)-1,0))&amp;IF(OFFSET(element6,MATCH($C886,resources,0)-1,0)="","","-"&amp;INDIRECT(OFFSET(element6,MATCH($C886,resources,0)-1,0)))&amp;IF(abbrAtEnd,"-"&amp;L886,"")</f>
        <v>#N/A</v>
      </c>
      <c r="N886" s="4" t="str">
        <f t="shared" si="92"/>
        <v>-000</v>
      </c>
      <c r="O886" s="4">
        <f ca="1">IF(totalElements+COUNTIF(Entities!$C$10,"*")+COUNTIF(B886:C886,"*")+COUNTIF(E886:F886,"*")=9,1,0)</f>
        <v>0</v>
      </c>
      <c r="P886" s="4">
        <f>COUNTIF($C$6:C886,C886)</f>
        <v>0</v>
      </c>
      <c r="Q886" s="4">
        <f ca="1">IF(ISNA(M886),0,COUNTIF($M$6:M886,M886))</f>
        <v>0</v>
      </c>
      <c r="R886" s="4" t="e">
        <f t="shared" ca="1" si="91"/>
        <v>#N/A</v>
      </c>
      <c r="S886" s="4">
        <f ca="1">IF(ISNA(M886),0,COUNTIF($R$6:R886,R886))</f>
        <v>0</v>
      </c>
      <c r="T886" s="4" t="e">
        <f t="shared" ca="1" si="90"/>
        <v>#N/A</v>
      </c>
    </row>
    <row r="887" spans="2:20" x14ac:dyDescent="0.3">
      <c r="B887" s="48"/>
      <c r="C887" s="48"/>
      <c r="D887" s="10" t="str">
        <f t="shared" ca="1" si="94"/>
        <v/>
      </c>
      <c r="E887" s="48"/>
      <c r="F887" s="48"/>
      <c r="G887" s="10" t="str">
        <f t="shared" ca="1" si="93"/>
        <v/>
      </c>
      <c r="I887" s="10" t="str">
        <f t="shared" ca="1" si="95"/>
        <v/>
      </c>
      <c r="K887" s="4" t="e">
        <f t="shared" ca="1" si="89"/>
        <v>#N/A</v>
      </c>
      <c r="L887" s="4" t="e">
        <f>VLOOKUP(C887,_resources!B:D,3,0)</f>
        <v>#N/A</v>
      </c>
      <c r="M887" s="4" t="e" cm="1">
        <f t="array" aca="1" ref="M887" ca="1">IF(abbrAtEnd,"",L887&amp;"-")&amp;E887&amp;"-"&amp;INDIRECT(OFFSET(element3,MATCH($C887,resources,0)-1,0))&amp;"-"&amp;INDIRECT(OFFSET(element4,MATCH($C887,resources,0)-1,0))&amp;"-"&amp;INDIRECT(OFFSET(element5,MATCH($C887,resources,0)-1,0))&amp;IF(OFFSET(element6,MATCH($C887,resources,0)-1,0)="","","-"&amp;INDIRECT(OFFSET(element6,MATCH($C887,resources,0)-1,0)))&amp;IF(abbrAtEnd,"-"&amp;L887,"")</f>
        <v>#N/A</v>
      </c>
      <c r="N887" s="4" t="str">
        <f t="shared" si="92"/>
        <v>-000</v>
      </c>
      <c r="O887" s="4">
        <f ca="1">IF(totalElements+COUNTIF(Entities!$C$10,"*")+COUNTIF(B887:C887,"*")+COUNTIF(E887:F887,"*")=9,1,0)</f>
        <v>0</v>
      </c>
      <c r="P887" s="4">
        <f>COUNTIF($C$6:C887,C887)</f>
        <v>0</v>
      </c>
      <c r="Q887" s="4">
        <f ca="1">IF(ISNA(M887),0,COUNTIF($M$6:M887,M887))</f>
        <v>0</v>
      </c>
      <c r="R887" s="4" t="e">
        <f t="shared" ca="1" si="91"/>
        <v>#N/A</v>
      </c>
      <c r="S887" s="4">
        <f ca="1">IF(ISNA(M887),0,COUNTIF($R$6:R887,R887))</f>
        <v>0</v>
      </c>
      <c r="T887" s="4" t="e">
        <f t="shared" ca="1" si="90"/>
        <v>#N/A</v>
      </c>
    </row>
    <row r="888" spans="2:20" x14ac:dyDescent="0.3">
      <c r="B888" s="48"/>
      <c r="C888" s="48"/>
      <c r="D888" s="10" t="str">
        <f t="shared" ca="1" si="94"/>
        <v/>
      </c>
      <c r="E888" s="48"/>
      <c r="F888" s="48"/>
      <c r="G888" s="10" t="str">
        <f t="shared" ca="1" si="93"/>
        <v/>
      </c>
      <c r="I888" s="10" t="str">
        <f t="shared" ca="1" si="95"/>
        <v/>
      </c>
      <c r="K888" s="4" t="e">
        <f t="shared" ca="1" si="89"/>
        <v>#N/A</v>
      </c>
      <c r="L888" s="4" t="e">
        <f>VLOOKUP(C888,_resources!B:D,3,0)</f>
        <v>#N/A</v>
      </c>
      <c r="M888" s="4" t="e" cm="1">
        <f t="array" aca="1" ref="M888" ca="1">IF(abbrAtEnd,"",L888&amp;"-")&amp;E888&amp;"-"&amp;INDIRECT(OFFSET(element3,MATCH($C888,resources,0)-1,0))&amp;"-"&amp;INDIRECT(OFFSET(element4,MATCH($C888,resources,0)-1,0))&amp;"-"&amp;INDIRECT(OFFSET(element5,MATCH($C888,resources,0)-1,0))&amp;IF(OFFSET(element6,MATCH($C888,resources,0)-1,0)="","","-"&amp;INDIRECT(OFFSET(element6,MATCH($C888,resources,0)-1,0)))&amp;IF(abbrAtEnd,"-"&amp;L888,"")</f>
        <v>#N/A</v>
      </c>
      <c r="N888" s="4" t="str">
        <f t="shared" si="92"/>
        <v>-000</v>
      </c>
      <c r="O888" s="4">
        <f ca="1">IF(totalElements+COUNTIF(Entities!$C$10,"*")+COUNTIF(B888:C888,"*")+COUNTIF(E888:F888,"*")=9,1,0)</f>
        <v>0</v>
      </c>
      <c r="P888" s="4">
        <f>COUNTIF($C$6:C888,C888)</f>
        <v>0</v>
      </c>
      <c r="Q888" s="4">
        <f ca="1">IF(ISNA(M888),0,COUNTIF($M$6:M888,M888))</f>
        <v>0</v>
      </c>
      <c r="R888" s="4" t="e">
        <f t="shared" ca="1" si="91"/>
        <v>#N/A</v>
      </c>
      <c r="S888" s="4">
        <f ca="1">IF(ISNA(M888),0,COUNTIF($R$6:R888,R888))</f>
        <v>0</v>
      </c>
      <c r="T888" s="4" t="e">
        <f t="shared" ca="1" si="90"/>
        <v>#N/A</v>
      </c>
    </row>
    <row r="889" spans="2:20" x14ac:dyDescent="0.3">
      <c r="B889" s="48"/>
      <c r="C889" s="48"/>
      <c r="D889" s="10" t="str">
        <f t="shared" ca="1" si="94"/>
        <v/>
      </c>
      <c r="E889" s="48"/>
      <c r="F889" s="48"/>
      <c r="G889" s="10" t="str">
        <f t="shared" ca="1" si="93"/>
        <v/>
      </c>
      <c r="I889" s="10" t="str">
        <f t="shared" ca="1" si="95"/>
        <v/>
      </c>
      <c r="K889" s="4" t="e">
        <f t="shared" ca="1" si="89"/>
        <v>#N/A</v>
      </c>
      <c r="L889" s="4" t="e">
        <f>VLOOKUP(C889,_resources!B:D,3,0)</f>
        <v>#N/A</v>
      </c>
      <c r="M889" s="4" t="e" cm="1">
        <f t="array" aca="1" ref="M889" ca="1">IF(abbrAtEnd,"",L889&amp;"-")&amp;E889&amp;"-"&amp;INDIRECT(OFFSET(element3,MATCH($C889,resources,0)-1,0))&amp;"-"&amp;INDIRECT(OFFSET(element4,MATCH($C889,resources,0)-1,0))&amp;"-"&amp;INDIRECT(OFFSET(element5,MATCH($C889,resources,0)-1,0))&amp;IF(OFFSET(element6,MATCH($C889,resources,0)-1,0)="","","-"&amp;INDIRECT(OFFSET(element6,MATCH($C889,resources,0)-1,0)))&amp;IF(abbrAtEnd,"-"&amp;L889,"")</f>
        <v>#N/A</v>
      </c>
      <c r="N889" s="4" t="str">
        <f t="shared" si="92"/>
        <v>-000</v>
      </c>
      <c r="O889" s="4">
        <f ca="1">IF(totalElements+COUNTIF(Entities!$C$10,"*")+COUNTIF(B889:C889,"*")+COUNTIF(E889:F889,"*")=9,1,0)</f>
        <v>0</v>
      </c>
      <c r="P889" s="4">
        <f>COUNTIF($C$6:C889,C889)</f>
        <v>0</v>
      </c>
      <c r="Q889" s="4">
        <f ca="1">IF(ISNA(M889),0,COUNTIF($M$6:M889,M889))</f>
        <v>0</v>
      </c>
      <c r="R889" s="4" t="e">
        <f t="shared" ca="1" si="91"/>
        <v>#N/A</v>
      </c>
      <c r="S889" s="4">
        <f ca="1">IF(ISNA(M889),0,COUNTIF($R$6:R889,R889))</f>
        <v>0</v>
      </c>
      <c r="T889" s="4" t="e">
        <f t="shared" ca="1" si="90"/>
        <v>#N/A</v>
      </c>
    </row>
    <row r="890" spans="2:20" x14ac:dyDescent="0.3">
      <c r="B890" s="48"/>
      <c r="C890" s="48"/>
      <c r="D890" s="10" t="str">
        <f t="shared" ca="1" si="94"/>
        <v/>
      </c>
      <c r="E890" s="48"/>
      <c r="F890" s="48"/>
      <c r="G890" s="10" t="str">
        <f t="shared" ca="1" si="93"/>
        <v/>
      </c>
      <c r="I890" s="10" t="str">
        <f t="shared" ca="1" si="95"/>
        <v/>
      </c>
      <c r="K890" s="4" t="e">
        <f t="shared" ca="1" si="89"/>
        <v>#N/A</v>
      </c>
      <c r="L890" s="4" t="e">
        <f>VLOOKUP(C890,_resources!B:D,3,0)</f>
        <v>#N/A</v>
      </c>
      <c r="M890" s="4" t="e" cm="1">
        <f t="array" aca="1" ref="M890" ca="1">IF(abbrAtEnd,"",L890&amp;"-")&amp;E890&amp;"-"&amp;INDIRECT(OFFSET(element3,MATCH($C890,resources,0)-1,0))&amp;"-"&amp;INDIRECT(OFFSET(element4,MATCH($C890,resources,0)-1,0))&amp;"-"&amp;INDIRECT(OFFSET(element5,MATCH($C890,resources,0)-1,0))&amp;IF(OFFSET(element6,MATCH($C890,resources,0)-1,0)="","","-"&amp;INDIRECT(OFFSET(element6,MATCH($C890,resources,0)-1,0)))&amp;IF(abbrAtEnd,"-"&amp;L890,"")</f>
        <v>#N/A</v>
      </c>
      <c r="N890" s="4" t="str">
        <f t="shared" si="92"/>
        <v>-000</v>
      </c>
      <c r="O890" s="4">
        <f ca="1">IF(totalElements+COUNTIF(Entities!$C$10,"*")+COUNTIF(B890:C890,"*")+COUNTIF(E890:F890,"*")=9,1,0)</f>
        <v>0</v>
      </c>
      <c r="P890" s="4">
        <f>COUNTIF($C$6:C890,C890)</f>
        <v>0</v>
      </c>
      <c r="Q890" s="4">
        <f ca="1">IF(ISNA(M890),0,COUNTIF($M$6:M890,M890))</f>
        <v>0</v>
      </c>
      <c r="R890" s="4" t="e">
        <f t="shared" ca="1" si="91"/>
        <v>#N/A</v>
      </c>
      <c r="S890" s="4">
        <f ca="1">IF(ISNA(M890),0,COUNTIF($R$6:R890,R890))</f>
        <v>0</v>
      </c>
      <c r="T890" s="4" t="e">
        <f t="shared" ca="1" si="90"/>
        <v>#N/A</v>
      </c>
    </row>
    <row r="891" spans="2:20" x14ac:dyDescent="0.3">
      <c r="B891" s="48"/>
      <c r="C891" s="48"/>
      <c r="D891" s="10" t="str">
        <f t="shared" ca="1" si="94"/>
        <v/>
      </c>
      <c r="E891" s="48"/>
      <c r="F891" s="48"/>
      <c r="G891" s="10" t="str">
        <f t="shared" ca="1" si="93"/>
        <v/>
      </c>
      <c r="I891" s="10" t="str">
        <f t="shared" ca="1" si="95"/>
        <v/>
      </c>
      <c r="K891" s="4" t="e">
        <f t="shared" ca="1" si="89"/>
        <v>#N/A</v>
      </c>
      <c r="L891" s="4" t="e">
        <f>VLOOKUP(C891,_resources!B:D,3,0)</f>
        <v>#N/A</v>
      </c>
      <c r="M891" s="4" t="e" cm="1">
        <f t="array" aca="1" ref="M891" ca="1">IF(abbrAtEnd,"",L891&amp;"-")&amp;E891&amp;"-"&amp;INDIRECT(OFFSET(element3,MATCH($C891,resources,0)-1,0))&amp;"-"&amp;INDIRECT(OFFSET(element4,MATCH($C891,resources,0)-1,0))&amp;"-"&amp;INDIRECT(OFFSET(element5,MATCH($C891,resources,0)-1,0))&amp;IF(OFFSET(element6,MATCH($C891,resources,0)-1,0)="","","-"&amp;INDIRECT(OFFSET(element6,MATCH($C891,resources,0)-1,0)))&amp;IF(abbrAtEnd,"-"&amp;L891,"")</f>
        <v>#N/A</v>
      </c>
      <c r="N891" s="4" t="str">
        <f t="shared" si="92"/>
        <v>-000</v>
      </c>
      <c r="O891" s="4">
        <f ca="1">IF(totalElements+COUNTIF(Entities!$C$10,"*")+COUNTIF(B891:C891,"*")+COUNTIF(E891:F891,"*")=9,1,0)</f>
        <v>0</v>
      </c>
      <c r="P891" s="4">
        <f>COUNTIF($C$6:C891,C891)</f>
        <v>0</v>
      </c>
      <c r="Q891" s="4">
        <f ca="1">IF(ISNA(M891),0,COUNTIF($M$6:M891,M891))</f>
        <v>0</v>
      </c>
      <c r="R891" s="4" t="e">
        <f t="shared" ca="1" si="91"/>
        <v>#N/A</v>
      </c>
      <c r="S891" s="4">
        <f ca="1">IF(ISNA(M891),0,COUNTIF($R$6:R891,R891))</f>
        <v>0</v>
      </c>
      <c r="T891" s="4" t="e">
        <f t="shared" ca="1" si="90"/>
        <v>#N/A</v>
      </c>
    </row>
    <row r="892" spans="2:20" x14ac:dyDescent="0.3">
      <c r="B892" s="48"/>
      <c r="C892" s="48"/>
      <c r="D892" s="10" t="str">
        <f t="shared" ca="1" si="94"/>
        <v/>
      </c>
      <c r="E892" s="48"/>
      <c r="F892" s="48"/>
      <c r="G892" s="10" t="str">
        <f t="shared" ca="1" si="93"/>
        <v/>
      </c>
      <c r="I892" s="10" t="str">
        <f t="shared" ca="1" si="95"/>
        <v/>
      </c>
      <c r="K892" s="4" t="e">
        <f t="shared" ca="1" si="89"/>
        <v>#N/A</v>
      </c>
      <c r="L892" s="4" t="e">
        <f>VLOOKUP(C892,_resources!B:D,3,0)</f>
        <v>#N/A</v>
      </c>
      <c r="M892" s="4" t="e" cm="1">
        <f t="array" aca="1" ref="M892" ca="1">IF(abbrAtEnd,"",L892&amp;"-")&amp;E892&amp;"-"&amp;INDIRECT(OFFSET(element3,MATCH($C892,resources,0)-1,0))&amp;"-"&amp;INDIRECT(OFFSET(element4,MATCH($C892,resources,0)-1,0))&amp;"-"&amp;INDIRECT(OFFSET(element5,MATCH($C892,resources,0)-1,0))&amp;IF(OFFSET(element6,MATCH($C892,resources,0)-1,0)="","","-"&amp;INDIRECT(OFFSET(element6,MATCH($C892,resources,0)-1,0)))&amp;IF(abbrAtEnd,"-"&amp;L892,"")</f>
        <v>#N/A</v>
      </c>
      <c r="N892" s="4" t="str">
        <f t="shared" si="92"/>
        <v>-000</v>
      </c>
      <c r="O892" s="4">
        <f ca="1">IF(totalElements+COUNTIF(Entities!$C$10,"*")+COUNTIF(B892:C892,"*")+COUNTIF(E892:F892,"*")=9,1,0)</f>
        <v>0</v>
      </c>
      <c r="P892" s="4">
        <f>COUNTIF($C$6:C892,C892)</f>
        <v>0</v>
      </c>
      <c r="Q892" s="4">
        <f ca="1">IF(ISNA(M892),0,COUNTIF($M$6:M892,M892))</f>
        <v>0</v>
      </c>
      <c r="R892" s="4" t="e">
        <f t="shared" ca="1" si="91"/>
        <v>#N/A</v>
      </c>
      <c r="S892" s="4">
        <f ca="1">IF(ISNA(M892),0,COUNTIF($R$6:R892,R892))</f>
        <v>0</v>
      </c>
      <c r="T892" s="4" t="e">
        <f t="shared" ca="1" si="90"/>
        <v>#N/A</v>
      </c>
    </row>
    <row r="893" spans="2:20" x14ac:dyDescent="0.3">
      <c r="B893" s="48"/>
      <c r="C893" s="48"/>
      <c r="D893" s="10" t="str">
        <f t="shared" ca="1" si="94"/>
        <v/>
      </c>
      <c r="E893" s="48"/>
      <c r="F893" s="48"/>
      <c r="G893" s="10" t="str">
        <f t="shared" ca="1" si="93"/>
        <v/>
      </c>
      <c r="I893" s="10" t="str">
        <f t="shared" ca="1" si="95"/>
        <v/>
      </c>
      <c r="K893" s="4" t="e">
        <f t="shared" ca="1" si="89"/>
        <v>#N/A</v>
      </c>
      <c r="L893" s="4" t="e">
        <f>VLOOKUP(C893,_resources!B:D,3,0)</f>
        <v>#N/A</v>
      </c>
      <c r="M893" s="4" t="e" cm="1">
        <f t="array" aca="1" ref="M893" ca="1">IF(abbrAtEnd,"",L893&amp;"-")&amp;E893&amp;"-"&amp;INDIRECT(OFFSET(element3,MATCH($C893,resources,0)-1,0))&amp;"-"&amp;INDIRECT(OFFSET(element4,MATCH($C893,resources,0)-1,0))&amp;"-"&amp;INDIRECT(OFFSET(element5,MATCH($C893,resources,0)-1,0))&amp;IF(OFFSET(element6,MATCH($C893,resources,0)-1,0)="","","-"&amp;INDIRECT(OFFSET(element6,MATCH($C893,resources,0)-1,0)))&amp;IF(abbrAtEnd,"-"&amp;L893,"")</f>
        <v>#N/A</v>
      </c>
      <c r="N893" s="4" t="str">
        <f t="shared" si="92"/>
        <v>-000</v>
      </c>
      <c r="O893" s="4">
        <f ca="1">IF(totalElements+COUNTIF(Entities!$C$10,"*")+COUNTIF(B893:C893,"*")+COUNTIF(E893:F893,"*")=9,1,0)</f>
        <v>0</v>
      </c>
      <c r="P893" s="4">
        <f>COUNTIF($C$6:C893,C893)</f>
        <v>0</v>
      </c>
      <c r="Q893" s="4">
        <f ca="1">IF(ISNA(M893),0,COUNTIF($M$6:M893,M893))</f>
        <v>0</v>
      </c>
      <c r="R893" s="4" t="e">
        <f t="shared" ca="1" si="91"/>
        <v>#N/A</v>
      </c>
      <c r="S893" s="4">
        <f ca="1">IF(ISNA(M893),0,COUNTIF($R$6:R893,R893))</f>
        <v>0</v>
      </c>
      <c r="T893" s="4" t="e">
        <f t="shared" ca="1" si="90"/>
        <v>#N/A</v>
      </c>
    </row>
    <row r="894" spans="2:20" x14ac:dyDescent="0.3">
      <c r="B894" s="48"/>
      <c r="C894" s="48"/>
      <c r="D894" s="10" t="str">
        <f t="shared" ca="1" si="94"/>
        <v/>
      </c>
      <c r="E894" s="48"/>
      <c r="F894" s="48"/>
      <c r="G894" s="10" t="str">
        <f t="shared" ca="1" si="93"/>
        <v/>
      </c>
      <c r="I894" s="10" t="str">
        <f t="shared" ca="1" si="95"/>
        <v/>
      </c>
      <c r="K894" s="4" t="e">
        <f t="shared" ca="1" si="89"/>
        <v>#N/A</v>
      </c>
      <c r="L894" s="4" t="e">
        <f>VLOOKUP(C894,_resources!B:D,3,0)</f>
        <v>#N/A</v>
      </c>
      <c r="M894" s="4" t="e" cm="1">
        <f t="array" aca="1" ref="M894" ca="1">IF(abbrAtEnd,"",L894&amp;"-")&amp;E894&amp;"-"&amp;INDIRECT(OFFSET(element3,MATCH($C894,resources,0)-1,0))&amp;"-"&amp;INDIRECT(OFFSET(element4,MATCH($C894,resources,0)-1,0))&amp;"-"&amp;INDIRECT(OFFSET(element5,MATCH($C894,resources,0)-1,0))&amp;IF(OFFSET(element6,MATCH($C894,resources,0)-1,0)="","","-"&amp;INDIRECT(OFFSET(element6,MATCH($C894,resources,0)-1,0)))&amp;IF(abbrAtEnd,"-"&amp;L894,"")</f>
        <v>#N/A</v>
      </c>
      <c r="N894" s="4" t="str">
        <f t="shared" si="92"/>
        <v>-000</v>
      </c>
      <c r="O894" s="4">
        <f ca="1">IF(totalElements+COUNTIF(Entities!$C$10,"*")+COUNTIF(B894:C894,"*")+COUNTIF(E894:F894,"*")=9,1,0)</f>
        <v>0</v>
      </c>
      <c r="P894" s="4">
        <f>COUNTIF($C$6:C894,C894)</f>
        <v>0</v>
      </c>
      <c r="Q894" s="4">
        <f ca="1">IF(ISNA(M894),0,COUNTIF($M$6:M894,M894))</f>
        <v>0</v>
      </c>
      <c r="R894" s="4" t="e">
        <f t="shared" ca="1" si="91"/>
        <v>#N/A</v>
      </c>
      <c r="S894" s="4">
        <f ca="1">IF(ISNA(M894),0,COUNTIF($R$6:R894,R894))</f>
        <v>0</v>
      </c>
      <c r="T894" s="4" t="e">
        <f t="shared" ca="1" si="90"/>
        <v>#N/A</v>
      </c>
    </row>
    <row r="895" spans="2:20" x14ac:dyDescent="0.3">
      <c r="B895" s="48"/>
      <c r="C895" s="48"/>
      <c r="D895" s="10" t="str">
        <f t="shared" ca="1" si="94"/>
        <v/>
      </c>
      <c r="E895" s="48"/>
      <c r="F895" s="48"/>
      <c r="G895" s="10" t="str">
        <f t="shared" ca="1" si="93"/>
        <v/>
      </c>
      <c r="I895" s="10" t="str">
        <f t="shared" ca="1" si="95"/>
        <v/>
      </c>
      <c r="K895" s="4" t="e">
        <f t="shared" ca="1" si="89"/>
        <v>#N/A</v>
      </c>
      <c r="L895" s="4" t="e">
        <f>VLOOKUP(C895,_resources!B:D,3,0)</f>
        <v>#N/A</v>
      </c>
      <c r="M895" s="4" t="e" cm="1">
        <f t="array" aca="1" ref="M895" ca="1">IF(abbrAtEnd,"",L895&amp;"-")&amp;E895&amp;"-"&amp;INDIRECT(OFFSET(element3,MATCH($C895,resources,0)-1,0))&amp;"-"&amp;INDIRECT(OFFSET(element4,MATCH($C895,resources,0)-1,0))&amp;"-"&amp;INDIRECT(OFFSET(element5,MATCH($C895,resources,0)-1,0))&amp;IF(OFFSET(element6,MATCH($C895,resources,0)-1,0)="","","-"&amp;INDIRECT(OFFSET(element6,MATCH($C895,resources,0)-1,0)))&amp;IF(abbrAtEnd,"-"&amp;L895,"")</f>
        <v>#N/A</v>
      </c>
      <c r="N895" s="4" t="str">
        <f t="shared" si="92"/>
        <v>-000</v>
      </c>
      <c r="O895" s="4">
        <f ca="1">IF(totalElements+COUNTIF(Entities!$C$10,"*")+COUNTIF(B895:C895,"*")+COUNTIF(E895:F895,"*")=9,1,0)</f>
        <v>0</v>
      </c>
      <c r="P895" s="4">
        <f>COUNTIF($C$6:C895,C895)</f>
        <v>0</v>
      </c>
      <c r="Q895" s="4">
        <f ca="1">IF(ISNA(M895),0,COUNTIF($M$6:M895,M895))</f>
        <v>0</v>
      </c>
      <c r="R895" s="4" t="e">
        <f t="shared" ca="1" si="91"/>
        <v>#N/A</v>
      </c>
      <c r="S895" s="4">
        <f ca="1">IF(ISNA(M895),0,COUNTIF($R$6:R895,R895))</f>
        <v>0</v>
      </c>
      <c r="T895" s="4" t="e">
        <f t="shared" ca="1" si="90"/>
        <v>#N/A</v>
      </c>
    </row>
    <row r="896" spans="2:20" x14ac:dyDescent="0.3">
      <c r="B896" s="48"/>
      <c r="C896" s="48"/>
      <c r="D896" s="10" t="str">
        <f t="shared" ca="1" si="94"/>
        <v/>
      </c>
      <c r="E896" s="48"/>
      <c r="F896" s="48"/>
      <c r="G896" s="10" t="str">
        <f t="shared" ca="1" si="93"/>
        <v/>
      </c>
      <c r="I896" s="10" t="str">
        <f t="shared" ca="1" si="95"/>
        <v/>
      </c>
      <c r="K896" s="4" t="e">
        <f t="shared" ca="1" si="89"/>
        <v>#N/A</v>
      </c>
      <c r="L896" s="4" t="e">
        <f>VLOOKUP(C896,_resources!B:D,3,0)</f>
        <v>#N/A</v>
      </c>
      <c r="M896" s="4" t="e" cm="1">
        <f t="array" aca="1" ref="M896" ca="1">IF(abbrAtEnd,"",L896&amp;"-")&amp;E896&amp;"-"&amp;INDIRECT(OFFSET(element3,MATCH($C896,resources,0)-1,0))&amp;"-"&amp;INDIRECT(OFFSET(element4,MATCH($C896,resources,0)-1,0))&amp;"-"&amp;INDIRECT(OFFSET(element5,MATCH($C896,resources,0)-1,0))&amp;IF(OFFSET(element6,MATCH($C896,resources,0)-1,0)="","","-"&amp;INDIRECT(OFFSET(element6,MATCH($C896,resources,0)-1,0)))&amp;IF(abbrAtEnd,"-"&amp;L896,"")</f>
        <v>#N/A</v>
      </c>
      <c r="N896" s="4" t="str">
        <f t="shared" si="92"/>
        <v>-000</v>
      </c>
      <c r="O896" s="4">
        <f ca="1">IF(totalElements+COUNTIF(Entities!$C$10,"*")+COUNTIF(B896:C896,"*")+COUNTIF(E896:F896,"*")=9,1,0)</f>
        <v>0</v>
      </c>
      <c r="P896" s="4">
        <f>COUNTIF($C$6:C896,C896)</f>
        <v>0</v>
      </c>
      <c r="Q896" s="4">
        <f ca="1">IF(ISNA(M896),0,COUNTIF($M$6:M896,M896))</f>
        <v>0</v>
      </c>
      <c r="R896" s="4" t="e">
        <f t="shared" ca="1" si="91"/>
        <v>#N/A</v>
      </c>
      <c r="S896" s="4">
        <f ca="1">IF(ISNA(M896),0,COUNTIF($R$6:R896,R896))</f>
        <v>0</v>
      </c>
      <c r="T896" s="4" t="e">
        <f t="shared" ca="1" si="90"/>
        <v>#N/A</v>
      </c>
    </row>
    <row r="897" spans="2:20" x14ac:dyDescent="0.3">
      <c r="B897" s="48"/>
      <c r="C897" s="48"/>
      <c r="D897" s="10" t="str">
        <f t="shared" ca="1" si="94"/>
        <v/>
      </c>
      <c r="E897" s="48"/>
      <c r="F897" s="48"/>
      <c r="G897" s="10" t="str">
        <f t="shared" ca="1" si="93"/>
        <v/>
      </c>
      <c r="I897" s="10" t="str">
        <f t="shared" ca="1" si="95"/>
        <v/>
      </c>
      <c r="K897" s="4" t="e">
        <f t="shared" ca="1" si="89"/>
        <v>#N/A</v>
      </c>
      <c r="L897" s="4" t="e">
        <f>VLOOKUP(C897,_resources!B:D,3,0)</f>
        <v>#N/A</v>
      </c>
      <c r="M897" s="4" t="e" cm="1">
        <f t="array" aca="1" ref="M897" ca="1">IF(abbrAtEnd,"",L897&amp;"-")&amp;E897&amp;"-"&amp;INDIRECT(OFFSET(element3,MATCH($C897,resources,0)-1,0))&amp;"-"&amp;INDIRECT(OFFSET(element4,MATCH($C897,resources,0)-1,0))&amp;"-"&amp;INDIRECT(OFFSET(element5,MATCH($C897,resources,0)-1,0))&amp;IF(OFFSET(element6,MATCH($C897,resources,0)-1,0)="","","-"&amp;INDIRECT(OFFSET(element6,MATCH($C897,resources,0)-1,0)))&amp;IF(abbrAtEnd,"-"&amp;L897,"")</f>
        <v>#N/A</v>
      </c>
      <c r="N897" s="4" t="str">
        <f t="shared" si="92"/>
        <v>-000</v>
      </c>
      <c r="O897" s="4">
        <f ca="1">IF(totalElements+COUNTIF(Entities!$C$10,"*")+COUNTIF(B897:C897,"*")+COUNTIF(E897:F897,"*")=9,1,0)</f>
        <v>0</v>
      </c>
      <c r="P897" s="4">
        <f>COUNTIF($C$6:C897,C897)</f>
        <v>0</v>
      </c>
      <c r="Q897" s="4">
        <f ca="1">IF(ISNA(M897),0,COUNTIF($M$6:M897,M897))</f>
        <v>0</v>
      </c>
      <c r="R897" s="4" t="e">
        <f t="shared" ca="1" si="91"/>
        <v>#N/A</v>
      </c>
      <c r="S897" s="4">
        <f ca="1">IF(ISNA(M897),0,COUNTIF($R$6:R897,R897))</f>
        <v>0</v>
      </c>
      <c r="T897" s="4" t="e">
        <f t="shared" ca="1" si="90"/>
        <v>#N/A</v>
      </c>
    </row>
    <row r="898" spans="2:20" x14ac:dyDescent="0.3">
      <c r="B898" s="48"/>
      <c r="C898" s="48"/>
      <c r="D898" s="10" t="str">
        <f t="shared" ca="1" si="94"/>
        <v/>
      </c>
      <c r="E898" s="48"/>
      <c r="F898" s="48"/>
      <c r="G898" s="10" t="str">
        <f t="shared" ca="1" si="93"/>
        <v/>
      </c>
      <c r="I898" s="10" t="str">
        <f t="shared" ca="1" si="95"/>
        <v/>
      </c>
      <c r="K898" s="4" t="e">
        <f t="shared" ca="1" si="89"/>
        <v>#N/A</v>
      </c>
      <c r="L898" s="4" t="e">
        <f>VLOOKUP(C898,_resources!B:D,3,0)</f>
        <v>#N/A</v>
      </c>
      <c r="M898" s="4" t="e" cm="1">
        <f t="array" aca="1" ref="M898" ca="1">IF(abbrAtEnd,"",L898&amp;"-")&amp;E898&amp;"-"&amp;INDIRECT(OFFSET(element3,MATCH($C898,resources,0)-1,0))&amp;"-"&amp;INDIRECT(OFFSET(element4,MATCH($C898,resources,0)-1,0))&amp;"-"&amp;INDIRECT(OFFSET(element5,MATCH($C898,resources,0)-1,0))&amp;IF(OFFSET(element6,MATCH($C898,resources,0)-1,0)="","","-"&amp;INDIRECT(OFFSET(element6,MATCH($C898,resources,0)-1,0)))&amp;IF(abbrAtEnd,"-"&amp;L898,"")</f>
        <v>#N/A</v>
      </c>
      <c r="N898" s="4" t="str">
        <f t="shared" si="92"/>
        <v>-000</v>
      </c>
      <c r="O898" s="4">
        <f ca="1">IF(totalElements+COUNTIF(Entities!$C$10,"*")+COUNTIF(B898:C898,"*")+COUNTIF(E898:F898,"*")=9,1,0)</f>
        <v>0</v>
      </c>
      <c r="P898" s="4">
        <f>COUNTIF($C$6:C898,C898)</f>
        <v>0</v>
      </c>
      <c r="Q898" s="4">
        <f ca="1">IF(ISNA(M898),0,COUNTIF($M$6:M898,M898))</f>
        <v>0</v>
      </c>
      <c r="R898" s="4" t="e">
        <f t="shared" ca="1" si="91"/>
        <v>#N/A</v>
      </c>
      <c r="S898" s="4">
        <f ca="1">IF(ISNA(M898),0,COUNTIF($R$6:R898,R898))</f>
        <v>0</v>
      </c>
      <c r="T898" s="4" t="e">
        <f t="shared" ca="1" si="90"/>
        <v>#N/A</v>
      </c>
    </row>
    <row r="899" spans="2:20" x14ac:dyDescent="0.3">
      <c r="B899" s="48"/>
      <c r="C899" s="48"/>
      <c r="D899" s="10" t="str">
        <f t="shared" ca="1" si="94"/>
        <v/>
      </c>
      <c r="E899" s="48"/>
      <c r="F899" s="48"/>
      <c r="G899" s="10" t="str">
        <f t="shared" ca="1" si="93"/>
        <v/>
      </c>
      <c r="I899" s="10" t="str">
        <f t="shared" ca="1" si="95"/>
        <v/>
      </c>
      <c r="K899" s="4" t="e">
        <f t="shared" ca="1" si="89"/>
        <v>#N/A</v>
      </c>
      <c r="L899" s="4" t="e">
        <f>VLOOKUP(C899,_resources!B:D,3,0)</f>
        <v>#N/A</v>
      </c>
      <c r="M899" s="4" t="e" cm="1">
        <f t="array" aca="1" ref="M899" ca="1">IF(abbrAtEnd,"",L899&amp;"-")&amp;E899&amp;"-"&amp;INDIRECT(OFFSET(element3,MATCH($C899,resources,0)-1,0))&amp;"-"&amp;INDIRECT(OFFSET(element4,MATCH($C899,resources,0)-1,0))&amp;"-"&amp;INDIRECT(OFFSET(element5,MATCH($C899,resources,0)-1,0))&amp;IF(OFFSET(element6,MATCH($C899,resources,0)-1,0)="","","-"&amp;INDIRECT(OFFSET(element6,MATCH($C899,resources,0)-1,0)))&amp;IF(abbrAtEnd,"-"&amp;L899,"")</f>
        <v>#N/A</v>
      </c>
      <c r="N899" s="4" t="str">
        <f t="shared" si="92"/>
        <v>-000</v>
      </c>
      <c r="O899" s="4">
        <f ca="1">IF(totalElements+COUNTIF(Entities!$C$10,"*")+COUNTIF(B899:C899,"*")+COUNTIF(E899:F899,"*")=9,1,0)</f>
        <v>0</v>
      </c>
      <c r="P899" s="4">
        <f>COUNTIF($C$6:C899,C899)</f>
        <v>0</v>
      </c>
      <c r="Q899" s="4">
        <f ca="1">IF(ISNA(M899),0,COUNTIF($M$6:M899,M899))</f>
        <v>0</v>
      </c>
      <c r="R899" s="4" t="e">
        <f t="shared" ca="1" si="91"/>
        <v>#N/A</v>
      </c>
      <c r="S899" s="4">
        <f ca="1">IF(ISNA(M899),0,COUNTIF($R$6:R899,R899))</f>
        <v>0</v>
      </c>
      <c r="T899" s="4" t="e">
        <f t="shared" ca="1" si="90"/>
        <v>#N/A</v>
      </c>
    </row>
    <row r="900" spans="2:20" x14ac:dyDescent="0.3">
      <c r="B900" s="48"/>
      <c r="C900" s="48"/>
      <c r="D900" s="10" t="str">
        <f t="shared" ca="1" si="94"/>
        <v/>
      </c>
      <c r="E900" s="48"/>
      <c r="F900" s="48"/>
      <c r="G900" s="10" t="str">
        <f t="shared" ca="1" si="93"/>
        <v/>
      </c>
      <c r="I900" s="10" t="str">
        <f t="shared" ca="1" si="95"/>
        <v/>
      </c>
      <c r="K900" s="4" t="e">
        <f t="shared" ca="1" si="89"/>
        <v>#N/A</v>
      </c>
      <c r="L900" s="4" t="e">
        <f>VLOOKUP(C900,_resources!B:D,3,0)</f>
        <v>#N/A</v>
      </c>
      <c r="M900" s="4" t="e" cm="1">
        <f t="array" aca="1" ref="M900" ca="1">IF(abbrAtEnd,"",L900&amp;"-")&amp;E900&amp;"-"&amp;INDIRECT(OFFSET(element3,MATCH($C900,resources,0)-1,0))&amp;"-"&amp;INDIRECT(OFFSET(element4,MATCH($C900,resources,0)-1,0))&amp;"-"&amp;INDIRECT(OFFSET(element5,MATCH($C900,resources,0)-1,0))&amp;IF(OFFSET(element6,MATCH($C900,resources,0)-1,0)="","","-"&amp;INDIRECT(OFFSET(element6,MATCH($C900,resources,0)-1,0)))&amp;IF(abbrAtEnd,"-"&amp;L900,"")</f>
        <v>#N/A</v>
      </c>
      <c r="N900" s="4" t="str">
        <f t="shared" si="92"/>
        <v>-000</v>
      </c>
      <c r="O900" s="4">
        <f ca="1">IF(totalElements+COUNTIF(Entities!$C$10,"*")+COUNTIF(B900:C900,"*")+COUNTIF(E900:F900,"*")=9,1,0)</f>
        <v>0</v>
      </c>
      <c r="P900" s="4">
        <f>COUNTIF($C$6:C900,C900)</f>
        <v>0</v>
      </c>
      <c r="Q900" s="4">
        <f ca="1">IF(ISNA(M900),0,COUNTIF($M$6:M900,M900))</f>
        <v>0</v>
      </c>
      <c r="R900" s="4" t="e">
        <f t="shared" ca="1" si="91"/>
        <v>#N/A</v>
      </c>
      <c r="S900" s="4">
        <f ca="1">IF(ISNA(M900),0,COUNTIF($R$6:R900,R900))</f>
        <v>0</v>
      </c>
      <c r="T900" s="4" t="e">
        <f t="shared" ca="1" si="90"/>
        <v>#N/A</v>
      </c>
    </row>
    <row r="901" spans="2:20" x14ac:dyDescent="0.3">
      <c r="B901" s="48"/>
      <c r="C901" s="48"/>
      <c r="D901" s="10" t="str">
        <f t="shared" ca="1" si="94"/>
        <v/>
      </c>
      <c r="E901" s="48"/>
      <c r="F901" s="48"/>
      <c r="G901" s="10" t="str">
        <f t="shared" ca="1" si="93"/>
        <v/>
      </c>
      <c r="I901" s="10" t="str">
        <f t="shared" ca="1" si="95"/>
        <v/>
      </c>
      <c r="K901" s="4" t="e">
        <f t="shared" ca="1" si="89"/>
        <v>#N/A</v>
      </c>
      <c r="L901" s="4" t="e">
        <f>VLOOKUP(C901,_resources!B:D,3,0)</f>
        <v>#N/A</v>
      </c>
      <c r="M901" s="4" t="e" cm="1">
        <f t="array" aca="1" ref="M901" ca="1">IF(abbrAtEnd,"",L901&amp;"-")&amp;E901&amp;"-"&amp;INDIRECT(OFFSET(element3,MATCH($C901,resources,0)-1,0))&amp;"-"&amp;INDIRECT(OFFSET(element4,MATCH($C901,resources,0)-1,0))&amp;"-"&amp;INDIRECT(OFFSET(element5,MATCH($C901,resources,0)-1,0))&amp;IF(OFFSET(element6,MATCH($C901,resources,0)-1,0)="","","-"&amp;INDIRECT(OFFSET(element6,MATCH($C901,resources,0)-1,0)))&amp;IF(abbrAtEnd,"-"&amp;L901,"")</f>
        <v>#N/A</v>
      </c>
      <c r="N901" s="4" t="str">
        <f t="shared" si="92"/>
        <v>-000</v>
      </c>
      <c r="O901" s="4">
        <f ca="1">IF(totalElements+COUNTIF(Entities!$C$10,"*")+COUNTIF(B901:C901,"*")+COUNTIF(E901:F901,"*")=9,1,0)</f>
        <v>0</v>
      </c>
      <c r="P901" s="4">
        <f>COUNTIF($C$6:C901,C901)</f>
        <v>0</v>
      </c>
      <c r="Q901" s="4">
        <f ca="1">IF(ISNA(M901),0,COUNTIF($M$6:M901,M901))</f>
        <v>0</v>
      </c>
      <c r="R901" s="4" t="e">
        <f t="shared" ca="1" si="91"/>
        <v>#N/A</v>
      </c>
      <c r="S901" s="4">
        <f ca="1">IF(ISNA(M901),0,COUNTIF($R$6:R901,R901))</f>
        <v>0</v>
      </c>
      <c r="T901" s="4" t="e">
        <f t="shared" ca="1" si="90"/>
        <v>#N/A</v>
      </c>
    </row>
    <row r="902" spans="2:20" x14ac:dyDescent="0.3">
      <c r="B902" s="48"/>
      <c r="C902" s="48"/>
      <c r="D902" s="10" t="str">
        <f t="shared" ca="1" si="94"/>
        <v/>
      </c>
      <c r="E902" s="48"/>
      <c r="F902" s="48"/>
      <c r="G902" s="10" t="str">
        <f t="shared" ca="1" si="93"/>
        <v/>
      </c>
      <c r="I902" s="10" t="str">
        <f t="shared" ca="1" si="95"/>
        <v/>
      </c>
      <c r="K902" s="4" t="e">
        <f t="shared" ref="K902:K965" ca="1" si="96">OFFSET(structure,MATCH($C902,resources,0)-1,0)</f>
        <v>#N/A</v>
      </c>
      <c r="L902" s="4" t="e">
        <f>VLOOKUP(C902,_resources!B:D,3,0)</f>
        <v>#N/A</v>
      </c>
      <c r="M902" s="4" t="e" cm="1">
        <f t="array" aca="1" ref="M902" ca="1">IF(abbrAtEnd,"",L902&amp;"-")&amp;E902&amp;"-"&amp;INDIRECT(OFFSET(element3,MATCH($C902,resources,0)-1,0))&amp;"-"&amp;INDIRECT(OFFSET(element4,MATCH($C902,resources,0)-1,0))&amp;"-"&amp;INDIRECT(OFFSET(element5,MATCH($C902,resources,0)-1,0))&amp;IF(OFFSET(element6,MATCH($C902,resources,0)-1,0)="","","-"&amp;INDIRECT(OFFSET(element6,MATCH($C902,resources,0)-1,0)))&amp;IF(abbrAtEnd,"-"&amp;L902,"")</f>
        <v>#N/A</v>
      </c>
      <c r="N902" s="4" t="str">
        <f t="shared" si="92"/>
        <v>-000</v>
      </c>
      <c r="O902" s="4">
        <f ca="1">IF(totalElements+COUNTIF(Entities!$C$10,"*")+COUNTIF(B902:C902,"*")+COUNTIF(E902:F902,"*")=9,1,0)</f>
        <v>0</v>
      </c>
      <c r="P902" s="4">
        <f>COUNTIF($C$6:C902,C902)</f>
        <v>0</v>
      </c>
      <c r="Q902" s="4">
        <f ca="1">IF(ISNA(M902),0,COUNTIF($M$6:M902,M902))</f>
        <v>0</v>
      </c>
      <c r="R902" s="4" t="e">
        <f t="shared" ca="1" si="91"/>
        <v>#N/A</v>
      </c>
      <c r="S902" s="4">
        <f ca="1">IF(ISNA(M902),0,COUNTIF($R$6:R902,R902))</f>
        <v>0</v>
      </c>
      <c r="T902" s="4" t="e">
        <f t="shared" ref="T902:T965" ca="1" si="97">OFFSET(maxLength,MATCH($C902,resources,0)-1,0)</f>
        <v>#N/A</v>
      </c>
    </row>
    <row r="903" spans="2:20" x14ac:dyDescent="0.3">
      <c r="B903" s="48"/>
      <c r="C903" s="48"/>
      <c r="D903" s="10" t="str">
        <f t="shared" ca="1" si="94"/>
        <v/>
      </c>
      <c r="E903" s="48"/>
      <c r="F903" s="48"/>
      <c r="G903" s="10" t="str">
        <f t="shared" ca="1" si="93"/>
        <v/>
      </c>
      <c r="I903" s="10" t="str">
        <f t="shared" ca="1" si="95"/>
        <v/>
      </c>
      <c r="K903" s="4" t="e">
        <f t="shared" ca="1" si="96"/>
        <v>#N/A</v>
      </c>
      <c r="L903" s="4" t="e">
        <f>VLOOKUP(C903,_resources!B:D,3,0)</f>
        <v>#N/A</v>
      </c>
      <c r="M903" s="4" t="e" cm="1">
        <f t="array" aca="1" ref="M903" ca="1">IF(abbrAtEnd,"",L903&amp;"-")&amp;E903&amp;"-"&amp;INDIRECT(OFFSET(element3,MATCH($C903,resources,0)-1,0))&amp;"-"&amp;INDIRECT(OFFSET(element4,MATCH($C903,resources,0)-1,0))&amp;"-"&amp;INDIRECT(OFFSET(element5,MATCH($C903,resources,0)-1,0))&amp;IF(OFFSET(element6,MATCH($C903,resources,0)-1,0)="","","-"&amp;INDIRECT(OFFSET(element6,MATCH($C903,resources,0)-1,0)))&amp;IF(abbrAtEnd,"-"&amp;L903,"")</f>
        <v>#N/A</v>
      </c>
      <c r="N903" s="4" t="str">
        <f t="shared" si="92"/>
        <v>-000</v>
      </c>
      <c r="O903" s="4">
        <f ca="1">IF(totalElements+COUNTIF(Entities!$C$10,"*")+COUNTIF(B903:C903,"*")+COUNTIF(E903:F903,"*")=9,1,0)</f>
        <v>0</v>
      </c>
      <c r="P903" s="4">
        <f>COUNTIF($C$6:C903,C903)</f>
        <v>0</v>
      </c>
      <c r="Q903" s="4">
        <f ca="1">IF(ISNA(M903),0,COUNTIF($M$6:M903,M903))</f>
        <v>0</v>
      </c>
      <c r="R903" s="4" t="e">
        <f t="shared" ref="R903:R966" ca="1" si="98">F903&amp;"__"&amp;M903</f>
        <v>#N/A</v>
      </c>
      <c r="S903" s="4">
        <f ca="1">IF(ISNA(M903),0,COUNTIF($R$6:R903,R903))</f>
        <v>0</v>
      </c>
      <c r="T903" s="4" t="e">
        <f t="shared" ca="1" si="97"/>
        <v>#N/A</v>
      </c>
    </row>
    <row r="904" spans="2:20" x14ac:dyDescent="0.3">
      <c r="B904" s="48"/>
      <c r="C904" s="48"/>
      <c r="D904" s="10" t="str">
        <f t="shared" ca="1" si="94"/>
        <v/>
      </c>
      <c r="E904" s="48"/>
      <c r="F904" s="48"/>
      <c r="G904" s="10" t="str">
        <f t="shared" ca="1" si="93"/>
        <v/>
      </c>
      <c r="I904" s="10" t="str">
        <f t="shared" ca="1" si="95"/>
        <v/>
      </c>
      <c r="K904" s="4" t="e">
        <f t="shared" ca="1" si="96"/>
        <v>#N/A</v>
      </c>
      <c r="L904" s="4" t="e">
        <f>VLOOKUP(C904,_resources!B:D,3,0)</f>
        <v>#N/A</v>
      </c>
      <c r="M904" s="4" t="e" cm="1">
        <f t="array" aca="1" ref="M904" ca="1">IF(abbrAtEnd,"",L904&amp;"-")&amp;E904&amp;"-"&amp;INDIRECT(OFFSET(element3,MATCH($C904,resources,0)-1,0))&amp;"-"&amp;INDIRECT(OFFSET(element4,MATCH($C904,resources,0)-1,0))&amp;"-"&amp;INDIRECT(OFFSET(element5,MATCH($C904,resources,0)-1,0))&amp;IF(OFFSET(element6,MATCH($C904,resources,0)-1,0)="","","-"&amp;INDIRECT(OFFSET(element6,MATCH($C904,resources,0)-1,0)))&amp;IF(abbrAtEnd,"-"&amp;L904,"")</f>
        <v>#N/A</v>
      </c>
      <c r="N904" s="4" t="str">
        <f t="shared" si="92"/>
        <v>-000</v>
      </c>
      <c r="O904" s="4">
        <f ca="1">IF(totalElements+COUNTIF(Entities!$C$10,"*")+COUNTIF(B904:C904,"*")+COUNTIF(E904:F904,"*")=9,1,0)</f>
        <v>0</v>
      </c>
      <c r="P904" s="4">
        <f>COUNTIF($C$6:C904,C904)</f>
        <v>0</v>
      </c>
      <c r="Q904" s="4">
        <f ca="1">IF(ISNA(M904),0,COUNTIF($M$6:M904,M904))</f>
        <v>0</v>
      </c>
      <c r="R904" s="4" t="e">
        <f t="shared" ca="1" si="98"/>
        <v>#N/A</v>
      </c>
      <c r="S904" s="4">
        <f ca="1">IF(ISNA(M904),0,COUNTIF($R$6:R904,R904))</f>
        <v>0</v>
      </c>
      <c r="T904" s="4" t="e">
        <f t="shared" ca="1" si="97"/>
        <v>#N/A</v>
      </c>
    </row>
    <row r="905" spans="2:20" x14ac:dyDescent="0.3">
      <c r="B905" s="48"/>
      <c r="C905" s="48"/>
      <c r="D905" s="10" t="str">
        <f t="shared" ca="1" si="94"/>
        <v/>
      </c>
      <c r="E905" s="48"/>
      <c r="F905" s="48"/>
      <c r="G905" s="10" t="str">
        <f t="shared" ca="1" si="93"/>
        <v/>
      </c>
      <c r="I905" s="10" t="str">
        <f t="shared" ca="1" si="95"/>
        <v/>
      </c>
      <c r="K905" s="4" t="e">
        <f t="shared" ca="1" si="96"/>
        <v>#N/A</v>
      </c>
      <c r="L905" s="4" t="e">
        <f>VLOOKUP(C905,_resources!B:D,3,0)</f>
        <v>#N/A</v>
      </c>
      <c r="M905" s="4" t="e" cm="1">
        <f t="array" aca="1" ref="M905" ca="1">IF(abbrAtEnd,"",L905&amp;"-")&amp;E905&amp;"-"&amp;INDIRECT(OFFSET(element3,MATCH($C905,resources,0)-1,0))&amp;"-"&amp;INDIRECT(OFFSET(element4,MATCH($C905,resources,0)-1,0))&amp;"-"&amp;INDIRECT(OFFSET(element5,MATCH($C905,resources,0)-1,0))&amp;IF(OFFSET(element6,MATCH($C905,resources,0)-1,0)="","","-"&amp;INDIRECT(OFFSET(element6,MATCH($C905,resources,0)-1,0)))&amp;IF(abbrAtEnd,"-"&amp;L905,"")</f>
        <v>#N/A</v>
      </c>
      <c r="N905" s="4" t="str">
        <f t="shared" si="92"/>
        <v>-000</v>
      </c>
      <c r="O905" s="4">
        <f ca="1">IF(totalElements+COUNTIF(Entities!$C$10,"*")+COUNTIF(B905:C905,"*")+COUNTIF(E905:F905,"*")=9,1,0)</f>
        <v>0</v>
      </c>
      <c r="P905" s="4">
        <f>COUNTIF($C$6:C905,C905)</f>
        <v>0</v>
      </c>
      <c r="Q905" s="4">
        <f ca="1">IF(ISNA(M905),0,COUNTIF($M$6:M905,M905))</f>
        <v>0</v>
      </c>
      <c r="R905" s="4" t="e">
        <f t="shared" ca="1" si="98"/>
        <v>#N/A</v>
      </c>
      <c r="S905" s="4">
        <f ca="1">IF(ISNA(M905),0,COUNTIF($R$6:R905,R905))</f>
        <v>0</v>
      </c>
      <c r="T905" s="4" t="e">
        <f t="shared" ca="1" si="97"/>
        <v>#N/A</v>
      </c>
    </row>
    <row r="906" spans="2:20" x14ac:dyDescent="0.3">
      <c r="B906" s="48"/>
      <c r="C906" s="48"/>
      <c r="D906" s="10" t="str">
        <f t="shared" ca="1" si="94"/>
        <v/>
      </c>
      <c r="E906" s="48"/>
      <c r="F906" s="48"/>
      <c r="G906" s="10" t="str">
        <f t="shared" ca="1" si="93"/>
        <v/>
      </c>
      <c r="I906" s="10" t="str">
        <f t="shared" ca="1" si="95"/>
        <v/>
      </c>
      <c r="K906" s="4" t="e">
        <f t="shared" ca="1" si="96"/>
        <v>#N/A</v>
      </c>
      <c r="L906" s="4" t="e">
        <f>VLOOKUP(C906,_resources!B:D,3,0)</f>
        <v>#N/A</v>
      </c>
      <c r="M906" s="4" t="e" cm="1">
        <f t="array" aca="1" ref="M906" ca="1">IF(abbrAtEnd,"",L906&amp;"-")&amp;E906&amp;"-"&amp;INDIRECT(OFFSET(element3,MATCH($C906,resources,0)-1,0))&amp;"-"&amp;INDIRECT(OFFSET(element4,MATCH($C906,resources,0)-1,0))&amp;"-"&amp;INDIRECT(OFFSET(element5,MATCH($C906,resources,0)-1,0))&amp;IF(OFFSET(element6,MATCH($C906,resources,0)-1,0)="","","-"&amp;INDIRECT(OFFSET(element6,MATCH($C906,resources,0)-1,0)))&amp;IF(abbrAtEnd,"-"&amp;L906,"")</f>
        <v>#N/A</v>
      </c>
      <c r="N906" s="4" t="str">
        <f t="shared" si="92"/>
        <v>-000</v>
      </c>
      <c r="O906" s="4">
        <f ca="1">IF(totalElements+COUNTIF(Entities!$C$10,"*")+COUNTIF(B906:C906,"*")+COUNTIF(E906:F906,"*")=9,1,0)</f>
        <v>0</v>
      </c>
      <c r="P906" s="4">
        <f>COUNTIF($C$6:C906,C906)</f>
        <v>0</v>
      </c>
      <c r="Q906" s="4">
        <f ca="1">IF(ISNA(M906),0,COUNTIF($M$6:M906,M906))</f>
        <v>0</v>
      </c>
      <c r="R906" s="4" t="e">
        <f t="shared" ca="1" si="98"/>
        <v>#N/A</v>
      </c>
      <c r="S906" s="4">
        <f ca="1">IF(ISNA(M906),0,COUNTIF($R$6:R906,R906))</f>
        <v>0</v>
      </c>
      <c r="T906" s="4" t="e">
        <f t="shared" ca="1" si="97"/>
        <v>#N/A</v>
      </c>
    </row>
    <row r="907" spans="2:20" x14ac:dyDescent="0.3">
      <c r="B907" s="48"/>
      <c r="C907" s="48"/>
      <c r="D907" s="10" t="str">
        <f t="shared" ca="1" si="94"/>
        <v/>
      </c>
      <c r="E907" s="48"/>
      <c r="F907" s="48"/>
      <c r="G907" s="10" t="str">
        <f t="shared" ca="1" si="93"/>
        <v/>
      </c>
      <c r="I907" s="10" t="str">
        <f t="shared" ca="1" si="95"/>
        <v/>
      </c>
      <c r="K907" s="4" t="e">
        <f t="shared" ca="1" si="96"/>
        <v>#N/A</v>
      </c>
      <c r="L907" s="4" t="e">
        <f>VLOOKUP(C907,_resources!B:D,3,0)</f>
        <v>#N/A</v>
      </c>
      <c r="M907" s="4" t="e" cm="1">
        <f t="array" aca="1" ref="M907" ca="1">IF(abbrAtEnd,"",L907&amp;"-")&amp;E907&amp;"-"&amp;INDIRECT(OFFSET(element3,MATCH($C907,resources,0)-1,0))&amp;"-"&amp;INDIRECT(OFFSET(element4,MATCH($C907,resources,0)-1,0))&amp;"-"&amp;INDIRECT(OFFSET(element5,MATCH($C907,resources,0)-1,0))&amp;IF(OFFSET(element6,MATCH($C907,resources,0)-1,0)="","","-"&amp;INDIRECT(OFFSET(element6,MATCH($C907,resources,0)-1,0)))&amp;IF(abbrAtEnd,"-"&amp;L907,"")</f>
        <v>#N/A</v>
      </c>
      <c r="N907" s="4" t="str">
        <f t="shared" si="92"/>
        <v>-000</v>
      </c>
      <c r="O907" s="4">
        <f ca="1">IF(totalElements+COUNTIF(Entities!$C$10,"*")+COUNTIF(B907:C907,"*")+COUNTIF(E907:F907,"*")=9,1,0)</f>
        <v>0</v>
      </c>
      <c r="P907" s="4">
        <f>COUNTIF($C$6:C907,C907)</f>
        <v>0</v>
      </c>
      <c r="Q907" s="4">
        <f ca="1">IF(ISNA(M907),0,COUNTIF($M$6:M907,M907))</f>
        <v>0</v>
      </c>
      <c r="R907" s="4" t="e">
        <f t="shared" ca="1" si="98"/>
        <v>#N/A</v>
      </c>
      <c r="S907" s="4">
        <f ca="1">IF(ISNA(M907),0,COUNTIF($R$6:R907,R907))</f>
        <v>0</v>
      </c>
      <c r="T907" s="4" t="e">
        <f t="shared" ca="1" si="97"/>
        <v>#N/A</v>
      </c>
    </row>
    <row r="908" spans="2:20" x14ac:dyDescent="0.3">
      <c r="B908" s="48"/>
      <c r="C908" s="48"/>
      <c r="D908" s="10" t="str">
        <f t="shared" ca="1" si="94"/>
        <v/>
      </c>
      <c r="E908" s="48"/>
      <c r="F908" s="48"/>
      <c r="G908" s="10" t="str">
        <f t="shared" ca="1" si="93"/>
        <v/>
      </c>
      <c r="I908" s="10" t="str">
        <f t="shared" ca="1" si="95"/>
        <v/>
      </c>
      <c r="K908" s="4" t="e">
        <f t="shared" ca="1" si="96"/>
        <v>#N/A</v>
      </c>
      <c r="L908" s="4" t="e">
        <f>VLOOKUP(C908,_resources!B:D,3,0)</f>
        <v>#N/A</v>
      </c>
      <c r="M908" s="4" t="e" cm="1">
        <f t="array" aca="1" ref="M908" ca="1">IF(abbrAtEnd,"",L908&amp;"-")&amp;E908&amp;"-"&amp;INDIRECT(OFFSET(element3,MATCH($C908,resources,0)-1,0))&amp;"-"&amp;INDIRECT(OFFSET(element4,MATCH($C908,resources,0)-1,0))&amp;"-"&amp;INDIRECT(OFFSET(element5,MATCH($C908,resources,0)-1,0))&amp;IF(OFFSET(element6,MATCH($C908,resources,0)-1,0)="","","-"&amp;INDIRECT(OFFSET(element6,MATCH($C908,resources,0)-1,0)))&amp;IF(abbrAtEnd,"-"&amp;L908,"")</f>
        <v>#N/A</v>
      </c>
      <c r="N908" s="4" t="str">
        <f t="shared" si="92"/>
        <v>-000</v>
      </c>
      <c r="O908" s="4">
        <f ca="1">IF(totalElements+COUNTIF(Entities!$C$10,"*")+COUNTIF(B908:C908,"*")+COUNTIF(E908:F908,"*")=9,1,0)</f>
        <v>0</v>
      </c>
      <c r="P908" s="4">
        <f>COUNTIF($C$6:C908,C908)</f>
        <v>0</v>
      </c>
      <c r="Q908" s="4">
        <f ca="1">IF(ISNA(M908),0,COUNTIF($M$6:M908,M908))</f>
        <v>0</v>
      </c>
      <c r="R908" s="4" t="e">
        <f t="shared" ca="1" si="98"/>
        <v>#N/A</v>
      </c>
      <c r="S908" s="4">
        <f ca="1">IF(ISNA(M908),0,COUNTIF($R$6:R908,R908))</f>
        <v>0</v>
      </c>
      <c r="T908" s="4" t="e">
        <f t="shared" ca="1" si="97"/>
        <v>#N/A</v>
      </c>
    </row>
    <row r="909" spans="2:20" x14ac:dyDescent="0.3">
      <c r="B909" s="48"/>
      <c r="C909" s="48"/>
      <c r="D909" s="10" t="str">
        <f t="shared" ca="1" si="94"/>
        <v/>
      </c>
      <c r="E909" s="48"/>
      <c r="F909" s="48"/>
      <c r="G909" s="10" t="str">
        <f t="shared" ca="1" si="93"/>
        <v/>
      </c>
      <c r="I909" s="10" t="str">
        <f t="shared" ca="1" si="95"/>
        <v/>
      </c>
      <c r="K909" s="4" t="e">
        <f t="shared" ca="1" si="96"/>
        <v>#N/A</v>
      </c>
      <c r="L909" s="4" t="e">
        <f>VLOOKUP(C909,_resources!B:D,3,0)</f>
        <v>#N/A</v>
      </c>
      <c r="M909" s="4" t="e" cm="1">
        <f t="array" aca="1" ref="M909" ca="1">IF(abbrAtEnd,"",L909&amp;"-")&amp;E909&amp;"-"&amp;INDIRECT(OFFSET(element3,MATCH($C909,resources,0)-1,0))&amp;"-"&amp;INDIRECT(OFFSET(element4,MATCH($C909,resources,0)-1,0))&amp;"-"&amp;INDIRECT(OFFSET(element5,MATCH($C909,resources,0)-1,0))&amp;IF(OFFSET(element6,MATCH($C909,resources,0)-1,0)="","","-"&amp;INDIRECT(OFFSET(element6,MATCH($C909,resources,0)-1,0)))&amp;IF(abbrAtEnd,"-"&amp;L909,"")</f>
        <v>#N/A</v>
      </c>
      <c r="N909" s="4" t="str">
        <f t="shared" si="92"/>
        <v>-000</v>
      </c>
      <c r="O909" s="4">
        <f ca="1">IF(totalElements+COUNTIF(Entities!$C$10,"*")+COUNTIF(B909:C909,"*")+COUNTIF(E909:F909,"*")=9,1,0)</f>
        <v>0</v>
      </c>
      <c r="P909" s="4">
        <f>COUNTIF($C$6:C909,C909)</f>
        <v>0</v>
      </c>
      <c r="Q909" s="4">
        <f ca="1">IF(ISNA(M909),0,COUNTIF($M$6:M909,M909))</f>
        <v>0</v>
      </c>
      <c r="R909" s="4" t="e">
        <f t="shared" ca="1" si="98"/>
        <v>#N/A</v>
      </c>
      <c r="S909" s="4">
        <f ca="1">IF(ISNA(M909),0,COUNTIF($R$6:R909,R909))</f>
        <v>0</v>
      </c>
      <c r="T909" s="4" t="e">
        <f t="shared" ca="1" si="97"/>
        <v>#N/A</v>
      </c>
    </row>
    <row r="910" spans="2:20" x14ac:dyDescent="0.3">
      <c r="B910" s="48"/>
      <c r="C910" s="48"/>
      <c r="D910" s="10" t="str">
        <f t="shared" ca="1" si="94"/>
        <v/>
      </c>
      <c r="E910" s="48"/>
      <c r="F910" s="48"/>
      <c r="G910" s="10" t="str">
        <f t="shared" ca="1" si="93"/>
        <v/>
      </c>
      <c r="I910" s="10" t="str">
        <f t="shared" ca="1" si="95"/>
        <v/>
      </c>
      <c r="K910" s="4" t="e">
        <f t="shared" ca="1" si="96"/>
        <v>#N/A</v>
      </c>
      <c r="L910" s="4" t="e">
        <f>VLOOKUP(C910,_resources!B:D,3,0)</f>
        <v>#N/A</v>
      </c>
      <c r="M910" s="4" t="e" cm="1">
        <f t="array" aca="1" ref="M910" ca="1">IF(abbrAtEnd,"",L910&amp;"-")&amp;E910&amp;"-"&amp;INDIRECT(OFFSET(element3,MATCH($C910,resources,0)-1,0))&amp;"-"&amp;INDIRECT(OFFSET(element4,MATCH($C910,resources,0)-1,0))&amp;"-"&amp;INDIRECT(OFFSET(element5,MATCH($C910,resources,0)-1,0))&amp;IF(OFFSET(element6,MATCH($C910,resources,0)-1,0)="","","-"&amp;INDIRECT(OFFSET(element6,MATCH($C910,resources,0)-1,0)))&amp;IF(abbrAtEnd,"-"&amp;L910,"")</f>
        <v>#N/A</v>
      </c>
      <c r="N910" s="4" t="str">
        <f t="shared" ref="N910:N973" si="99">IF($M$4,"-"&amp;TEXT(P910,"000"),"-"&amp;TEXT(Q910,"000"))</f>
        <v>-000</v>
      </c>
      <c r="O910" s="4">
        <f ca="1">IF(totalElements+COUNTIF(Entities!$C$10,"*")+COUNTIF(B910:C910,"*")+COUNTIF(E910:F910,"*")=9,1,0)</f>
        <v>0</v>
      </c>
      <c r="P910" s="4">
        <f>COUNTIF($C$6:C910,C910)</f>
        <v>0</v>
      </c>
      <c r="Q910" s="4">
        <f ca="1">IF(ISNA(M910),0,COUNTIF($M$6:M910,M910))</f>
        <v>0</v>
      </c>
      <c r="R910" s="4" t="e">
        <f t="shared" ca="1" si="98"/>
        <v>#N/A</v>
      </c>
      <c r="S910" s="4">
        <f ca="1">IF(ISNA(M910),0,COUNTIF($R$6:R910,R910))</f>
        <v>0</v>
      </c>
      <c r="T910" s="4" t="e">
        <f t="shared" ca="1" si="97"/>
        <v>#N/A</v>
      </c>
    </row>
    <row r="911" spans="2:20" x14ac:dyDescent="0.3">
      <c r="B911" s="48"/>
      <c r="C911" s="48"/>
      <c r="D911" s="10" t="str">
        <f t="shared" ca="1" si="94"/>
        <v/>
      </c>
      <c r="E911" s="48"/>
      <c r="F911" s="48"/>
      <c r="G911" s="10" t="str">
        <f t="shared" ca="1" si="93"/>
        <v/>
      </c>
      <c r="I911" s="10" t="str">
        <f t="shared" ca="1" si="95"/>
        <v/>
      </c>
      <c r="K911" s="4" t="e">
        <f t="shared" ca="1" si="96"/>
        <v>#N/A</v>
      </c>
      <c r="L911" s="4" t="e">
        <f>VLOOKUP(C911,_resources!B:D,3,0)</f>
        <v>#N/A</v>
      </c>
      <c r="M911" s="4" t="e" cm="1">
        <f t="array" aca="1" ref="M911" ca="1">IF(abbrAtEnd,"",L911&amp;"-")&amp;E911&amp;"-"&amp;INDIRECT(OFFSET(element3,MATCH($C911,resources,0)-1,0))&amp;"-"&amp;INDIRECT(OFFSET(element4,MATCH($C911,resources,0)-1,0))&amp;"-"&amp;INDIRECT(OFFSET(element5,MATCH($C911,resources,0)-1,0))&amp;IF(OFFSET(element6,MATCH($C911,resources,0)-1,0)="","","-"&amp;INDIRECT(OFFSET(element6,MATCH($C911,resources,0)-1,0)))&amp;IF(abbrAtEnd,"-"&amp;L911,"")</f>
        <v>#N/A</v>
      </c>
      <c r="N911" s="4" t="str">
        <f t="shared" si="99"/>
        <v>-000</v>
      </c>
      <c r="O911" s="4">
        <f ca="1">IF(totalElements+COUNTIF(Entities!$C$10,"*")+COUNTIF(B911:C911,"*")+COUNTIF(E911:F911,"*")=9,1,0)</f>
        <v>0</v>
      </c>
      <c r="P911" s="4">
        <f>COUNTIF($C$6:C911,C911)</f>
        <v>0</v>
      </c>
      <c r="Q911" s="4">
        <f ca="1">IF(ISNA(M911),0,COUNTIF($M$6:M911,M911))</f>
        <v>0</v>
      </c>
      <c r="R911" s="4" t="e">
        <f t="shared" ca="1" si="98"/>
        <v>#N/A</v>
      </c>
      <c r="S911" s="4">
        <f ca="1">IF(ISNA(M911),0,COUNTIF($R$6:R911,R911))</f>
        <v>0</v>
      </c>
      <c r="T911" s="4" t="e">
        <f t="shared" ca="1" si="97"/>
        <v>#N/A</v>
      </c>
    </row>
    <row r="912" spans="2:20" x14ac:dyDescent="0.3">
      <c r="B912" s="48"/>
      <c r="C912" s="48"/>
      <c r="D912" s="10" t="str">
        <f t="shared" ca="1" si="94"/>
        <v/>
      </c>
      <c r="E912" s="48"/>
      <c r="F912" s="48"/>
      <c r="G912" s="10" t="str">
        <f t="shared" ca="1" si="93"/>
        <v/>
      </c>
      <c r="I912" s="10" t="str">
        <f t="shared" ca="1" si="95"/>
        <v/>
      </c>
      <c r="K912" s="4" t="e">
        <f t="shared" ca="1" si="96"/>
        <v>#N/A</v>
      </c>
      <c r="L912" s="4" t="e">
        <f>VLOOKUP(C912,_resources!B:D,3,0)</f>
        <v>#N/A</v>
      </c>
      <c r="M912" s="4" t="e" cm="1">
        <f t="array" aca="1" ref="M912" ca="1">IF(abbrAtEnd,"",L912&amp;"-")&amp;E912&amp;"-"&amp;INDIRECT(OFFSET(element3,MATCH($C912,resources,0)-1,0))&amp;"-"&amp;INDIRECT(OFFSET(element4,MATCH($C912,resources,0)-1,0))&amp;"-"&amp;INDIRECT(OFFSET(element5,MATCH($C912,resources,0)-1,0))&amp;IF(OFFSET(element6,MATCH($C912,resources,0)-1,0)="","","-"&amp;INDIRECT(OFFSET(element6,MATCH($C912,resources,0)-1,0)))&amp;IF(abbrAtEnd,"-"&amp;L912,"")</f>
        <v>#N/A</v>
      </c>
      <c r="N912" s="4" t="str">
        <f t="shared" si="99"/>
        <v>-000</v>
      </c>
      <c r="O912" s="4">
        <f ca="1">IF(totalElements+COUNTIF(Entities!$C$10,"*")+COUNTIF(B912:C912,"*")+COUNTIF(E912:F912,"*")=9,1,0)</f>
        <v>0</v>
      </c>
      <c r="P912" s="4">
        <f>COUNTIF($C$6:C912,C912)</f>
        <v>0</v>
      </c>
      <c r="Q912" s="4">
        <f ca="1">IF(ISNA(M912),0,COUNTIF($M$6:M912,M912))</f>
        <v>0</v>
      </c>
      <c r="R912" s="4" t="e">
        <f t="shared" ca="1" si="98"/>
        <v>#N/A</v>
      </c>
      <c r="S912" s="4">
        <f ca="1">IF(ISNA(M912),0,COUNTIF($R$6:R912,R912))</f>
        <v>0</v>
      </c>
      <c r="T912" s="4" t="e">
        <f t="shared" ca="1" si="97"/>
        <v>#N/A</v>
      </c>
    </row>
    <row r="913" spans="2:20" x14ac:dyDescent="0.3">
      <c r="B913" s="48"/>
      <c r="C913" s="48"/>
      <c r="D913" s="10" t="str">
        <f t="shared" ca="1" si="94"/>
        <v/>
      </c>
      <c r="E913" s="48"/>
      <c r="F913" s="48"/>
      <c r="G913" s="10" t="str">
        <f t="shared" ca="1" si="93"/>
        <v/>
      </c>
      <c r="I913" s="10" t="str">
        <f t="shared" ca="1" si="95"/>
        <v/>
      </c>
      <c r="K913" s="4" t="e">
        <f t="shared" ca="1" si="96"/>
        <v>#N/A</v>
      </c>
      <c r="L913" s="4" t="e">
        <f>VLOOKUP(C913,_resources!B:D,3,0)</f>
        <v>#N/A</v>
      </c>
      <c r="M913" s="4" t="e" cm="1">
        <f t="array" aca="1" ref="M913" ca="1">IF(abbrAtEnd,"",L913&amp;"-")&amp;E913&amp;"-"&amp;INDIRECT(OFFSET(element3,MATCH($C913,resources,0)-1,0))&amp;"-"&amp;INDIRECT(OFFSET(element4,MATCH($C913,resources,0)-1,0))&amp;"-"&amp;INDIRECT(OFFSET(element5,MATCH($C913,resources,0)-1,0))&amp;IF(OFFSET(element6,MATCH($C913,resources,0)-1,0)="","","-"&amp;INDIRECT(OFFSET(element6,MATCH($C913,resources,0)-1,0)))&amp;IF(abbrAtEnd,"-"&amp;L913,"")</f>
        <v>#N/A</v>
      </c>
      <c r="N913" s="4" t="str">
        <f t="shared" si="99"/>
        <v>-000</v>
      </c>
      <c r="O913" s="4">
        <f ca="1">IF(totalElements+COUNTIF(Entities!$C$10,"*")+COUNTIF(B913:C913,"*")+COUNTIF(E913:F913,"*")=9,1,0)</f>
        <v>0</v>
      </c>
      <c r="P913" s="4">
        <f>COUNTIF($C$6:C913,C913)</f>
        <v>0</v>
      </c>
      <c r="Q913" s="4">
        <f ca="1">IF(ISNA(M913),0,COUNTIF($M$6:M913,M913))</f>
        <v>0</v>
      </c>
      <c r="R913" s="4" t="e">
        <f t="shared" ca="1" si="98"/>
        <v>#N/A</v>
      </c>
      <c r="S913" s="4">
        <f ca="1">IF(ISNA(M913),0,COUNTIF($R$6:R913,R913))</f>
        <v>0</v>
      </c>
      <c r="T913" s="4" t="e">
        <f t="shared" ca="1" si="97"/>
        <v>#N/A</v>
      </c>
    </row>
    <row r="914" spans="2:20" x14ac:dyDescent="0.3">
      <c r="B914" s="48"/>
      <c r="C914" s="48"/>
      <c r="D914" s="10" t="str">
        <f t="shared" ca="1" si="94"/>
        <v/>
      </c>
      <c r="E914" s="48"/>
      <c r="F914" s="48"/>
      <c r="G914" s="10" t="str">
        <f t="shared" ca="1" si="93"/>
        <v/>
      </c>
      <c r="I914" s="10" t="str">
        <f t="shared" ca="1" si="95"/>
        <v/>
      </c>
      <c r="K914" s="4" t="e">
        <f t="shared" ca="1" si="96"/>
        <v>#N/A</v>
      </c>
      <c r="L914" s="4" t="e">
        <f>VLOOKUP(C914,_resources!B:D,3,0)</f>
        <v>#N/A</v>
      </c>
      <c r="M914" s="4" t="e" cm="1">
        <f t="array" aca="1" ref="M914" ca="1">IF(abbrAtEnd,"",L914&amp;"-")&amp;E914&amp;"-"&amp;INDIRECT(OFFSET(element3,MATCH($C914,resources,0)-1,0))&amp;"-"&amp;INDIRECT(OFFSET(element4,MATCH($C914,resources,0)-1,0))&amp;"-"&amp;INDIRECT(OFFSET(element5,MATCH($C914,resources,0)-1,0))&amp;IF(OFFSET(element6,MATCH($C914,resources,0)-1,0)="","","-"&amp;INDIRECT(OFFSET(element6,MATCH($C914,resources,0)-1,0)))&amp;IF(abbrAtEnd,"-"&amp;L914,"")</f>
        <v>#N/A</v>
      </c>
      <c r="N914" s="4" t="str">
        <f t="shared" si="99"/>
        <v>-000</v>
      </c>
      <c r="O914" s="4">
        <f ca="1">IF(totalElements+COUNTIF(Entities!$C$10,"*")+COUNTIF(B914:C914,"*")+COUNTIF(E914:F914,"*")=9,1,0)</f>
        <v>0</v>
      </c>
      <c r="P914" s="4">
        <f>COUNTIF($C$6:C914,C914)</f>
        <v>0</v>
      </c>
      <c r="Q914" s="4">
        <f ca="1">IF(ISNA(M914),0,COUNTIF($M$6:M914,M914))</f>
        <v>0</v>
      </c>
      <c r="R914" s="4" t="e">
        <f t="shared" ca="1" si="98"/>
        <v>#N/A</v>
      </c>
      <c r="S914" s="4">
        <f ca="1">IF(ISNA(M914),0,COUNTIF($R$6:R914,R914))</f>
        <v>0</v>
      </c>
      <c r="T914" s="4" t="e">
        <f t="shared" ca="1" si="97"/>
        <v>#N/A</v>
      </c>
    </row>
    <row r="915" spans="2:20" x14ac:dyDescent="0.3">
      <c r="B915" s="48"/>
      <c r="C915" s="48"/>
      <c r="D915" s="10" t="str">
        <f t="shared" ca="1" si="94"/>
        <v/>
      </c>
      <c r="E915" s="48"/>
      <c r="F915" s="48"/>
      <c r="G915" s="10" t="str">
        <f t="shared" ref="G915:G978" ca="1" si="100">IF(O915,IF(K915="hyphenated",M915&amp;N915,IF(K915="dnsname",E915,IF(K915="alphanumeric",SUBSTITUTE(M915&amp;N915,"-",""),"unknown or missing resource structure"))),"")</f>
        <v/>
      </c>
      <c r="I915" s="10" t="str">
        <f t="shared" ca="1" si="95"/>
        <v/>
      </c>
      <c r="K915" s="4" t="e">
        <f t="shared" ca="1" si="96"/>
        <v>#N/A</v>
      </c>
      <c r="L915" s="4" t="e">
        <f>VLOOKUP(C915,_resources!B:D,3,0)</f>
        <v>#N/A</v>
      </c>
      <c r="M915" s="4" t="e" cm="1">
        <f t="array" aca="1" ref="M915" ca="1">IF(abbrAtEnd,"",L915&amp;"-")&amp;E915&amp;"-"&amp;INDIRECT(OFFSET(element3,MATCH($C915,resources,0)-1,0))&amp;"-"&amp;INDIRECT(OFFSET(element4,MATCH($C915,resources,0)-1,0))&amp;"-"&amp;INDIRECT(OFFSET(element5,MATCH($C915,resources,0)-1,0))&amp;IF(OFFSET(element6,MATCH($C915,resources,0)-1,0)="","","-"&amp;INDIRECT(OFFSET(element6,MATCH($C915,resources,0)-1,0)))&amp;IF(abbrAtEnd,"-"&amp;L915,"")</f>
        <v>#N/A</v>
      </c>
      <c r="N915" s="4" t="str">
        <f t="shared" si="99"/>
        <v>-000</v>
      </c>
      <c r="O915" s="4">
        <f ca="1">IF(totalElements+COUNTIF(Entities!$C$10,"*")+COUNTIF(B915:C915,"*")+COUNTIF(E915:F915,"*")=9,1,0)</f>
        <v>0</v>
      </c>
      <c r="P915" s="4">
        <f>COUNTIF($C$6:C915,C915)</f>
        <v>0</v>
      </c>
      <c r="Q915" s="4">
        <f ca="1">IF(ISNA(M915),0,COUNTIF($M$6:M915,M915))</f>
        <v>0</v>
      </c>
      <c r="R915" s="4" t="e">
        <f t="shared" ca="1" si="98"/>
        <v>#N/A</v>
      </c>
      <c r="S915" s="4">
        <f ca="1">IF(ISNA(M915),0,COUNTIF($R$6:R915,R915))</f>
        <v>0</v>
      </c>
      <c r="T915" s="4" t="e">
        <f t="shared" ca="1" si="97"/>
        <v>#N/A</v>
      </c>
    </row>
    <row r="916" spans="2:20" x14ac:dyDescent="0.3">
      <c r="B916" s="48"/>
      <c r="C916" s="48"/>
      <c r="D916" s="10" t="str">
        <f t="shared" ca="1" si="94"/>
        <v/>
      </c>
      <c r="E916" s="48"/>
      <c r="F916" s="48"/>
      <c r="G916" s="10" t="str">
        <f t="shared" ca="1" si="100"/>
        <v/>
      </c>
      <c r="I916" s="10" t="str">
        <f t="shared" ca="1" si="95"/>
        <v/>
      </c>
      <c r="K916" s="4" t="e">
        <f t="shared" ca="1" si="96"/>
        <v>#N/A</v>
      </c>
      <c r="L916" s="4" t="e">
        <f>VLOOKUP(C916,_resources!B:D,3,0)</f>
        <v>#N/A</v>
      </c>
      <c r="M916" s="4" t="e" cm="1">
        <f t="array" aca="1" ref="M916" ca="1">IF(abbrAtEnd,"",L916&amp;"-")&amp;E916&amp;"-"&amp;INDIRECT(OFFSET(element3,MATCH($C916,resources,0)-1,0))&amp;"-"&amp;INDIRECT(OFFSET(element4,MATCH($C916,resources,0)-1,0))&amp;"-"&amp;INDIRECT(OFFSET(element5,MATCH($C916,resources,0)-1,0))&amp;IF(OFFSET(element6,MATCH($C916,resources,0)-1,0)="","","-"&amp;INDIRECT(OFFSET(element6,MATCH($C916,resources,0)-1,0)))&amp;IF(abbrAtEnd,"-"&amp;L916,"")</f>
        <v>#N/A</v>
      </c>
      <c r="N916" s="4" t="str">
        <f t="shared" si="99"/>
        <v>-000</v>
      </c>
      <c r="O916" s="4">
        <f ca="1">IF(totalElements+COUNTIF(Entities!$C$10,"*")+COUNTIF(B916:C916,"*")+COUNTIF(E916:F916,"*")=9,1,0)</f>
        <v>0</v>
      </c>
      <c r="P916" s="4">
        <f>COUNTIF($C$6:C916,C916)</f>
        <v>0</v>
      </c>
      <c r="Q916" s="4">
        <f ca="1">IF(ISNA(M916),0,COUNTIF($M$6:M916,M916))</f>
        <v>0</v>
      </c>
      <c r="R916" s="4" t="e">
        <f t="shared" ca="1" si="98"/>
        <v>#N/A</v>
      </c>
      <c r="S916" s="4">
        <f ca="1">IF(ISNA(M916),0,COUNTIF($R$6:R916,R916))</f>
        <v>0</v>
      </c>
      <c r="T916" s="4" t="e">
        <f t="shared" ca="1" si="97"/>
        <v>#N/A</v>
      </c>
    </row>
    <row r="917" spans="2:20" x14ac:dyDescent="0.3">
      <c r="B917" s="48"/>
      <c r="C917" s="48"/>
      <c r="D917" s="10" t="str">
        <f t="shared" ca="1" si="94"/>
        <v/>
      </c>
      <c r="E917" s="48"/>
      <c r="F917" s="48"/>
      <c r="G917" s="10" t="str">
        <f t="shared" ca="1" si="100"/>
        <v/>
      </c>
      <c r="I917" s="10" t="str">
        <f t="shared" ca="1" si="95"/>
        <v/>
      </c>
      <c r="K917" s="4" t="e">
        <f t="shared" ca="1" si="96"/>
        <v>#N/A</v>
      </c>
      <c r="L917" s="4" t="e">
        <f>VLOOKUP(C917,_resources!B:D,3,0)</f>
        <v>#N/A</v>
      </c>
      <c r="M917" s="4" t="e" cm="1">
        <f t="array" aca="1" ref="M917" ca="1">IF(abbrAtEnd,"",L917&amp;"-")&amp;E917&amp;"-"&amp;INDIRECT(OFFSET(element3,MATCH($C917,resources,0)-1,0))&amp;"-"&amp;INDIRECT(OFFSET(element4,MATCH($C917,resources,0)-1,0))&amp;"-"&amp;INDIRECT(OFFSET(element5,MATCH($C917,resources,0)-1,0))&amp;IF(OFFSET(element6,MATCH($C917,resources,0)-1,0)="","","-"&amp;INDIRECT(OFFSET(element6,MATCH($C917,resources,0)-1,0)))&amp;IF(abbrAtEnd,"-"&amp;L917,"")</f>
        <v>#N/A</v>
      </c>
      <c r="N917" s="4" t="str">
        <f t="shared" si="99"/>
        <v>-000</v>
      </c>
      <c r="O917" s="4">
        <f ca="1">IF(totalElements+COUNTIF(Entities!$C$10,"*")+COUNTIF(B917:C917,"*")+COUNTIF(E917:F917,"*")=9,1,0)</f>
        <v>0</v>
      </c>
      <c r="P917" s="4">
        <f>COUNTIF($C$6:C917,C917)</f>
        <v>0</v>
      </c>
      <c r="Q917" s="4">
        <f ca="1">IF(ISNA(M917),0,COUNTIF($M$6:M917,M917))</f>
        <v>0</v>
      </c>
      <c r="R917" s="4" t="e">
        <f t="shared" ca="1" si="98"/>
        <v>#N/A</v>
      </c>
      <c r="S917" s="4">
        <f ca="1">IF(ISNA(M917),0,COUNTIF($R$6:R917,R917))</f>
        <v>0</v>
      </c>
      <c r="T917" s="4" t="e">
        <f t="shared" ca="1" si="97"/>
        <v>#N/A</v>
      </c>
    </row>
    <row r="918" spans="2:20" x14ac:dyDescent="0.3">
      <c r="B918" s="48"/>
      <c r="C918" s="48"/>
      <c r="D918" s="10" t="str">
        <f t="shared" ca="1" si="94"/>
        <v/>
      </c>
      <c r="E918" s="48"/>
      <c r="F918" s="48"/>
      <c r="G918" s="10" t="str">
        <f t="shared" ca="1" si="100"/>
        <v/>
      </c>
      <c r="I918" s="10" t="str">
        <f t="shared" ca="1" si="95"/>
        <v/>
      </c>
      <c r="K918" s="4" t="e">
        <f t="shared" ca="1" si="96"/>
        <v>#N/A</v>
      </c>
      <c r="L918" s="4" t="e">
        <f>VLOOKUP(C918,_resources!B:D,3,0)</f>
        <v>#N/A</v>
      </c>
      <c r="M918" s="4" t="e" cm="1">
        <f t="array" aca="1" ref="M918" ca="1">IF(abbrAtEnd,"",L918&amp;"-")&amp;E918&amp;"-"&amp;INDIRECT(OFFSET(element3,MATCH($C918,resources,0)-1,0))&amp;"-"&amp;INDIRECT(OFFSET(element4,MATCH($C918,resources,0)-1,0))&amp;"-"&amp;INDIRECT(OFFSET(element5,MATCH($C918,resources,0)-1,0))&amp;IF(OFFSET(element6,MATCH($C918,resources,0)-1,0)="","","-"&amp;INDIRECT(OFFSET(element6,MATCH($C918,resources,0)-1,0)))&amp;IF(abbrAtEnd,"-"&amp;L918,"")</f>
        <v>#N/A</v>
      </c>
      <c r="N918" s="4" t="str">
        <f t="shared" si="99"/>
        <v>-000</v>
      </c>
      <c r="O918" s="4">
        <f ca="1">IF(totalElements+COUNTIF(Entities!$C$10,"*")+COUNTIF(B918:C918,"*")+COUNTIF(E918:F918,"*")=9,1,0)</f>
        <v>0</v>
      </c>
      <c r="P918" s="4">
        <f>COUNTIF($C$6:C918,C918)</f>
        <v>0</v>
      </c>
      <c r="Q918" s="4">
        <f ca="1">IF(ISNA(M918),0,COUNTIF($M$6:M918,M918))</f>
        <v>0</v>
      </c>
      <c r="R918" s="4" t="e">
        <f t="shared" ca="1" si="98"/>
        <v>#N/A</v>
      </c>
      <c r="S918" s="4">
        <f ca="1">IF(ISNA(M918),0,COUNTIF($R$6:R918,R918))</f>
        <v>0</v>
      </c>
      <c r="T918" s="4" t="e">
        <f t="shared" ca="1" si="97"/>
        <v>#N/A</v>
      </c>
    </row>
    <row r="919" spans="2:20" x14ac:dyDescent="0.3">
      <c r="B919" s="48"/>
      <c r="C919" s="48"/>
      <c r="D919" s="10" t="str">
        <f t="shared" ca="1" si="94"/>
        <v/>
      </c>
      <c r="E919" s="48"/>
      <c r="F919" s="48"/>
      <c r="G919" s="10" t="str">
        <f t="shared" ca="1" si="100"/>
        <v/>
      </c>
      <c r="I919" s="10" t="str">
        <f t="shared" ca="1" si="95"/>
        <v/>
      </c>
      <c r="K919" s="4" t="e">
        <f t="shared" ca="1" si="96"/>
        <v>#N/A</v>
      </c>
      <c r="L919" s="4" t="e">
        <f>VLOOKUP(C919,_resources!B:D,3,0)</f>
        <v>#N/A</v>
      </c>
      <c r="M919" s="4" t="e" cm="1">
        <f t="array" aca="1" ref="M919" ca="1">IF(abbrAtEnd,"",L919&amp;"-")&amp;E919&amp;"-"&amp;INDIRECT(OFFSET(element3,MATCH($C919,resources,0)-1,0))&amp;"-"&amp;INDIRECT(OFFSET(element4,MATCH($C919,resources,0)-1,0))&amp;"-"&amp;INDIRECT(OFFSET(element5,MATCH($C919,resources,0)-1,0))&amp;IF(OFFSET(element6,MATCH($C919,resources,0)-1,0)="","","-"&amp;INDIRECT(OFFSET(element6,MATCH($C919,resources,0)-1,0)))&amp;IF(abbrAtEnd,"-"&amp;L919,"")</f>
        <v>#N/A</v>
      </c>
      <c r="N919" s="4" t="str">
        <f t="shared" si="99"/>
        <v>-000</v>
      </c>
      <c r="O919" s="4">
        <f ca="1">IF(totalElements+COUNTIF(Entities!$C$10,"*")+COUNTIF(B919:C919,"*")+COUNTIF(E919:F919,"*")=9,1,0)</f>
        <v>0</v>
      </c>
      <c r="P919" s="4">
        <f>COUNTIF($C$6:C919,C919)</f>
        <v>0</v>
      </c>
      <c r="Q919" s="4">
        <f ca="1">IF(ISNA(M919),0,COUNTIF($M$6:M919,M919))</f>
        <v>0</v>
      </c>
      <c r="R919" s="4" t="e">
        <f t="shared" ca="1" si="98"/>
        <v>#N/A</v>
      </c>
      <c r="S919" s="4">
        <f ca="1">IF(ISNA(M919),0,COUNTIF($R$6:R919,R919))</f>
        <v>0</v>
      </c>
      <c r="T919" s="4" t="e">
        <f t="shared" ca="1" si="97"/>
        <v>#N/A</v>
      </c>
    </row>
    <row r="920" spans="2:20" x14ac:dyDescent="0.3">
      <c r="B920" s="48"/>
      <c r="C920" s="48"/>
      <c r="D920" s="10" t="str">
        <f t="shared" ca="1" si="94"/>
        <v/>
      </c>
      <c r="E920" s="48"/>
      <c r="F920" s="48"/>
      <c r="G920" s="10" t="str">
        <f t="shared" ca="1" si="100"/>
        <v/>
      </c>
      <c r="I920" s="10" t="str">
        <f t="shared" ca="1" si="95"/>
        <v/>
      </c>
      <c r="K920" s="4" t="e">
        <f t="shared" ca="1" si="96"/>
        <v>#N/A</v>
      </c>
      <c r="L920" s="4" t="e">
        <f>VLOOKUP(C920,_resources!B:D,3,0)</f>
        <v>#N/A</v>
      </c>
      <c r="M920" s="4" t="e" cm="1">
        <f t="array" aca="1" ref="M920" ca="1">IF(abbrAtEnd,"",L920&amp;"-")&amp;E920&amp;"-"&amp;INDIRECT(OFFSET(element3,MATCH($C920,resources,0)-1,0))&amp;"-"&amp;INDIRECT(OFFSET(element4,MATCH($C920,resources,0)-1,0))&amp;"-"&amp;INDIRECT(OFFSET(element5,MATCH($C920,resources,0)-1,0))&amp;IF(OFFSET(element6,MATCH($C920,resources,0)-1,0)="","","-"&amp;INDIRECT(OFFSET(element6,MATCH($C920,resources,0)-1,0)))&amp;IF(abbrAtEnd,"-"&amp;L920,"")</f>
        <v>#N/A</v>
      </c>
      <c r="N920" s="4" t="str">
        <f t="shared" si="99"/>
        <v>-000</v>
      </c>
      <c r="O920" s="4">
        <f ca="1">IF(totalElements+COUNTIF(Entities!$C$10,"*")+COUNTIF(B920:C920,"*")+COUNTIF(E920:F920,"*")=9,1,0)</f>
        <v>0</v>
      </c>
      <c r="P920" s="4">
        <f>COUNTIF($C$6:C920,C920)</f>
        <v>0</v>
      </c>
      <c r="Q920" s="4">
        <f ca="1">IF(ISNA(M920),0,COUNTIF($M$6:M920,M920))</f>
        <v>0</v>
      </c>
      <c r="R920" s="4" t="e">
        <f t="shared" ca="1" si="98"/>
        <v>#N/A</v>
      </c>
      <c r="S920" s="4">
        <f ca="1">IF(ISNA(M920),0,COUNTIF($R$6:R920,R920))</f>
        <v>0</v>
      </c>
      <c r="T920" s="4" t="e">
        <f t="shared" ca="1" si="97"/>
        <v>#N/A</v>
      </c>
    </row>
    <row r="921" spans="2:20" x14ac:dyDescent="0.3">
      <c r="B921" s="48"/>
      <c r="C921" s="48"/>
      <c r="D921" s="10" t="str">
        <f t="shared" ca="1" si="94"/>
        <v/>
      </c>
      <c r="E921" s="48"/>
      <c r="F921" s="48"/>
      <c r="G921" s="10" t="str">
        <f t="shared" ca="1" si="100"/>
        <v/>
      </c>
      <c r="I921" s="10" t="str">
        <f t="shared" ca="1" si="95"/>
        <v/>
      </c>
      <c r="K921" s="4" t="e">
        <f t="shared" ca="1" si="96"/>
        <v>#N/A</v>
      </c>
      <c r="L921" s="4" t="e">
        <f>VLOOKUP(C921,_resources!B:D,3,0)</f>
        <v>#N/A</v>
      </c>
      <c r="M921" s="4" t="e" cm="1">
        <f t="array" aca="1" ref="M921" ca="1">IF(abbrAtEnd,"",L921&amp;"-")&amp;E921&amp;"-"&amp;INDIRECT(OFFSET(element3,MATCH($C921,resources,0)-1,0))&amp;"-"&amp;INDIRECT(OFFSET(element4,MATCH($C921,resources,0)-1,0))&amp;"-"&amp;INDIRECT(OFFSET(element5,MATCH($C921,resources,0)-1,0))&amp;IF(OFFSET(element6,MATCH($C921,resources,0)-1,0)="","","-"&amp;INDIRECT(OFFSET(element6,MATCH($C921,resources,0)-1,0)))&amp;IF(abbrAtEnd,"-"&amp;L921,"")</f>
        <v>#N/A</v>
      </c>
      <c r="N921" s="4" t="str">
        <f t="shared" si="99"/>
        <v>-000</v>
      </c>
      <c r="O921" s="4">
        <f ca="1">IF(totalElements+COUNTIF(Entities!$C$10,"*")+COUNTIF(B921:C921,"*")+COUNTIF(E921:F921,"*")=9,1,0)</f>
        <v>0</v>
      </c>
      <c r="P921" s="4">
        <f>COUNTIF($C$6:C921,C921)</f>
        <v>0</v>
      </c>
      <c r="Q921" s="4">
        <f ca="1">IF(ISNA(M921),0,COUNTIF($M$6:M921,M921))</f>
        <v>0</v>
      </c>
      <c r="R921" s="4" t="e">
        <f t="shared" ca="1" si="98"/>
        <v>#N/A</v>
      </c>
      <c r="S921" s="4">
        <f ca="1">IF(ISNA(M921),0,COUNTIF($R$6:R921,R921))</f>
        <v>0</v>
      </c>
      <c r="T921" s="4" t="e">
        <f t="shared" ca="1" si="97"/>
        <v>#N/A</v>
      </c>
    </row>
    <row r="922" spans="2:20" x14ac:dyDescent="0.3">
      <c r="B922" s="48"/>
      <c r="C922" s="48"/>
      <c r="D922" s="10" t="str">
        <f t="shared" ca="1" si="94"/>
        <v/>
      </c>
      <c r="E922" s="48"/>
      <c r="F922" s="48"/>
      <c r="G922" s="10" t="str">
        <f t="shared" ca="1" si="100"/>
        <v/>
      </c>
      <c r="I922" s="10" t="str">
        <f t="shared" ca="1" si="95"/>
        <v/>
      </c>
      <c r="K922" s="4" t="e">
        <f t="shared" ca="1" si="96"/>
        <v>#N/A</v>
      </c>
      <c r="L922" s="4" t="e">
        <f>VLOOKUP(C922,_resources!B:D,3,0)</f>
        <v>#N/A</v>
      </c>
      <c r="M922" s="4" t="e" cm="1">
        <f t="array" aca="1" ref="M922" ca="1">IF(abbrAtEnd,"",L922&amp;"-")&amp;E922&amp;"-"&amp;INDIRECT(OFFSET(element3,MATCH($C922,resources,0)-1,0))&amp;"-"&amp;INDIRECT(OFFSET(element4,MATCH($C922,resources,0)-1,0))&amp;"-"&amp;INDIRECT(OFFSET(element5,MATCH($C922,resources,0)-1,0))&amp;IF(OFFSET(element6,MATCH($C922,resources,0)-1,0)="","","-"&amp;INDIRECT(OFFSET(element6,MATCH($C922,resources,0)-1,0)))&amp;IF(abbrAtEnd,"-"&amp;L922,"")</f>
        <v>#N/A</v>
      </c>
      <c r="N922" s="4" t="str">
        <f t="shared" si="99"/>
        <v>-000</v>
      </c>
      <c r="O922" s="4">
        <f ca="1">IF(totalElements+COUNTIF(Entities!$C$10,"*")+COUNTIF(B922:C922,"*")+COUNTIF(E922:F922,"*")=9,1,0)</f>
        <v>0</v>
      </c>
      <c r="P922" s="4">
        <f>COUNTIF($C$6:C922,C922)</f>
        <v>0</v>
      </c>
      <c r="Q922" s="4">
        <f ca="1">IF(ISNA(M922),0,COUNTIF($M$6:M922,M922))</f>
        <v>0</v>
      </c>
      <c r="R922" s="4" t="e">
        <f t="shared" ca="1" si="98"/>
        <v>#N/A</v>
      </c>
      <c r="S922" s="4">
        <f ca="1">IF(ISNA(M922),0,COUNTIF($R$6:R922,R922))</f>
        <v>0</v>
      </c>
      <c r="T922" s="4" t="e">
        <f t="shared" ca="1" si="97"/>
        <v>#N/A</v>
      </c>
    </row>
    <row r="923" spans="2:20" x14ac:dyDescent="0.3">
      <c r="B923" s="48"/>
      <c r="C923" s="48"/>
      <c r="D923" s="10" t="str">
        <f t="shared" ca="1" si="94"/>
        <v/>
      </c>
      <c r="E923" s="48"/>
      <c r="F923" s="48"/>
      <c r="G923" s="10" t="str">
        <f t="shared" ca="1" si="100"/>
        <v/>
      </c>
      <c r="I923" s="10" t="str">
        <f t="shared" ca="1" si="95"/>
        <v/>
      </c>
      <c r="K923" s="4" t="e">
        <f t="shared" ca="1" si="96"/>
        <v>#N/A</v>
      </c>
      <c r="L923" s="4" t="e">
        <f>VLOOKUP(C923,_resources!B:D,3,0)</f>
        <v>#N/A</v>
      </c>
      <c r="M923" s="4" t="e" cm="1">
        <f t="array" aca="1" ref="M923" ca="1">IF(abbrAtEnd,"",L923&amp;"-")&amp;E923&amp;"-"&amp;INDIRECT(OFFSET(element3,MATCH($C923,resources,0)-1,0))&amp;"-"&amp;INDIRECT(OFFSET(element4,MATCH($C923,resources,0)-1,0))&amp;"-"&amp;INDIRECT(OFFSET(element5,MATCH($C923,resources,0)-1,0))&amp;IF(OFFSET(element6,MATCH($C923,resources,0)-1,0)="","","-"&amp;INDIRECT(OFFSET(element6,MATCH($C923,resources,0)-1,0)))&amp;IF(abbrAtEnd,"-"&amp;L923,"")</f>
        <v>#N/A</v>
      </c>
      <c r="N923" s="4" t="str">
        <f t="shared" si="99"/>
        <v>-000</v>
      </c>
      <c r="O923" s="4">
        <f ca="1">IF(totalElements+COUNTIF(Entities!$C$10,"*")+COUNTIF(B923:C923,"*")+COUNTIF(E923:F923,"*")=9,1,0)</f>
        <v>0</v>
      </c>
      <c r="P923" s="4">
        <f>COUNTIF($C$6:C923,C923)</f>
        <v>0</v>
      </c>
      <c r="Q923" s="4">
        <f ca="1">IF(ISNA(M923),0,COUNTIF($M$6:M923,M923))</f>
        <v>0</v>
      </c>
      <c r="R923" s="4" t="e">
        <f t="shared" ca="1" si="98"/>
        <v>#N/A</v>
      </c>
      <c r="S923" s="4">
        <f ca="1">IF(ISNA(M923),0,COUNTIF($R$6:R923,R923))</f>
        <v>0</v>
      </c>
      <c r="T923" s="4" t="e">
        <f t="shared" ca="1" si="97"/>
        <v>#N/A</v>
      </c>
    </row>
    <row r="924" spans="2:20" x14ac:dyDescent="0.3">
      <c r="B924" s="48"/>
      <c r="C924" s="48"/>
      <c r="D924" s="10" t="str">
        <f t="shared" ca="1" si="94"/>
        <v/>
      </c>
      <c r="E924" s="48"/>
      <c r="F924" s="48"/>
      <c r="G924" s="10" t="str">
        <f t="shared" ca="1" si="100"/>
        <v/>
      </c>
      <c r="I924" s="10" t="str">
        <f t="shared" ca="1" si="95"/>
        <v/>
      </c>
      <c r="K924" s="4" t="e">
        <f t="shared" ca="1" si="96"/>
        <v>#N/A</v>
      </c>
      <c r="L924" s="4" t="e">
        <f>VLOOKUP(C924,_resources!B:D,3,0)</f>
        <v>#N/A</v>
      </c>
      <c r="M924" s="4" t="e" cm="1">
        <f t="array" aca="1" ref="M924" ca="1">IF(abbrAtEnd,"",L924&amp;"-")&amp;E924&amp;"-"&amp;INDIRECT(OFFSET(element3,MATCH($C924,resources,0)-1,0))&amp;"-"&amp;INDIRECT(OFFSET(element4,MATCH($C924,resources,0)-1,0))&amp;"-"&amp;INDIRECT(OFFSET(element5,MATCH($C924,resources,0)-1,0))&amp;IF(OFFSET(element6,MATCH($C924,resources,0)-1,0)="","","-"&amp;INDIRECT(OFFSET(element6,MATCH($C924,resources,0)-1,0)))&amp;IF(abbrAtEnd,"-"&amp;L924,"")</f>
        <v>#N/A</v>
      </c>
      <c r="N924" s="4" t="str">
        <f t="shared" si="99"/>
        <v>-000</v>
      </c>
      <c r="O924" s="4">
        <f ca="1">IF(totalElements+COUNTIF(Entities!$C$10,"*")+COUNTIF(B924:C924,"*")+COUNTIF(E924:F924,"*")=9,1,0)</f>
        <v>0</v>
      </c>
      <c r="P924" s="4">
        <f>COUNTIF($C$6:C924,C924)</f>
        <v>0</v>
      </c>
      <c r="Q924" s="4">
        <f ca="1">IF(ISNA(M924),0,COUNTIF($M$6:M924,M924))</f>
        <v>0</v>
      </c>
      <c r="R924" s="4" t="e">
        <f t="shared" ca="1" si="98"/>
        <v>#N/A</v>
      </c>
      <c r="S924" s="4">
        <f ca="1">IF(ISNA(M924),0,COUNTIF($R$6:R924,R924))</f>
        <v>0</v>
      </c>
      <c r="T924" s="4" t="e">
        <f t="shared" ca="1" si="97"/>
        <v>#N/A</v>
      </c>
    </row>
    <row r="925" spans="2:20" x14ac:dyDescent="0.3">
      <c r="B925" s="48"/>
      <c r="C925" s="48"/>
      <c r="D925" s="10" t="str">
        <f t="shared" ca="1" si="94"/>
        <v/>
      </c>
      <c r="E925" s="48"/>
      <c r="F925" s="48"/>
      <c r="G925" s="10" t="str">
        <f t="shared" ca="1" si="100"/>
        <v/>
      </c>
      <c r="I925" s="10" t="str">
        <f t="shared" ca="1" si="95"/>
        <v/>
      </c>
      <c r="K925" s="4" t="e">
        <f t="shared" ca="1" si="96"/>
        <v>#N/A</v>
      </c>
      <c r="L925" s="4" t="e">
        <f>VLOOKUP(C925,_resources!B:D,3,0)</f>
        <v>#N/A</v>
      </c>
      <c r="M925" s="4" t="e" cm="1">
        <f t="array" aca="1" ref="M925" ca="1">IF(abbrAtEnd,"",L925&amp;"-")&amp;E925&amp;"-"&amp;INDIRECT(OFFSET(element3,MATCH($C925,resources,0)-1,0))&amp;"-"&amp;INDIRECT(OFFSET(element4,MATCH($C925,resources,0)-1,0))&amp;"-"&amp;INDIRECT(OFFSET(element5,MATCH($C925,resources,0)-1,0))&amp;IF(OFFSET(element6,MATCH($C925,resources,0)-1,0)="","","-"&amp;INDIRECT(OFFSET(element6,MATCH($C925,resources,0)-1,0)))&amp;IF(abbrAtEnd,"-"&amp;L925,"")</f>
        <v>#N/A</v>
      </c>
      <c r="N925" s="4" t="str">
        <f t="shared" si="99"/>
        <v>-000</v>
      </c>
      <c r="O925" s="4">
        <f ca="1">IF(totalElements+COUNTIF(Entities!$C$10,"*")+COUNTIF(B925:C925,"*")+COUNTIF(E925:F925,"*")=9,1,0)</f>
        <v>0</v>
      </c>
      <c r="P925" s="4">
        <f>COUNTIF($C$6:C925,C925)</f>
        <v>0</v>
      </c>
      <c r="Q925" s="4">
        <f ca="1">IF(ISNA(M925),0,COUNTIF($M$6:M925,M925))</f>
        <v>0</v>
      </c>
      <c r="R925" s="4" t="e">
        <f t="shared" ca="1" si="98"/>
        <v>#N/A</v>
      </c>
      <c r="S925" s="4">
        <f ca="1">IF(ISNA(M925),0,COUNTIF($R$6:R925,R925))</f>
        <v>0</v>
      </c>
      <c r="T925" s="4" t="e">
        <f t="shared" ca="1" si="97"/>
        <v>#N/A</v>
      </c>
    </row>
    <row r="926" spans="2:20" x14ac:dyDescent="0.3">
      <c r="B926" s="48"/>
      <c r="C926" s="48"/>
      <c r="D926" s="10" t="str">
        <f t="shared" ca="1" si="94"/>
        <v/>
      </c>
      <c r="E926" s="48"/>
      <c r="F926" s="48"/>
      <c r="G926" s="10" t="str">
        <f t="shared" ca="1" si="100"/>
        <v/>
      </c>
      <c r="I926" s="10" t="str">
        <f t="shared" ca="1" si="95"/>
        <v/>
      </c>
      <c r="K926" s="4" t="e">
        <f t="shared" ca="1" si="96"/>
        <v>#N/A</v>
      </c>
      <c r="L926" s="4" t="e">
        <f>VLOOKUP(C926,_resources!B:D,3,0)</f>
        <v>#N/A</v>
      </c>
      <c r="M926" s="4" t="e" cm="1">
        <f t="array" aca="1" ref="M926" ca="1">IF(abbrAtEnd,"",L926&amp;"-")&amp;E926&amp;"-"&amp;INDIRECT(OFFSET(element3,MATCH($C926,resources,0)-1,0))&amp;"-"&amp;INDIRECT(OFFSET(element4,MATCH($C926,resources,0)-1,0))&amp;"-"&amp;INDIRECT(OFFSET(element5,MATCH($C926,resources,0)-1,0))&amp;IF(OFFSET(element6,MATCH($C926,resources,0)-1,0)="","","-"&amp;INDIRECT(OFFSET(element6,MATCH($C926,resources,0)-1,0)))&amp;IF(abbrAtEnd,"-"&amp;L926,"")</f>
        <v>#N/A</v>
      </c>
      <c r="N926" s="4" t="str">
        <f t="shared" si="99"/>
        <v>-000</v>
      </c>
      <c r="O926" s="4">
        <f ca="1">IF(totalElements+COUNTIF(Entities!$C$10,"*")+COUNTIF(B926:C926,"*")+COUNTIF(E926:F926,"*")=9,1,0)</f>
        <v>0</v>
      </c>
      <c r="P926" s="4">
        <f>COUNTIF($C$6:C926,C926)</f>
        <v>0</v>
      </c>
      <c r="Q926" s="4">
        <f ca="1">IF(ISNA(M926),0,COUNTIF($M$6:M926,M926))</f>
        <v>0</v>
      </c>
      <c r="R926" s="4" t="e">
        <f t="shared" ca="1" si="98"/>
        <v>#N/A</v>
      </c>
      <c r="S926" s="4">
        <f ca="1">IF(ISNA(M926),0,COUNTIF($R$6:R926,R926))</f>
        <v>0</v>
      </c>
      <c r="T926" s="4" t="e">
        <f t="shared" ca="1" si="97"/>
        <v>#N/A</v>
      </c>
    </row>
    <row r="927" spans="2:20" x14ac:dyDescent="0.3">
      <c r="B927" s="48"/>
      <c r="C927" s="48"/>
      <c r="D927" s="10" t="str">
        <f t="shared" ca="1" si="94"/>
        <v/>
      </c>
      <c r="E927" s="48"/>
      <c r="F927" s="48"/>
      <c r="G927" s="10" t="str">
        <f t="shared" ca="1" si="100"/>
        <v/>
      </c>
      <c r="I927" s="10" t="str">
        <f t="shared" ca="1" si="95"/>
        <v/>
      </c>
      <c r="K927" s="4" t="e">
        <f t="shared" ca="1" si="96"/>
        <v>#N/A</v>
      </c>
      <c r="L927" s="4" t="e">
        <f>VLOOKUP(C927,_resources!B:D,3,0)</f>
        <v>#N/A</v>
      </c>
      <c r="M927" s="4" t="e" cm="1">
        <f t="array" aca="1" ref="M927" ca="1">IF(abbrAtEnd,"",L927&amp;"-")&amp;E927&amp;"-"&amp;INDIRECT(OFFSET(element3,MATCH($C927,resources,0)-1,0))&amp;"-"&amp;INDIRECT(OFFSET(element4,MATCH($C927,resources,0)-1,0))&amp;"-"&amp;INDIRECT(OFFSET(element5,MATCH($C927,resources,0)-1,0))&amp;IF(OFFSET(element6,MATCH($C927,resources,0)-1,0)="","","-"&amp;INDIRECT(OFFSET(element6,MATCH($C927,resources,0)-1,0)))&amp;IF(abbrAtEnd,"-"&amp;L927,"")</f>
        <v>#N/A</v>
      </c>
      <c r="N927" s="4" t="str">
        <f t="shared" si="99"/>
        <v>-000</v>
      </c>
      <c r="O927" s="4">
        <f ca="1">IF(totalElements+COUNTIF(Entities!$C$10,"*")+COUNTIF(B927:C927,"*")+COUNTIF(E927:F927,"*")=9,1,0)</f>
        <v>0</v>
      </c>
      <c r="P927" s="4">
        <f>COUNTIF($C$6:C927,C927)</f>
        <v>0</v>
      </c>
      <c r="Q927" s="4">
        <f ca="1">IF(ISNA(M927),0,COUNTIF($M$6:M927,M927))</f>
        <v>0</v>
      </c>
      <c r="R927" s="4" t="e">
        <f t="shared" ca="1" si="98"/>
        <v>#N/A</v>
      </c>
      <c r="S927" s="4">
        <f ca="1">IF(ISNA(M927),0,COUNTIF($R$6:R927,R927))</f>
        <v>0</v>
      </c>
      <c r="T927" s="4" t="e">
        <f t="shared" ca="1" si="97"/>
        <v>#N/A</v>
      </c>
    </row>
    <row r="928" spans="2:20" x14ac:dyDescent="0.3">
      <c r="B928" s="48"/>
      <c r="C928" s="48"/>
      <c r="D928" s="10" t="str">
        <f t="shared" ca="1" si="94"/>
        <v/>
      </c>
      <c r="E928" s="48"/>
      <c r="F928" s="48"/>
      <c r="G928" s="10" t="str">
        <f t="shared" ca="1" si="100"/>
        <v/>
      </c>
      <c r="I928" s="10" t="str">
        <f t="shared" ca="1" si="95"/>
        <v/>
      </c>
      <c r="K928" s="4" t="e">
        <f t="shared" ca="1" si="96"/>
        <v>#N/A</v>
      </c>
      <c r="L928" s="4" t="e">
        <f>VLOOKUP(C928,_resources!B:D,3,0)</f>
        <v>#N/A</v>
      </c>
      <c r="M928" s="4" t="e" cm="1">
        <f t="array" aca="1" ref="M928" ca="1">IF(abbrAtEnd,"",L928&amp;"-")&amp;E928&amp;"-"&amp;INDIRECT(OFFSET(element3,MATCH($C928,resources,0)-1,0))&amp;"-"&amp;INDIRECT(OFFSET(element4,MATCH($C928,resources,0)-1,0))&amp;"-"&amp;INDIRECT(OFFSET(element5,MATCH($C928,resources,0)-1,0))&amp;IF(OFFSET(element6,MATCH($C928,resources,0)-1,0)="","","-"&amp;INDIRECT(OFFSET(element6,MATCH($C928,resources,0)-1,0)))&amp;IF(abbrAtEnd,"-"&amp;L928,"")</f>
        <v>#N/A</v>
      </c>
      <c r="N928" s="4" t="str">
        <f t="shared" si="99"/>
        <v>-000</v>
      </c>
      <c r="O928" s="4">
        <f ca="1">IF(totalElements+COUNTIF(Entities!$C$10,"*")+COUNTIF(B928:C928,"*")+COUNTIF(E928:F928,"*")=9,1,0)</f>
        <v>0</v>
      </c>
      <c r="P928" s="4">
        <f>COUNTIF($C$6:C928,C928)</f>
        <v>0</v>
      </c>
      <c r="Q928" s="4">
        <f ca="1">IF(ISNA(M928),0,COUNTIF($M$6:M928,M928))</f>
        <v>0</v>
      </c>
      <c r="R928" s="4" t="e">
        <f t="shared" ca="1" si="98"/>
        <v>#N/A</v>
      </c>
      <c r="S928" s="4">
        <f ca="1">IF(ISNA(M928),0,COUNTIF($R$6:R928,R928))</f>
        <v>0</v>
      </c>
      <c r="T928" s="4" t="e">
        <f t="shared" ca="1" si="97"/>
        <v>#N/A</v>
      </c>
    </row>
    <row r="929" spans="2:20" x14ac:dyDescent="0.3">
      <c r="B929" s="48"/>
      <c r="C929" s="48"/>
      <c r="D929" s="10" t="str">
        <f t="shared" ca="1" si="94"/>
        <v/>
      </c>
      <c r="E929" s="48"/>
      <c r="F929" s="48"/>
      <c r="G929" s="10" t="str">
        <f t="shared" ca="1" si="100"/>
        <v/>
      </c>
      <c r="I929" s="10" t="str">
        <f t="shared" ca="1" si="95"/>
        <v/>
      </c>
      <c r="K929" s="4" t="e">
        <f t="shared" ca="1" si="96"/>
        <v>#N/A</v>
      </c>
      <c r="L929" s="4" t="e">
        <f>VLOOKUP(C929,_resources!B:D,3,0)</f>
        <v>#N/A</v>
      </c>
      <c r="M929" s="4" t="e" cm="1">
        <f t="array" aca="1" ref="M929" ca="1">IF(abbrAtEnd,"",L929&amp;"-")&amp;E929&amp;"-"&amp;INDIRECT(OFFSET(element3,MATCH($C929,resources,0)-1,0))&amp;"-"&amp;INDIRECT(OFFSET(element4,MATCH($C929,resources,0)-1,0))&amp;"-"&amp;INDIRECT(OFFSET(element5,MATCH($C929,resources,0)-1,0))&amp;IF(OFFSET(element6,MATCH($C929,resources,0)-1,0)="","","-"&amp;INDIRECT(OFFSET(element6,MATCH($C929,resources,0)-1,0)))&amp;IF(abbrAtEnd,"-"&amp;L929,"")</f>
        <v>#N/A</v>
      </c>
      <c r="N929" s="4" t="str">
        <f t="shared" si="99"/>
        <v>-000</v>
      </c>
      <c r="O929" s="4">
        <f ca="1">IF(totalElements+COUNTIF(Entities!$C$10,"*")+COUNTIF(B929:C929,"*")+COUNTIF(E929:F929,"*")=9,1,0)</f>
        <v>0</v>
      </c>
      <c r="P929" s="4">
        <f>COUNTIF($C$6:C929,C929)</f>
        <v>0</v>
      </c>
      <c r="Q929" s="4">
        <f ca="1">IF(ISNA(M929),0,COUNTIF($M$6:M929,M929))</f>
        <v>0</v>
      </c>
      <c r="R929" s="4" t="e">
        <f t="shared" ca="1" si="98"/>
        <v>#N/A</v>
      </c>
      <c r="S929" s="4">
        <f ca="1">IF(ISNA(M929),0,COUNTIF($R$6:R929,R929))</f>
        <v>0</v>
      </c>
      <c r="T929" s="4" t="e">
        <f t="shared" ca="1" si="97"/>
        <v>#N/A</v>
      </c>
    </row>
    <row r="930" spans="2:20" x14ac:dyDescent="0.3">
      <c r="B930" s="48"/>
      <c r="C930" s="48"/>
      <c r="D930" s="10" t="str">
        <f t="shared" ca="1" si="94"/>
        <v/>
      </c>
      <c r="E930" s="48"/>
      <c r="F930" s="48"/>
      <c r="G930" s="10" t="str">
        <f t="shared" ca="1" si="100"/>
        <v/>
      </c>
      <c r="I930" s="10" t="str">
        <f t="shared" ca="1" si="95"/>
        <v/>
      </c>
      <c r="K930" s="4" t="e">
        <f t="shared" ca="1" si="96"/>
        <v>#N/A</v>
      </c>
      <c r="L930" s="4" t="e">
        <f>VLOOKUP(C930,_resources!B:D,3,0)</f>
        <v>#N/A</v>
      </c>
      <c r="M930" s="4" t="e" cm="1">
        <f t="array" aca="1" ref="M930" ca="1">IF(abbrAtEnd,"",L930&amp;"-")&amp;E930&amp;"-"&amp;INDIRECT(OFFSET(element3,MATCH($C930,resources,0)-1,0))&amp;"-"&amp;INDIRECT(OFFSET(element4,MATCH($C930,resources,0)-1,0))&amp;"-"&amp;INDIRECT(OFFSET(element5,MATCH($C930,resources,0)-1,0))&amp;IF(OFFSET(element6,MATCH($C930,resources,0)-1,0)="","","-"&amp;INDIRECT(OFFSET(element6,MATCH($C930,resources,0)-1,0)))&amp;IF(abbrAtEnd,"-"&amp;L930,"")</f>
        <v>#N/A</v>
      </c>
      <c r="N930" s="4" t="str">
        <f t="shared" si="99"/>
        <v>-000</v>
      </c>
      <c r="O930" s="4">
        <f ca="1">IF(totalElements+COUNTIF(Entities!$C$10,"*")+COUNTIF(B930:C930,"*")+COUNTIF(E930:F930,"*")=9,1,0)</f>
        <v>0</v>
      </c>
      <c r="P930" s="4">
        <f>COUNTIF($C$6:C930,C930)</f>
        <v>0</v>
      </c>
      <c r="Q930" s="4">
        <f ca="1">IF(ISNA(M930),0,COUNTIF($M$6:M930,M930))</f>
        <v>0</v>
      </c>
      <c r="R930" s="4" t="e">
        <f t="shared" ca="1" si="98"/>
        <v>#N/A</v>
      </c>
      <c r="S930" s="4">
        <f ca="1">IF(ISNA(M930),0,COUNTIF($R$6:R930,R930))</f>
        <v>0</v>
      </c>
      <c r="T930" s="4" t="e">
        <f t="shared" ca="1" si="97"/>
        <v>#N/A</v>
      </c>
    </row>
    <row r="931" spans="2:20" x14ac:dyDescent="0.3">
      <c r="B931" s="48"/>
      <c r="C931" s="48"/>
      <c r="D931" s="10" t="str">
        <f t="shared" ca="1" si="94"/>
        <v/>
      </c>
      <c r="E931" s="48"/>
      <c r="F931" s="48"/>
      <c r="G931" s="10" t="str">
        <f t="shared" ca="1" si="100"/>
        <v/>
      </c>
      <c r="I931" s="10" t="str">
        <f t="shared" ca="1" si="95"/>
        <v/>
      </c>
      <c r="K931" s="4" t="e">
        <f t="shared" ca="1" si="96"/>
        <v>#N/A</v>
      </c>
      <c r="L931" s="4" t="e">
        <f>VLOOKUP(C931,_resources!B:D,3,0)</f>
        <v>#N/A</v>
      </c>
      <c r="M931" s="4" t="e" cm="1">
        <f t="array" aca="1" ref="M931" ca="1">IF(abbrAtEnd,"",L931&amp;"-")&amp;E931&amp;"-"&amp;INDIRECT(OFFSET(element3,MATCH($C931,resources,0)-1,0))&amp;"-"&amp;INDIRECT(OFFSET(element4,MATCH($C931,resources,0)-1,0))&amp;"-"&amp;INDIRECT(OFFSET(element5,MATCH($C931,resources,0)-1,0))&amp;IF(OFFSET(element6,MATCH($C931,resources,0)-1,0)="","","-"&amp;INDIRECT(OFFSET(element6,MATCH($C931,resources,0)-1,0)))&amp;IF(abbrAtEnd,"-"&amp;L931,"")</f>
        <v>#N/A</v>
      </c>
      <c r="N931" s="4" t="str">
        <f t="shared" si="99"/>
        <v>-000</v>
      </c>
      <c r="O931" s="4">
        <f ca="1">IF(totalElements+COUNTIF(Entities!$C$10,"*")+COUNTIF(B931:C931,"*")+COUNTIF(E931:F931,"*")=9,1,0)</f>
        <v>0</v>
      </c>
      <c r="P931" s="4">
        <f>COUNTIF($C$6:C931,C931)</f>
        <v>0</v>
      </c>
      <c r="Q931" s="4">
        <f ca="1">IF(ISNA(M931),0,COUNTIF($M$6:M931,M931))</f>
        <v>0</v>
      </c>
      <c r="R931" s="4" t="e">
        <f t="shared" ca="1" si="98"/>
        <v>#N/A</v>
      </c>
      <c r="S931" s="4">
        <f ca="1">IF(ISNA(M931),0,COUNTIF($R$6:R931,R931))</f>
        <v>0</v>
      </c>
      <c r="T931" s="4" t="e">
        <f t="shared" ca="1" si="97"/>
        <v>#N/A</v>
      </c>
    </row>
    <row r="932" spans="2:20" x14ac:dyDescent="0.3">
      <c r="B932" s="48"/>
      <c r="C932" s="48"/>
      <c r="D932" s="10" t="str">
        <f t="shared" ca="1" si="94"/>
        <v/>
      </c>
      <c r="E932" s="48"/>
      <c r="F932" s="48"/>
      <c r="G932" s="10" t="str">
        <f t="shared" ca="1" si="100"/>
        <v/>
      </c>
      <c r="I932" s="10" t="str">
        <f t="shared" ca="1" si="95"/>
        <v/>
      </c>
      <c r="K932" s="4" t="e">
        <f t="shared" ca="1" si="96"/>
        <v>#N/A</v>
      </c>
      <c r="L932" s="4" t="e">
        <f>VLOOKUP(C932,_resources!B:D,3,0)</f>
        <v>#N/A</v>
      </c>
      <c r="M932" s="4" t="e" cm="1">
        <f t="array" aca="1" ref="M932" ca="1">IF(abbrAtEnd,"",L932&amp;"-")&amp;E932&amp;"-"&amp;INDIRECT(OFFSET(element3,MATCH($C932,resources,0)-1,0))&amp;"-"&amp;INDIRECT(OFFSET(element4,MATCH($C932,resources,0)-1,0))&amp;"-"&amp;INDIRECT(OFFSET(element5,MATCH($C932,resources,0)-1,0))&amp;IF(OFFSET(element6,MATCH($C932,resources,0)-1,0)="","","-"&amp;INDIRECT(OFFSET(element6,MATCH($C932,resources,0)-1,0)))&amp;IF(abbrAtEnd,"-"&amp;L932,"")</f>
        <v>#N/A</v>
      </c>
      <c r="N932" s="4" t="str">
        <f t="shared" si="99"/>
        <v>-000</v>
      </c>
      <c r="O932" s="4">
        <f ca="1">IF(totalElements+COUNTIF(Entities!$C$10,"*")+COUNTIF(B932:C932,"*")+COUNTIF(E932:F932,"*")=9,1,0)</f>
        <v>0</v>
      </c>
      <c r="P932" s="4">
        <f>COUNTIF($C$6:C932,C932)</f>
        <v>0</v>
      </c>
      <c r="Q932" s="4">
        <f ca="1">IF(ISNA(M932),0,COUNTIF($M$6:M932,M932))</f>
        <v>0</v>
      </c>
      <c r="R932" s="4" t="e">
        <f t="shared" ca="1" si="98"/>
        <v>#N/A</v>
      </c>
      <c r="S932" s="4">
        <f ca="1">IF(ISNA(M932),0,COUNTIF($R$6:R932,R932))</f>
        <v>0</v>
      </c>
      <c r="T932" s="4" t="e">
        <f t="shared" ca="1" si="97"/>
        <v>#N/A</v>
      </c>
    </row>
    <row r="933" spans="2:20" x14ac:dyDescent="0.3">
      <c r="B933" s="48"/>
      <c r="C933" s="48"/>
      <c r="D933" s="10" t="str">
        <f t="shared" ca="1" si="94"/>
        <v/>
      </c>
      <c r="E933" s="48"/>
      <c r="F933" s="48"/>
      <c r="G933" s="10" t="str">
        <f t="shared" ca="1" si="100"/>
        <v/>
      </c>
      <c r="I933" s="10" t="str">
        <f t="shared" ca="1" si="95"/>
        <v/>
      </c>
      <c r="K933" s="4" t="e">
        <f t="shared" ca="1" si="96"/>
        <v>#N/A</v>
      </c>
      <c r="L933" s="4" t="e">
        <f>VLOOKUP(C933,_resources!B:D,3,0)</f>
        <v>#N/A</v>
      </c>
      <c r="M933" s="4" t="e" cm="1">
        <f t="array" aca="1" ref="M933" ca="1">IF(abbrAtEnd,"",L933&amp;"-")&amp;E933&amp;"-"&amp;INDIRECT(OFFSET(element3,MATCH($C933,resources,0)-1,0))&amp;"-"&amp;INDIRECT(OFFSET(element4,MATCH($C933,resources,0)-1,0))&amp;"-"&amp;INDIRECT(OFFSET(element5,MATCH($C933,resources,0)-1,0))&amp;IF(OFFSET(element6,MATCH($C933,resources,0)-1,0)="","","-"&amp;INDIRECT(OFFSET(element6,MATCH($C933,resources,0)-1,0)))&amp;IF(abbrAtEnd,"-"&amp;L933,"")</f>
        <v>#N/A</v>
      </c>
      <c r="N933" s="4" t="str">
        <f t="shared" si="99"/>
        <v>-000</v>
      </c>
      <c r="O933" s="4">
        <f ca="1">IF(totalElements+COUNTIF(Entities!$C$10,"*")+COUNTIF(B933:C933,"*")+COUNTIF(E933:F933,"*")=9,1,0)</f>
        <v>0</v>
      </c>
      <c r="P933" s="4">
        <f>COUNTIF($C$6:C933,C933)</f>
        <v>0</v>
      </c>
      <c r="Q933" s="4">
        <f ca="1">IF(ISNA(M933),0,COUNTIF($M$6:M933,M933))</f>
        <v>0</v>
      </c>
      <c r="R933" s="4" t="e">
        <f t="shared" ca="1" si="98"/>
        <v>#N/A</v>
      </c>
      <c r="S933" s="4">
        <f ca="1">IF(ISNA(M933),0,COUNTIF($R$6:R933,R933))</f>
        <v>0</v>
      </c>
      <c r="T933" s="4" t="e">
        <f t="shared" ca="1" si="97"/>
        <v>#N/A</v>
      </c>
    </row>
    <row r="934" spans="2:20" x14ac:dyDescent="0.3">
      <c r="B934" s="48"/>
      <c r="C934" s="48"/>
      <c r="D934" s="10" t="str">
        <f t="shared" ca="1" si="94"/>
        <v/>
      </c>
      <c r="E934" s="48"/>
      <c r="F934" s="48"/>
      <c r="G934" s="10" t="str">
        <f t="shared" ca="1" si="100"/>
        <v/>
      </c>
      <c r="I934" s="10" t="str">
        <f t="shared" ca="1" si="95"/>
        <v/>
      </c>
      <c r="K934" s="4" t="e">
        <f t="shared" ca="1" si="96"/>
        <v>#N/A</v>
      </c>
      <c r="L934" s="4" t="e">
        <f>VLOOKUP(C934,_resources!B:D,3,0)</f>
        <v>#N/A</v>
      </c>
      <c r="M934" s="4" t="e" cm="1">
        <f t="array" aca="1" ref="M934" ca="1">IF(abbrAtEnd,"",L934&amp;"-")&amp;E934&amp;"-"&amp;INDIRECT(OFFSET(element3,MATCH($C934,resources,0)-1,0))&amp;"-"&amp;INDIRECT(OFFSET(element4,MATCH($C934,resources,0)-1,0))&amp;"-"&amp;INDIRECT(OFFSET(element5,MATCH($C934,resources,0)-1,0))&amp;IF(OFFSET(element6,MATCH($C934,resources,0)-1,0)="","","-"&amp;INDIRECT(OFFSET(element6,MATCH($C934,resources,0)-1,0)))&amp;IF(abbrAtEnd,"-"&amp;L934,"")</f>
        <v>#N/A</v>
      </c>
      <c r="N934" s="4" t="str">
        <f t="shared" si="99"/>
        <v>-000</v>
      </c>
      <c r="O934" s="4">
        <f ca="1">IF(totalElements+COUNTIF(Entities!$C$10,"*")+COUNTIF(B934:C934,"*")+COUNTIF(E934:F934,"*")=9,1,0)</f>
        <v>0</v>
      </c>
      <c r="P934" s="4">
        <f>COUNTIF($C$6:C934,C934)</f>
        <v>0</v>
      </c>
      <c r="Q934" s="4">
        <f ca="1">IF(ISNA(M934),0,COUNTIF($M$6:M934,M934))</f>
        <v>0</v>
      </c>
      <c r="R934" s="4" t="e">
        <f t="shared" ca="1" si="98"/>
        <v>#N/A</v>
      </c>
      <c r="S934" s="4">
        <f ca="1">IF(ISNA(M934),0,COUNTIF($R$6:R934,R934))</f>
        <v>0</v>
      </c>
      <c r="T934" s="4" t="e">
        <f t="shared" ca="1" si="97"/>
        <v>#N/A</v>
      </c>
    </row>
    <row r="935" spans="2:20" x14ac:dyDescent="0.3">
      <c r="B935" s="48"/>
      <c r="C935" s="48"/>
      <c r="D935" s="10" t="str">
        <f t="shared" ca="1" si="94"/>
        <v/>
      </c>
      <c r="E935" s="48"/>
      <c r="F935" s="48"/>
      <c r="G935" s="10" t="str">
        <f t="shared" ca="1" si="100"/>
        <v/>
      </c>
      <c r="I935" s="10" t="str">
        <f t="shared" ca="1" si="95"/>
        <v/>
      </c>
      <c r="K935" s="4" t="e">
        <f t="shared" ca="1" si="96"/>
        <v>#N/A</v>
      </c>
      <c r="L935" s="4" t="e">
        <f>VLOOKUP(C935,_resources!B:D,3,0)</f>
        <v>#N/A</v>
      </c>
      <c r="M935" s="4" t="e" cm="1">
        <f t="array" aca="1" ref="M935" ca="1">IF(abbrAtEnd,"",L935&amp;"-")&amp;E935&amp;"-"&amp;INDIRECT(OFFSET(element3,MATCH($C935,resources,0)-1,0))&amp;"-"&amp;INDIRECT(OFFSET(element4,MATCH($C935,resources,0)-1,0))&amp;"-"&amp;INDIRECT(OFFSET(element5,MATCH($C935,resources,0)-1,0))&amp;IF(OFFSET(element6,MATCH($C935,resources,0)-1,0)="","","-"&amp;INDIRECT(OFFSET(element6,MATCH($C935,resources,0)-1,0)))&amp;IF(abbrAtEnd,"-"&amp;L935,"")</f>
        <v>#N/A</v>
      </c>
      <c r="N935" s="4" t="str">
        <f t="shared" si="99"/>
        <v>-000</v>
      </c>
      <c r="O935" s="4">
        <f ca="1">IF(totalElements+COUNTIF(Entities!$C$10,"*")+COUNTIF(B935:C935,"*")+COUNTIF(E935:F935,"*")=9,1,0)</f>
        <v>0</v>
      </c>
      <c r="P935" s="4">
        <f>COUNTIF($C$6:C935,C935)</f>
        <v>0</v>
      </c>
      <c r="Q935" s="4">
        <f ca="1">IF(ISNA(M935),0,COUNTIF($M$6:M935,M935))</f>
        <v>0</v>
      </c>
      <c r="R935" s="4" t="e">
        <f t="shared" ca="1" si="98"/>
        <v>#N/A</v>
      </c>
      <c r="S935" s="4">
        <f ca="1">IF(ISNA(M935),0,COUNTIF($R$6:R935,R935))</f>
        <v>0</v>
      </c>
      <c r="T935" s="4" t="e">
        <f t="shared" ca="1" si="97"/>
        <v>#N/A</v>
      </c>
    </row>
    <row r="936" spans="2:20" x14ac:dyDescent="0.3">
      <c r="B936" s="48"/>
      <c r="C936" s="48"/>
      <c r="D936" s="10" t="str">
        <f t="shared" ca="1" si="94"/>
        <v/>
      </c>
      <c r="E936" s="48"/>
      <c r="F936" s="48"/>
      <c r="G936" s="10" t="str">
        <f t="shared" ca="1" si="100"/>
        <v/>
      </c>
      <c r="I936" s="10" t="str">
        <f t="shared" ca="1" si="95"/>
        <v/>
      </c>
      <c r="K936" s="4" t="e">
        <f t="shared" ca="1" si="96"/>
        <v>#N/A</v>
      </c>
      <c r="L936" s="4" t="e">
        <f>VLOOKUP(C936,_resources!B:D,3,0)</f>
        <v>#N/A</v>
      </c>
      <c r="M936" s="4" t="e" cm="1">
        <f t="array" aca="1" ref="M936" ca="1">IF(abbrAtEnd,"",L936&amp;"-")&amp;E936&amp;"-"&amp;INDIRECT(OFFSET(element3,MATCH($C936,resources,0)-1,0))&amp;"-"&amp;INDIRECT(OFFSET(element4,MATCH($C936,resources,0)-1,0))&amp;"-"&amp;INDIRECT(OFFSET(element5,MATCH($C936,resources,0)-1,0))&amp;IF(OFFSET(element6,MATCH($C936,resources,0)-1,0)="","","-"&amp;INDIRECT(OFFSET(element6,MATCH($C936,resources,0)-1,0)))&amp;IF(abbrAtEnd,"-"&amp;L936,"")</f>
        <v>#N/A</v>
      </c>
      <c r="N936" s="4" t="str">
        <f t="shared" si="99"/>
        <v>-000</v>
      </c>
      <c r="O936" s="4">
        <f ca="1">IF(totalElements+COUNTIF(Entities!$C$10,"*")+COUNTIF(B936:C936,"*")+COUNTIF(E936:F936,"*")=9,1,0)</f>
        <v>0</v>
      </c>
      <c r="P936" s="4">
        <f>COUNTIF($C$6:C936,C936)</f>
        <v>0</v>
      </c>
      <c r="Q936" s="4">
        <f ca="1">IF(ISNA(M936),0,COUNTIF($M$6:M936,M936))</f>
        <v>0</v>
      </c>
      <c r="R936" s="4" t="e">
        <f t="shared" ca="1" si="98"/>
        <v>#N/A</v>
      </c>
      <c r="S936" s="4">
        <f ca="1">IF(ISNA(M936),0,COUNTIF($R$6:R936,R936))</f>
        <v>0</v>
      </c>
      <c r="T936" s="4" t="e">
        <f t="shared" ca="1" si="97"/>
        <v>#N/A</v>
      </c>
    </row>
    <row r="937" spans="2:20" x14ac:dyDescent="0.3">
      <c r="B937" s="48"/>
      <c r="C937" s="48"/>
      <c r="D937" s="10" t="str">
        <f t="shared" ca="1" si="94"/>
        <v/>
      </c>
      <c r="E937" s="48"/>
      <c r="F937" s="48"/>
      <c r="G937" s="10" t="str">
        <f t="shared" ca="1" si="100"/>
        <v/>
      </c>
      <c r="I937" s="10" t="str">
        <f t="shared" ca="1" si="95"/>
        <v/>
      </c>
      <c r="K937" s="4" t="e">
        <f t="shared" ca="1" si="96"/>
        <v>#N/A</v>
      </c>
      <c r="L937" s="4" t="e">
        <f>VLOOKUP(C937,_resources!B:D,3,0)</f>
        <v>#N/A</v>
      </c>
      <c r="M937" s="4" t="e" cm="1">
        <f t="array" aca="1" ref="M937" ca="1">IF(abbrAtEnd,"",L937&amp;"-")&amp;E937&amp;"-"&amp;INDIRECT(OFFSET(element3,MATCH($C937,resources,0)-1,0))&amp;"-"&amp;INDIRECT(OFFSET(element4,MATCH($C937,resources,0)-1,0))&amp;"-"&amp;INDIRECT(OFFSET(element5,MATCH($C937,resources,0)-1,0))&amp;IF(OFFSET(element6,MATCH($C937,resources,0)-1,0)="","","-"&amp;INDIRECT(OFFSET(element6,MATCH($C937,resources,0)-1,0)))&amp;IF(abbrAtEnd,"-"&amp;L937,"")</f>
        <v>#N/A</v>
      </c>
      <c r="N937" s="4" t="str">
        <f t="shared" si="99"/>
        <v>-000</v>
      </c>
      <c r="O937" s="4">
        <f ca="1">IF(totalElements+COUNTIF(Entities!$C$10,"*")+COUNTIF(B937:C937,"*")+COUNTIF(E937:F937,"*")=9,1,0)</f>
        <v>0</v>
      </c>
      <c r="P937" s="4">
        <f>COUNTIF($C$6:C937,C937)</f>
        <v>0</v>
      </c>
      <c r="Q937" s="4">
        <f ca="1">IF(ISNA(M937),0,COUNTIF($M$6:M937,M937))</f>
        <v>0</v>
      </c>
      <c r="R937" s="4" t="e">
        <f t="shared" ca="1" si="98"/>
        <v>#N/A</v>
      </c>
      <c r="S937" s="4">
        <f ca="1">IF(ISNA(M937),0,COUNTIF($R$6:R937,R937))</f>
        <v>0</v>
      </c>
      <c r="T937" s="4" t="e">
        <f t="shared" ca="1" si="97"/>
        <v>#N/A</v>
      </c>
    </row>
    <row r="938" spans="2:20" x14ac:dyDescent="0.3">
      <c r="B938" s="48"/>
      <c r="C938" s="48"/>
      <c r="D938" s="10" t="str">
        <f t="shared" ca="1" si="94"/>
        <v/>
      </c>
      <c r="E938" s="48"/>
      <c r="F938" s="48"/>
      <c r="G938" s="10" t="str">
        <f t="shared" ca="1" si="100"/>
        <v/>
      </c>
      <c r="I938" s="10" t="str">
        <f t="shared" ca="1" si="95"/>
        <v/>
      </c>
      <c r="K938" s="4" t="e">
        <f t="shared" ca="1" si="96"/>
        <v>#N/A</v>
      </c>
      <c r="L938" s="4" t="e">
        <f>VLOOKUP(C938,_resources!B:D,3,0)</f>
        <v>#N/A</v>
      </c>
      <c r="M938" s="4" t="e" cm="1">
        <f t="array" aca="1" ref="M938" ca="1">IF(abbrAtEnd,"",L938&amp;"-")&amp;E938&amp;"-"&amp;INDIRECT(OFFSET(element3,MATCH($C938,resources,0)-1,0))&amp;"-"&amp;INDIRECT(OFFSET(element4,MATCH($C938,resources,0)-1,0))&amp;"-"&amp;INDIRECT(OFFSET(element5,MATCH($C938,resources,0)-1,0))&amp;IF(OFFSET(element6,MATCH($C938,resources,0)-1,0)="","","-"&amp;INDIRECT(OFFSET(element6,MATCH($C938,resources,0)-1,0)))&amp;IF(abbrAtEnd,"-"&amp;L938,"")</f>
        <v>#N/A</v>
      </c>
      <c r="N938" s="4" t="str">
        <f t="shared" si="99"/>
        <v>-000</v>
      </c>
      <c r="O938" s="4">
        <f ca="1">IF(totalElements+COUNTIF(Entities!$C$10,"*")+COUNTIF(B938:C938,"*")+COUNTIF(E938:F938,"*")=9,1,0)</f>
        <v>0</v>
      </c>
      <c r="P938" s="4">
        <f>COUNTIF($C$6:C938,C938)</f>
        <v>0</v>
      </c>
      <c r="Q938" s="4">
        <f ca="1">IF(ISNA(M938),0,COUNTIF($M$6:M938,M938))</f>
        <v>0</v>
      </c>
      <c r="R938" s="4" t="e">
        <f t="shared" ca="1" si="98"/>
        <v>#N/A</v>
      </c>
      <c r="S938" s="4">
        <f ca="1">IF(ISNA(M938),0,COUNTIF($R$6:R938,R938))</f>
        <v>0</v>
      </c>
      <c r="T938" s="4" t="e">
        <f t="shared" ca="1" si="97"/>
        <v>#N/A</v>
      </c>
    </row>
    <row r="939" spans="2:20" x14ac:dyDescent="0.3">
      <c r="B939" s="48"/>
      <c r="C939" s="48"/>
      <c r="D939" s="10" t="str">
        <f t="shared" ca="1" si="94"/>
        <v/>
      </c>
      <c r="E939" s="48"/>
      <c r="F939" s="48"/>
      <c r="G939" s="10" t="str">
        <f t="shared" ca="1" si="100"/>
        <v/>
      </c>
      <c r="I939" s="10" t="str">
        <f t="shared" ca="1" si="95"/>
        <v/>
      </c>
      <c r="K939" s="4" t="e">
        <f t="shared" ca="1" si="96"/>
        <v>#N/A</v>
      </c>
      <c r="L939" s="4" t="e">
        <f>VLOOKUP(C939,_resources!B:D,3,0)</f>
        <v>#N/A</v>
      </c>
      <c r="M939" s="4" t="e" cm="1">
        <f t="array" aca="1" ref="M939" ca="1">IF(abbrAtEnd,"",L939&amp;"-")&amp;E939&amp;"-"&amp;INDIRECT(OFFSET(element3,MATCH($C939,resources,0)-1,0))&amp;"-"&amp;INDIRECT(OFFSET(element4,MATCH($C939,resources,0)-1,0))&amp;"-"&amp;INDIRECT(OFFSET(element5,MATCH($C939,resources,0)-1,0))&amp;IF(OFFSET(element6,MATCH($C939,resources,0)-1,0)="","","-"&amp;INDIRECT(OFFSET(element6,MATCH($C939,resources,0)-1,0)))&amp;IF(abbrAtEnd,"-"&amp;L939,"")</f>
        <v>#N/A</v>
      </c>
      <c r="N939" s="4" t="str">
        <f t="shared" si="99"/>
        <v>-000</v>
      </c>
      <c r="O939" s="4">
        <f ca="1">IF(totalElements+COUNTIF(Entities!$C$10,"*")+COUNTIF(B939:C939,"*")+COUNTIF(E939:F939,"*")=9,1,0)</f>
        <v>0</v>
      </c>
      <c r="P939" s="4">
        <f>COUNTIF($C$6:C939,C939)</f>
        <v>0</v>
      </c>
      <c r="Q939" s="4">
        <f ca="1">IF(ISNA(M939),0,COUNTIF($M$6:M939,M939))</f>
        <v>0</v>
      </c>
      <c r="R939" s="4" t="e">
        <f t="shared" ca="1" si="98"/>
        <v>#N/A</v>
      </c>
      <c r="S939" s="4">
        <f ca="1">IF(ISNA(M939),0,COUNTIF($R$6:R939,R939))</f>
        <v>0</v>
      </c>
      <c r="T939" s="4" t="e">
        <f t="shared" ca="1" si="97"/>
        <v>#N/A</v>
      </c>
    </row>
    <row r="940" spans="2:20" x14ac:dyDescent="0.3">
      <c r="B940" s="48"/>
      <c r="C940" s="48"/>
      <c r="D940" s="10" t="str">
        <f t="shared" ca="1" si="94"/>
        <v/>
      </c>
      <c r="E940" s="48"/>
      <c r="F940" s="48"/>
      <c r="G940" s="10" t="str">
        <f t="shared" ca="1" si="100"/>
        <v/>
      </c>
      <c r="I940" s="10" t="str">
        <f t="shared" ca="1" si="95"/>
        <v/>
      </c>
      <c r="K940" s="4" t="e">
        <f t="shared" ca="1" si="96"/>
        <v>#N/A</v>
      </c>
      <c r="L940" s="4" t="e">
        <f>VLOOKUP(C940,_resources!B:D,3,0)</f>
        <v>#N/A</v>
      </c>
      <c r="M940" s="4" t="e" cm="1">
        <f t="array" aca="1" ref="M940" ca="1">IF(abbrAtEnd,"",L940&amp;"-")&amp;E940&amp;"-"&amp;INDIRECT(OFFSET(element3,MATCH($C940,resources,0)-1,0))&amp;"-"&amp;INDIRECT(OFFSET(element4,MATCH($C940,resources,0)-1,0))&amp;"-"&amp;INDIRECT(OFFSET(element5,MATCH($C940,resources,0)-1,0))&amp;IF(OFFSET(element6,MATCH($C940,resources,0)-1,0)="","","-"&amp;INDIRECT(OFFSET(element6,MATCH($C940,resources,0)-1,0)))&amp;IF(abbrAtEnd,"-"&amp;L940,"")</f>
        <v>#N/A</v>
      </c>
      <c r="N940" s="4" t="str">
        <f t="shared" si="99"/>
        <v>-000</v>
      </c>
      <c r="O940" s="4">
        <f ca="1">IF(totalElements+COUNTIF(Entities!$C$10,"*")+COUNTIF(B940:C940,"*")+COUNTIF(E940:F940,"*")=9,1,0)</f>
        <v>0</v>
      </c>
      <c r="P940" s="4">
        <f>COUNTIF($C$6:C940,C940)</f>
        <v>0</v>
      </c>
      <c r="Q940" s="4">
        <f ca="1">IF(ISNA(M940),0,COUNTIF($M$6:M940,M940))</f>
        <v>0</v>
      </c>
      <c r="R940" s="4" t="e">
        <f t="shared" ca="1" si="98"/>
        <v>#N/A</v>
      </c>
      <c r="S940" s="4">
        <f ca="1">IF(ISNA(M940),0,COUNTIF($R$6:R940,R940))</f>
        <v>0</v>
      </c>
      <c r="T940" s="4" t="e">
        <f t="shared" ca="1" si="97"/>
        <v>#N/A</v>
      </c>
    </row>
    <row r="941" spans="2:20" x14ac:dyDescent="0.3">
      <c r="B941" s="48"/>
      <c r="C941" s="48"/>
      <c r="D941" s="10" t="str">
        <f t="shared" ca="1" si="94"/>
        <v/>
      </c>
      <c r="E941" s="48"/>
      <c r="F941" s="48"/>
      <c r="G941" s="10" t="str">
        <f t="shared" ca="1" si="100"/>
        <v/>
      </c>
      <c r="I941" s="10" t="str">
        <f t="shared" ca="1" si="95"/>
        <v/>
      </c>
      <c r="K941" s="4" t="e">
        <f t="shared" ca="1" si="96"/>
        <v>#N/A</v>
      </c>
      <c r="L941" s="4" t="e">
        <f>VLOOKUP(C941,_resources!B:D,3,0)</f>
        <v>#N/A</v>
      </c>
      <c r="M941" s="4" t="e" cm="1">
        <f t="array" aca="1" ref="M941" ca="1">IF(abbrAtEnd,"",L941&amp;"-")&amp;E941&amp;"-"&amp;INDIRECT(OFFSET(element3,MATCH($C941,resources,0)-1,0))&amp;"-"&amp;INDIRECT(OFFSET(element4,MATCH($C941,resources,0)-1,0))&amp;"-"&amp;INDIRECT(OFFSET(element5,MATCH($C941,resources,0)-1,0))&amp;IF(OFFSET(element6,MATCH($C941,resources,0)-1,0)="","","-"&amp;INDIRECT(OFFSET(element6,MATCH($C941,resources,0)-1,0)))&amp;IF(abbrAtEnd,"-"&amp;L941,"")</f>
        <v>#N/A</v>
      </c>
      <c r="N941" s="4" t="str">
        <f t="shared" si="99"/>
        <v>-000</v>
      </c>
      <c r="O941" s="4">
        <f ca="1">IF(totalElements+COUNTIF(Entities!$C$10,"*")+COUNTIF(B941:C941,"*")+COUNTIF(E941:F941,"*")=9,1,0)</f>
        <v>0</v>
      </c>
      <c r="P941" s="4">
        <f>COUNTIF($C$6:C941,C941)</f>
        <v>0</v>
      </c>
      <c r="Q941" s="4">
        <f ca="1">IF(ISNA(M941),0,COUNTIF($M$6:M941,M941))</f>
        <v>0</v>
      </c>
      <c r="R941" s="4" t="e">
        <f t="shared" ca="1" si="98"/>
        <v>#N/A</v>
      </c>
      <c r="S941" s="4">
        <f ca="1">IF(ISNA(M941),0,COUNTIF($R$6:R941,R941))</f>
        <v>0</v>
      </c>
      <c r="T941" s="4" t="e">
        <f t="shared" ca="1" si="97"/>
        <v>#N/A</v>
      </c>
    </row>
    <row r="942" spans="2:20" x14ac:dyDescent="0.3">
      <c r="B942" s="48"/>
      <c r="C942" s="48"/>
      <c r="D942" s="10" t="str">
        <f t="shared" ca="1" si="94"/>
        <v/>
      </c>
      <c r="E942" s="48"/>
      <c r="F942" s="48"/>
      <c r="G942" s="10" t="str">
        <f t="shared" ca="1" si="100"/>
        <v/>
      </c>
      <c r="I942" s="10" t="str">
        <f t="shared" ca="1" si="95"/>
        <v/>
      </c>
      <c r="K942" s="4" t="e">
        <f t="shared" ca="1" si="96"/>
        <v>#N/A</v>
      </c>
      <c r="L942" s="4" t="e">
        <f>VLOOKUP(C942,_resources!B:D,3,0)</f>
        <v>#N/A</v>
      </c>
      <c r="M942" s="4" t="e" cm="1">
        <f t="array" aca="1" ref="M942" ca="1">IF(abbrAtEnd,"",L942&amp;"-")&amp;E942&amp;"-"&amp;INDIRECT(OFFSET(element3,MATCH($C942,resources,0)-1,0))&amp;"-"&amp;INDIRECT(OFFSET(element4,MATCH($C942,resources,0)-1,0))&amp;"-"&amp;INDIRECT(OFFSET(element5,MATCH($C942,resources,0)-1,0))&amp;IF(OFFSET(element6,MATCH($C942,resources,0)-1,0)="","","-"&amp;INDIRECT(OFFSET(element6,MATCH($C942,resources,0)-1,0)))&amp;IF(abbrAtEnd,"-"&amp;L942,"")</f>
        <v>#N/A</v>
      </c>
      <c r="N942" s="4" t="str">
        <f t="shared" si="99"/>
        <v>-000</v>
      </c>
      <c r="O942" s="4">
        <f ca="1">IF(totalElements+COUNTIF(Entities!$C$10,"*")+COUNTIF(B942:C942,"*")+COUNTIF(E942:F942,"*")=9,1,0)</f>
        <v>0</v>
      </c>
      <c r="P942" s="4">
        <f>COUNTIF($C$6:C942,C942)</f>
        <v>0</v>
      </c>
      <c r="Q942" s="4">
        <f ca="1">IF(ISNA(M942),0,COUNTIF($M$6:M942,M942))</f>
        <v>0</v>
      </c>
      <c r="R942" s="4" t="e">
        <f t="shared" ca="1" si="98"/>
        <v>#N/A</v>
      </c>
      <c r="S942" s="4">
        <f ca="1">IF(ISNA(M942),0,COUNTIF($R$6:R942,R942))</f>
        <v>0</v>
      </c>
      <c r="T942" s="4" t="e">
        <f t="shared" ca="1" si="97"/>
        <v>#N/A</v>
      </c>
    </row>
    <row r="943" spans="2:20" x14ac:dyDescent="0.3">
      <c r="B943" s="48"/>
      <c r="C943" s="48"/>
      <c r="D943" s="10" t="str">
        <f t="shared" ca="1" si="94"/>
        <v/>
      </c>
      <c r="E943" s="48"/>
      <c r="F943" s="48"/>
      <c r="G943" s="10" t="str">
        <f t="shared" ca="1" si="100"/>
        <v/>
      </c>
      <c r="I943" s="10" t="str">
        <f t="shared" ca="1" si="95"/>
        <v/>
      </c>
      <c r="K943" s="4" t="e">
        <f t="shared" ca="1" si="96"/>
        <v>#N/A</v>
      </c>
      <c r="L943" s="4" t="e">
        <f>VLOOKUP(C943,_resources!B:D,3,0)</f>
        <v>#N/A</v>
      </c>
      <c r="M943" s="4" t="e" cm="1">
        <f t="array" aca="1" ref="M943" ca="1">IF(abbrAtEnd,"",L943&amp;"-")&amp;E943&amp;"-"&amp;INDIRECT(OFFSET(element3,MATCH($C943,resources,0)-1,0))&amp;"-"&amp;INDIRECT(OFFSET(element4,MATCH($C943,resources,0)-1,0))&amp;"-"&amp;INDIRECT(OFFSET(element5,MATCH($C943,resources,0)-1,0))&amp;IF(OFFSET(element6,MATCH($C943,resources,0)-1,0)="","","-"&amp;INDIRECT(OFFSET(element6,MATCH($C943,resources,0)-1,0)))&amp;IF(abbrAtEnd,"-"&amp;L943,"")</f>
        <v>#N/A</v>
      </c>
      <c r="N943" s="4" t="str">
        <f t="shared" si="99"/>
        <v>-000</v>
      </c>
      <c r="O943" s="4">
        <f ca="1">IF(totalElements+COUNTIF(Entities!$C$10,"*")+COUNTIF(B943:C943,"*")+COUNTIF(E943:F943,"*")=9,1,0)</f>
        <v>0</v>
      </c>
      <c r="P943" s="4">
        <f>COUNTIF($C$6:C943,C943)</f>
        <v>0</v>
      </c>
      <c r="Q943" s="4">
        <f ca="1">IF(ISNA(M943),0,COUNTIF($M$6:M943,M943))</f>
        <v>0</v>
      </c>
      <c r="R943" s="4" t="e">
        <f t="shared" ca="1" si="98"/>
        <v>#N/A</v>
      </c>
      <c r="S943" s="4">
        <f ca="1">IF(ISNA(M943),0,COUNTIF($R$6:R943,R943))</f>
        <v>0</v>
      </c>
      <c r="T943" s="4" t="e">
        <f t="shared" ca="1" si="97"/>
        <v>#N/A</v>
      </c>
    </row>
    <row r="944" spans="2:20" x14ac:dyDescent="0.3">
      <c r="B944" s="48"/>
      <c r="C944" s="48"/>
      <c r="D944" s="10" t="str">
        <f t="shared" ca="1" si="94"/>
        <v/>
      </c>
      <c r="E944" s="48"/>
      <c r="F944" s="48"/>
      <c r="G944" s="10" t="str">
        <f t="shared" ca="1" si="100"/>
        <v/>
      </c>
      <c r="I944" s="10" t="str">
        <f t="shared" ca="1" si="95"/>
        <v/>
      </c>
      <c r="K944" s="4" t="e">
        <f t="shared" ca="1" si="96"/>
        <v>#N/A</v>
      </c>
      <c r="L944" s="4" t="e">
        <f>VLOOKUP(C944,_resources!B:D,3,0)</f>
        <v>#N/A</v>
      </c>
      <c r="M944" s="4" t="e" cm="1">
        <f t="array" aca="1" ref="M944" ca="1">IF(abbrAtEnd,"",L944&amp;"-")&amp;E944&amp;"-"&amp;INDIRECT(OFFSET(element3,MATCH($C944,resources,0)-1,0))&amp;"-"&amp;INDIRECT(OFFSET(element4,MATCH($C944,resources,0)-1,0))&amp;"-"&amp;INDIRECT(OFFSET(element5,MATCH($C944,resources,0)-1,0))&amp;IF(OFFSET(element6,MATCH($C944,resources,0)-1,0)="","","-"&amp;INDIRECT(OFFSET(element6,MATCH($C944,resources,0)-1,0)))&amp;IF(abbrAtEnd,"-"&amp;L944,"")</f>
        <v>#N/A</v>
      </c>
      <c r="N944" s="4" t="str">
        <f t="shared" si="99"/>
        <v>-000</v>
      </c>
      <c r="O944" s="4">
        <f ca="1">IF(totalElements+COUNTIF(Entities!$C$10,"*")+COUNTIF(B944:C944,"*")+COUNTIF(E944:F944,"*")=9,1,0)</f>
        <v>0</v>
      </c>
      <c r="P944" s="4">
        <f>COUNTIF($C$6:C944,C944)</f>
        <v>0</v>
      </c>
      <c r="Q944" s="4">
        <f ca="1">IF(ISNA(M944),0,COUNTIF($M$6:M944,M944))</f>
        <v>0</v>
      </c>
      <c r="R944" s="4" t="e">
        <f t="shared" ca="1" si="98"/>
        <v>#N/A</v>
      </c>
      <c r="S944" s="4">
        <f ca="1">IF(ISNA(M944),0,COUNTIF($R$6:R944,R944))</f>
        <v>0</v>
      </c>
      <c r="T944" s="4" t="e">
        <f t="shared" ca="1" si="97"/>
        <v>#N/A</v>
      </c>
    </row>
    <row r="945" spans="2:20" x14ac:dyDescent="0.3">
      <c r="B945" s="48"/>
      <c r="C945" s="48"/>
      <c r="D945" s="10" t="str">
        <f t="shared" ref="D945:D999" ca="1" si="101">IF(ISBLANK(C945),"",OFFSET(element2,MATCH($C945,resources,0)-1,0))</f>
        <v/>
      </c>
      <c r="E945" s="48"/>
      <c r="F945" s="48"/>
      <c r="G945" s="10" t="str">
        <f t="shared" ca="1" si="100"/>
        <v/>
      </c>
      <c r="I945" s="10" t="str">
        <f t="shared" ref="I945:I999" ca="1" si="102">IF(O945,IF(LEN(G945)&gt;T945,"Name too Long (length: "&amp;LEN(G945)&amp;", max. "&amp;T945&amp;")","None"),"")</f>
        <v/>
      </c>
      <c r="K945" s="4" t="e">
        <f t="shared" ca="1" si="96"/>
        <v>#N/A</v>
      </c>
      <c r="L945" s="4" t="e">
        <f>VLOOKUP(C945,_resources!B:D,3,0)</f>
        <v>#N/A</v>
      </c>
      <c r="M945" s="4" t="e" cm="1">
        <f t="array" aca="1" ref="M945" ca="1">IF(abbrAtEnd,"",L945&amp;"-")&amp;E945&amp;"-"&amp;INDIRECT(OFFSET(element3,MATCH($C945,resources,0)-1,0))&amp;"-"&amp;INDIRECT(OFFSET(element4,MATCH($C945,resources,0)-1,0))&amp;"-"&amp;INDIRECT(OFFSET(element5,MATCH($C945,resources,0)-1,0))&amp;IF(OFFSET(element6,MATCH($C945,resources,0)-1,0)="","","-"&amp;INDIRECT(OFFSET(element6,MATCH($C945,resources,0)-1,0)))&amp;IF(abbrAtEnd,"-"&amp;L945,"")</f>
        <v>#N/A</v>
      </c>
      <c r="N945" s="4" t="str">
        <f t="shared" si="99"/>
        <v>-000</v>
      </c>
      <c r="O945" s="4">
        <f ca="1">IF(totalElements+COUNTIF(Entities!$C$10,"*")+COUNTIF(B945:C945,"*")+COUNTIF(E945:F945,"*")=9,1,0)</f>
        <v>0</v>
      </c>
      <c r="P945" s="4">
        <f>COUNTIF($C$6:C945,C945)</f>
        <v>0</v>
      </c>
      <c r="Q945" s="4">
        <f ca="1">IF(ISNA(M945),0,COUNTIF($M$6:M945,M945))</f>
        <v>0</v>
      </c>
      <c r="R945" s="4" t="e">
        <f t="shared" ca="1" si="98"/>
        <v>#N/A</v>
      </c>
      <c r="S945" s="4">
        <f ca="1">IF(ISNA(M945),0,COUNTIF($R$6:R945,R945))</f>
        <v>0</v>
      </c>
      <c r="T945" s="4" t="e">
        <f t="shared" ca="1" si="97"/>
        <v>#N/A</v>
      </c>
    </row>
    <row r="946" spans="2:20" x14ac:dyDescent="0.3">
      <c r="B946" s="48"/>
      <c r="C946" s="48"/>
      <c r="D946" s="10" t="str">
        <f t="shared" ca="1" si="101"/>
        <v/>
      </c>
      <c r="E946" s="48"/>
      <c r="F946" s="48"/>
      <c r="G946" s="10" t="str">
        <f t="shared" ca="1" si="100"/>
        <v/>
      </c>
      <c r="I946" s="10" t="str">
        <f t="shared" ca="1" si="102"/>
        <v/>
      </c>
      <c r="K946" s="4" t="e">
        <f t="shared" ca="1" si="96"/>
        <v>#N/A</v>
      </c>
      <c r="L946" s="4" t="e">
        <f>VLOOKUP(C946,_resources!B:D,3,0)</f>
        <v>#N/A</v>
      </c>
      <c r="M946" s="4" t="e" cm="1">
        <f t="array" aca="1" ref="M946" ca="1">IF(abbrAtEnd,"",L946&amp;"-")&amp;E946&amp;"-"&amp;INDIRECT(OFFSET(element3,MATCH($C946,resources,0)-1,0))&amp;"-"&amp;INDIRECT(OFFSET(element4,MATCH($C946,resources,0)-1,0))&amp;"-"&amp;INDIRECT(OFFSET(element5,MATCH($C946,resources,0)-1,0))&amp;IF(OFFSET(element6,MATCH($C946,resources,0)-1,0)="","","-"&amp;INDIRECT(OFFSET(element6,MATCH($C946,resources,0)-1,0)))&amp;IF(abbrAtEnd,"-"&amp;L946,"")</f>
        <v>#N/A</v>
      </c>
      <c r="N946" s="4" t="str">
        <f t="shared" si="99"/>
        <v>-000</v>
      </c>
      <c r="O946" s="4">
        <f ca="1">IF(totalElements+COUNTIF(Entities!$C$10,"*")+COUNTIF(B946:C946,"*")+COUNTIF(E946:F946,"*")=9,1,0)</f>
        <v>0</v>
      </c>
      <c r="P946" s="4">
        <f>COUNTIF($C$6:C946,C946)</f>
        <v>0</v>
      </c>
      <c r="Q946" s="4">
        <f ca="1">IF(ISNA(M946),0,COUNTIF($M$6:M946,M946))</f>
        <v>0</v>
      </c>
      <c r="R946" s="4" t="e">
        <f t="shared" ca="1" si="98"/>
        <v>#N/A</v>
      </c>
      <c r="S946" s="4">
        <f ca="1">IF(ISNA(M946),0,COUNTIF($R$6:R946,R946))</f>
        <v>0</v>
      </c>
      <c r="T946" s="4" t="e">
        <f t="shared" ca="1" si="97"/>
        <v>#N/A</v>
      </c>
    </row>
    <row r="947" spans="2:20" x14ac:dyDescent="0.3">
      <c r="B947" s="48"/>
      <c r="C947" s="48"/>
      <c r="D947" s="10" t="str">
        <f t="shared" ca="1" si="101"/>
        <v/>
      </c>
      <c r="E947" s="48"/>
      <c r="F947" s="48"/>
      <c r="G947" s="10" t="str">
        <f t="shared" ca="1" si="100"/>
        <v/>
      </c>
      <c r="I947" s="10" t="str">
        <f t="shared" ca="1" si="102"/>
        <v/>
      </c>
      <c r="K947" s="4" t="e">
        <f t="shared" ca="1" si="96"/>
        <v>#N/A</v>
      </c>
      <c r="L947" s="4" t="e">
        <f>VLOOKUP(C947,_resources!B:D,3,0)</f>
        <v>#N/A</v>
      </c>
      <c r="M947" s="4" t="e" cm="1">
        <f t="array" aca="1" ref="M947" ca="1">IF(abbrAtEnd,"",L947&amp;"-")&amp;E947&amp;"-"&amp;INDIRECT(OFFSET(element3,MATCH($C947,resources,0)-1,0))&amp;"-"&amp;INDIRECT(OFFSET(element4,MATCH($C947,resources,0)-1,0))&amp;"-"&amp;INDIRECT(OFFSET(element5,MATCH($C947,resources,0)-1,0))&amp;IF(OFFSET(element6,MATCH($C947,resources,0)-1,0)="","","-"&amp;INDIRECT(OFFSET(element6,MATCH($C947,resources,0)-1,0)))&amp;IF(abbrAtEnd,"-"&amp;L947,"")</f>
        <v>#N/A</v>
      </c>
      <c r="N947" s="4" t="str">
        <f t="shared" si="99"/>
        <v>-000</v>
      </c>
      <c r="O947" s="4">
        <f ca="1">IF(totalElements+COUNTIF(Entities!$C$10,"*")+COUNTIF(B947:C947,"*")+COUNTIF(E947:F947,"*")=9,1,0)</f>
        <v>0</v>
      </c>
      <c r="P947" s="4">
        <f>COUNTIF($C$6:C947,C947)</f>
        <v>0</v>
      </c>
      <c r="Q947" s="4">
        <f ca="1">IF(ISNA(M947),0,COUNTIF($M$6:M947,M947))</f>
        <v>0</v>
      </c>
      <c r="R947" s="4" t="e">
        <f t="shared" ca="1" si="98"/>
        <v>#N/A</v>
      </c>
      <c r="S947" s="4">
        <f ca="1">IF(ISNA(M947),0,COUNTIF($R$6:R947,R947))</f>
        <v>0</v>
      </c>
      <c r="T947" s="4" t="e">
        <f t="shared" ca="1" si="97"/>
        <v>#N/A</v>
      </c>
    </row>
    <row r="948" spans="2:20" x14ac:dyDescent="0.3">
      <c r="B948" s="48"/>
      <c r="C948" s="48"/>
      <c r="D948" s="10" t="str">
        <f t="shared" ca="1" si="101"/>
        <v/>
      </c>
      <c r="E948" s="48"/>
      <c r="F948" s="48"/>
      <c r="G948" s="10" t="str">
        <f t="shared" ca="1" si="100"/>
        <v/>
      </c>
      <c r="I948" s="10" t="str">
        <f t="shared" ca="1" si="102"/>
        <v/>
      </c>
      <c r="K948" s="4" t="e">
        <f t="shared" ca="1" si="96"/>
        <v>#N/A</v>
      </c>
      <c r="L948" s="4" t="e">
        <f>VLOOKUP(C948,_resources!B:D,3,0)</f>
        <v>#N/A</v>
      </c>
      <c r="M948" s="4" t="e" cm="1">
        <f t="array" aca="1" ref="M948" ca="1">IF(abbrAtEnd,"",L948&amp;"-")&amp;E948&amp;"-"&amp;INDIRECT(OFFSET(element3,MATCH($C948,resources,0)-1,0))&amp;"-"&amp;INDIRECT(OFFSET(element4,MATCH($C948,resources,0)-1,0))&amp;"-"&amp;INDIRECT(OFFSET(element5,MATCH($C948,resources,0)-1,0))&amp;IF(OFFSET(element6,MATCH($C948,resources,0)-1,0)="","","-"&amp;INDIRECT(OFFSET(element6,MATCH($C948,resources,0)-1,0)))&amp;IF(abbrAtEnd,"-"&amp;L948,"")</f>
        <v>#N/A</v>
      </c>
      <c r="N948" s="4" t="str">
        <f t="shared" si="99"/>
        <v>-000</v>
      </c>
      <c r="O948" s="4">
        <f ca="1">IF(totalElements+COUNTIF(Entities!$C$10,"*")+COUNTIF(B948:C948,"*")+COUNTIF(E948:F948,"*")=9,1,0)</f>
        <v>0</v>
      </c>
      <c r="P948" s="4">
        <f>COUNTIF($C$6:C948,C948)</f>
        <v>0</v>
      </c>
      <c r="Q948" s="4">
        <f ca="1">IF(ISNA(M948),0,COUNTIF($M$6:M948,M948))</f>
        <v>0</v>
      </c>
      <c r="R948" s="4" t="e">
        <f t="shared" ca="1" si="98"/>
        <v>#N/A</v>
      </c>
      <c r="S948" s="4">
        <f ca="1">IF(ISNA(M948),0,COUNTIF($R$6:R948,R948))</f>
        <v>0</v>
      </c>
      <c r="T948" s="4" t="e">
        <f t="shared" ca="1" si="97"/>
        <v>#N/A</v>
      </c>
    </row>
    <row r="949" spans="2:20" x14ac:dyDescent="0.3">
      <c r="B949" s="48"/>
      <c r="C949" s="48"/>
      <c r="D949" s="10" t="str">
        <f t="shared" ca="1" si="101"/>
        <v/>
      </c>
      <c r="E949" s="48"/>
      <c r="F949" s="48"/>
      <c r="G949" s="10" t="str">
        <f t="shared" ca="1" si="100"/>
        <v/>
      </c>
      <c r="I949" s="10" t="str">
        <f t="shared" ca="1" si="102"/>
        <v/>
      </c>
      <c r="K949" s="4" t="e">
        <f t="shared" ca="1" si="96"/>
        <v>#N/A</v>
      </c>
      <c r="L949" s="4" t="e">
        <f>VLOOKUP(C949,_resources!B:D,3,0)</f>
        <v>#N/A</v>
      </c>
      <c r="M949" s="4" t="e" cm="1">
        <f t="array" aca="1" ref="M949" ca="1">IF(abbrAtEnd,"",L949&amp;"-")&amp;E949&amp;"-"&amp;INDIRECT(OFFSET(element3,MATCH($C949,resources,0)-1,0))&amp;"-"&amp;INDIRECT(OFFSET(element4,MATCH($C949,resources,0)-1,0))&amp;"-"&amp;INDIRECT(OFFSET(element5,MATCH($C949,resources,0)-1,0))&amp;IF(OFFSET(element6,MATCH($C949,resources,0)-1,0)="","","-"&amp;INDIRECT(OFFSET(element6,MATCH($C949,resources,0)-1,0)))&amp;IF(abbrAtEnd,"-"&amp;L949,"")</f>
        <v>#N/A</v>
      </c>
      <c r="N949" s="4" t="str">
        <f t="shared" si="99"/>
        <v>-000</v>
      </c>
      <c r="O949" s="4">
        <f ca="1">IF(totalElements+COUNTIF(Entities!$C$10,"*")+COUNTIF(B949:C949,"*")+COUNTIF(E949:F949,"*")=9,1,0)</f>
        <v>0</v>
      </c>
      <c r="P949" s="4">
        <f>COUNTIF($C$6:C949,C949)</f>
        <v>0</v>
      </c>
      <c r="Q949" s="4">
        <f ca="1">IF(ISNA(M949),0,COUNTIF($M$6:M949,M949))</f>
        <v>0</v>
      </c>
      <c r="R949" s="4" t="e">
        <f t="shared" ca="1" si="98"/>
        <v>#N/A</v>
      </c>
      <c r="S949" s="4">
        <f ca="1">IF(ISNA(M949),0,COUNTIF($R$6:R949,R949))</f>
        <v>0</v>
      </c>
      <c r="T949" s="4" t="e">
        <f t="shared" ca="1" si="97"/>
        <v>#N/A</v>
      </c>
    </row>
    <row r="950" spans="2:20" x14ac:dyDescent="0.3">
      <c r="B950" s="48"/>
      <c r="C950" s="48"/>
      <c r="D950" s="10" t="str">
        <f t="shared" ca="1" si="101"/>
        <v/>
      </c>
      <c r="E950" s="48"/>
      <c r="F950" s="48"/>
      <c r="G950" s="10" t="str">
        <f t="shared" ca="1" si="100"/>
        <v/>
      </c>
      <c r="I950" s="10" t="str">
        <f t="shared" ca="1" si="102"/>
        <v/>
      </c>
      <c r="K950" s="4" t="e">
        <f t="shared" ca="1" si="96"/>
        <v>#N/A</v>
      </c>
      <c r="L950" s="4" t="e">
        <f>VLOOKUP(C950,_resources!B:D,3,0)</f>
        <v>#N/A</v>
      </c>
      <c r="M950" s="4" t="e" cm="1">
        <f t="array" aca="1" ref="M950" ca="1">IF(abbrAtEnd,"",L950&amp;"-")&amp;E950&amp;"-"&amp;INDIRECT(OFFSET(element3,MATCH($C950,resources,0)-1,0))&amp;"-"&amp;INDIRECT(OFFSET(element4,MATCH($C950,resources,0)-1,0))&amp;"-"&amp;INDIRECT(OFFSET(element5,MATCH($C950,resources,0)-1,0))&amp;IF(OFFSET(element6,MATCH($C950,resources,0)-1,0)="","","-"&amp;INDIRECT(OFFSET(element6,MATCH($C950,resources,0)-1,0)))&amp;IF(abbrAtEnd,"-"&amp;L950,"")</f>
        <v>#N/A</v>
      </c>
      <c r="N950" s="4" t="str">
        <f t="shared" si="99"/>
        <v>-000</v>
      </c>
      <c r="O950" s="4">
        <f ca="1">IF(totalElements+COUNTIF(Entities!$C$10,"*")+COUNTIF(B950:C950,"*")+COUNTIF(E950:F950,"*")=9,1,0)</f>
        <v>0</v>
      </c>
      <c r="P950" s="4">
        <f>COUNTIF($C$6:C950,C950)</f>
        <v>0</v>
      </c>
      <c r="Q950" s="4">
        <f ca="1">IF(ISNA(M950),0,COUNTIF($M$6:M950,M950))</f>
        <v>0</v>
      </c>
      <c r="R950" s="4" t="e">
        <f t="shared" ca="1" si="98"/>
        <v>#N/A</v>
      </c>
      <c r="S950" s="4">
        <f ca="1">IF(ISNA(M950),0,COUNTIF($R$6:R950,R950))</f>
        <v>0</v>
      </c>
      <c r="T950" s="4" t="e">
        <f t="shared" ca="1" si="97"/>
        <v>#N/A</v>
      </c>
    </row>
    <row r="951" spans="2:20" x14ac:dyDescent="0.3">
      <c r="B951" s="48"/>
      <c r="C951" s="48"/>
      <c r="D951" s="10" t="str">
        <f t="shared" ca="1" si="101"/>
        <v/>
      </c>
      <c r="E951" s="48"/>
      <c r="F951" s="48"/>
      <c r="G951" s="10" t="str">
        <f t="shared" ca="1" si="100"/>
        <v/>
      </c>
      <c r="I951" s="10" t="str">
        <f t="shared" ca="1" si="102"/>
        <v/>
      </c>
      <c r="K951" s="4" t="e">
        <f t="shared" ca="1" si="96"/>
        <v>#N/A</v>
      </c>
      <c r="L951" s="4" t="e">
        <f>VLOOKUP(C951,_resources!B:D,3,0)</f>
        <v>#N/A</v>
      </c>
      <c r="M951" s="4" t="e" cm="1">
        <f t="array" aca="1" ref="M951" ca="1">IF(abbrAtEnd,"",L951&amp;"-")&amp;E951&amp;"-"&amp;INDIRECT(OFFSET(element3,MATCH($C951,resources,0)-1,0))&amp;"-"&amp;INDIRECT(OFFSET(element4,MATCH($C951,resources,0)-1,0))&amp;"-"&amp;INDIRECT(OFFSET(element5,MATCH($C951,resources,0)-1,0))&amp;IF(OFFSET(element6,MATCH($C951,resources,0)-1,0)="","","-"&amp;INDIRECT(OFFSET(element6,MATCH($C951,resources,0)-1,0)))&amp;IF(abbrAtEnd,"-"&amp;L951,"")</f>
        <v>#N/A</v>
      </c>
      <c r="N951" s="4" t="str">
        <f t="shared" si="99"/>
        <v>-000</v>
      </c>
      <c r="O951" s="4">
        <f ca="1">IF(totalElements+COUNTIF(Entities!$C$10,"*")+COUNTIF(B951:C951,"*")+COUNTIF(E951:F951,"*")=9,1,0)</f>
        <v>0</v>
      </c>
      <c r="P951" s="4">
        <f>COUNTIF($C$6:C951,C951)</f>
        <v>0</v>
      </c>
      <c r="Q951" s="4">
        <f ca="1">IF(ISNA(M951),0,COUNTIF($M$6:M951,M951))</f>
        <v>0</v>
      </c>
      <c r="R951" s="4" t="e">
        <f t="shared" ca="1" si="98"/>
        <v>#N/A</v>
      </c>
      <c r="S951" s="4">
        <f ca="1">IF(ISNA(M951),0,COUNTIF($R$6:R951,R951))</f>
        <v>0</v>
      </c>
      <c r="T951" s="4" t="e">
        <f t="shared" ca="1" si="97"/>
        <v>#N/A</v>
      </c>
    </row>
    <row r="952" spans="2:20" x14ac:dyDescent="0.3">
      <c r="B952" s="48"/>
      <c r="C952" s="48"/>
      <c r="D952" s="10" t="str">
        <f t="shared" ca="1" si="101"/>
        <v/>
      </c>
      <c r="E952" s="48"/>
      <c r="F952" s="48"/>
      <c r="G952" s="10" t="str">
        <f t="shared" ca="1" si="100"/>
        <v/>
      </c>
      <c r="I952" s="10" t="str">
        <f t="shared" ca="1" si="102"/>
        <v/>
      </c>
      <c r="K952" s="4" t="e">
        <f t="shared" ca="1" si="96"/>
        <v>#N/A</v>
      </c>
      <c r="L952" s="4" t="e">
        <f>VLOOKUP(C952,_resources!B:D,3,0)</f>
        <v>#N/A</v>
      </c>
      <c r="M952" s="4" t="e" cm="1">
        <f t="array" aca="1" ref="M952" ca="1">IF(abbrAtEnd,"",L952&amp;"-")&amp;E952&amp;"-"&amp;INDIRECT(OFFSET(element3,MATCH($C952,resources,0)-1,0))&amp;"-"&amp;INDIRECT(OFFSET(element4,MATCH($C952,resources,0)-1,0))&amp;"-"&amp;INDIRECT(OFFSET(element5,MATCH($C952,resources,0)-1,0))&amp;IF(OFFSET(element6,MATCH($C952,resources,0)-1,0)="","","-"&amp;INDIRECT(OFFSET(element6,MATCH($C952,resources,0)-1,0)))&amp;IF(abbrAtEnd,"-"&amp;L952,"")</f>
        <v>#N/A</v>
      </c>
      <c r="N952" s="4" t="str">
        <f t="shared" si="99"/>
        <v>-000</v>
      </c>
      <c r="O952" s="4">
        <f ca="1">IF(totalElements+COUNTIF(Entities!$C$10,"*")+COUNTIF(B952:C952,"*")+COUNTIF(E952:F952,"*")=9,1,0)</f>
        <v>0</v>
      </c>
      <c r="P952" s="4">
        <f>COUNTIF($C$6:C952,C952)</f>
        <v>0</v>
      </c>
      <c r="Q952" s="4">
        <f ca="1">IF(ISNA(M952),0,COUNTIF($M$6:M952,M952))</f>
        <v>0</v>
      </c>
      <c r="R952" s="4" t="e">
        <f t="shared" ca="1" si="98"/>
        <v>#N/A</v>
      </c>
      <c r="S952" s="4">
        <f ca="1">IF(ISNA(M952),0,COUNTIF($R$6:R952,R952))</f>
        <v>0</v>
      </c>
      <c r="T952" s="4" t="e">
        <f t="shared" ca="1" si="97"/>
        <v>#N/A</v>
      </c>
    </row>
    <row r="953" spans="2:20" x14ac:dyDescent="0.3">
      <c r="B953" s="48"/>
      <c r="C953" s="48"/>
      <c r="D953" s="10" t="str">
        <f t="shared" ca="1" si="101"/>
        <v/>
      </c>
      <c r="E953" s="48"/>
      <c r="F953" s="48"/>
      <c r="G953" s="10" t="str">
        <f t="shared" ca="1" si="100"/>
        <v/>
      </c>
      <c r="I953" s="10" t="str">
        <f t="shared" ca="1" si="102"/>
        <v/>
      </c>
      <c r="K953" s="4" t="e">
        <f t="shared" ca="1" si="96"/>
        <v>#N/A</v>
      </c>
      <c r="L953" s="4" t="e">
        <f>VLOOKUP(C953,_resources!B:D,3,0)</f>
        <v>#N/A</v>
      </c>
      <c r="M953" s="4" t="e" cm="1">
        <f t="array" aca="1" ref="M953" ca="1">IF(abbrAtEnd,"",L953&amp;"-")&amp;E953&amp;"-"&amp;INDIRECT(OFFSET(element3,MATCH($C953,resources,0)-1,0))&amp;"-"&amp;INDIRECT(OFFSET(element4,MATCH($C953,resources,0)-1,0))&amp;"-"&amp;INDIRECT(OFFSET(element5,MATCH($C953,resources,0)-1,0))&amp;IF(OFFSET(element6,MATCH($C953,resources,0)-1,0)="","","-"&amp;INDIRECT(OFFSET(element6,MATCH($C953,resources,0)-1,0)))&amp;IF(abbrAtEnd,"-"&amp;L953,"")</f>
        <v>#N/A</v>
      </c>
      <c r="N953" s="4" t="str">
        <f t="shared" si="99"/>
        <v>-000</v>
      </c>
      <c r="O953" s="4">
        <f ca="1">IF(totalElements+COUNTIF(Entities!$C$10,"*")+COUNTIF(B953:C953,"*")+COUNTIF(E953:F953,"*")=9,1,0)</f>
        <v>0</v>
      </c>
      <c r="P953" s="4">
        <f>COUNTIF($C$6:C953,C953)</f>
        <v>0</v>
      </c>
      <c r="Q953" s="4">
        <f ca="1">IF(ISNA(M953),0,COUNTIF($M$6:M953,M953))</f>
        <v>0</v>
      </c>
      <c r="R953" s="4" t="e">
        <f t="shared" ca="1" si="98"/>
        <v>#N/A</v>
      </c>
      <c r="S953" s="4">
        <f ca="1">IF(ISNA(M953),0,COUNTIF($R$6:R953,R953))</f>
        <v>0</v>
      </c>
      <c r="T953" s="4" t="e">
        <f t="shared" ca="1" si="97"/>
        <v>#N/A</v>
      </c>
    </row>
    <row r="954" spans="2:20" x14ac:dyDescent="0.3">
      <c r="B954" s="48"/>
      <c r="C954" s="48"/>
      <c r="D954" s="10" t="str">
        <f t="shared" ca="1" si="101"/>
        <v/>
      </c>
      <c r="E954" s="48"/>
      <c r="F954" s="48"/>
      <c r="G954" s="10" t="str">
        <f t="shared" ca="1" si="100"/>
        <v/>
      </c>
      <c r="I954" s="10" t="str">
        <f t="shared" ca="1" si="102"/>
        <v/>
      </c>
      <c r="K954" s="4" t="e">
        <f t="shared" ca="1" si="96"/>
        <v>#N/A</v>
      </c>
      <c r="L954" s="4" t="e">
        <f>VLOOKUP(C954,_resources!B:D,3,0)</f>
        <v>#N/A</v>
      </c>
      <c r="M954" s="4" t="e" cm="1">
        <f t="array" aca="1" ref="M954" ca="1">IF(abbrAtEnd,"",L954&amp;"-")&amp;E954&amp;"-"&amp;INDIRECT(OFFSET(element3,MATCH($C954,resources,0)-1,0))&amp;"-"&amp;INDIRECT(OFFSET(element4,MATCH($C954,resources,0)-1,0))&amp;"-"&amp;INDIRECT(OFFSET(element5,MATCH($C954,resources,0)-1,0))&amp;IF(OFFSET(element6,MATCH($C954,resources,0)-1,0)="","","-"&amp;INDIRECT(OFFSET(element6,MATCH($C954,resources,0)-1,0)))&amp;IF(abbrAtEnd,"-"&amp;L954,"")</f>
        <v>#N/A</v>
      </c>
      <c r="N954" s="4" t="str">
        <f t="shared" si="99"/>
        <v>-000</v>
      </c>
      <c r="O954" s="4">
        <f ca="1">IF(totalElements+COUNTIF(Entities!$C$10,"*")+COUNTIF(B954:C954,"*")+COUNTIF(E954:F954,"*")=9,1,0)</f>
        <v>0</v>
      </c>
      <c r="P954" s="4">
        <f>COUNTIF($C$6:C954,C954)</f>
        <v>0</v>
      </c>
      <c r="Q954" s="4">
        <f ca="1">IF(ISNA(M954),0,COUNTIF($M$6:M954,M954))</f>
        <v>0</v>
      </c>
      <c r="R954" s="4" t="e">
        <f t="shared" ca="1" si="98"/>
        <v>#N/A</v>
      </c>
      <c r="S954" s="4">
        <f ca="1">IF(ISNA(M954),0,COUNTIF($R$6:R954,R954))</f>
        <v>0</v>
      </c>
      <c r="T954" s="4" t="e">
        <f t="shared" ca="1" si="97"/>
        <v>#N/A</v>
      </c>
    </row>
    <row r="955" spans="2:20" x14ac:dyDescent="0.3">
      <c r="B955" s="48"/>
      <c r="C955" s="48"/>
      <c r="D955" s="10" t="str">
        <f t="shared" ca="1" si="101"/>
        <v/>
      </c>
      <c r="E955" s="48"/>
      <c r="F955" s="48"/>
      <c r="G955" s="10" t="str">
        <f t="shared" ca="1" si="100"/>
        <v/>
      </c>
      <c r="I955" s="10" t="str">
        <f t="shared" ca="1" si="102"/>
        <v/>
      </c>
      <c r="K955" s="4" t="e">
        <f t="shared" ca="1" si="96"/>
        <v>#N/A</v>
      </c>
      <c r="L955" s="4" t="e">
        <f>VLOOKUP(C955,_resources!B:D,3,0)</f>
        <v>#N/A</v>
      </c>
      <c r="M955" s="4" t="e" cm="1">
        <f t="array" aca="1" ref="M955" ca="1">IF(abbrAtEnd,"",L955&amp;"-")&amp;E955&amp;"-"&amp;INDIRECT(OFFSET(element3,MATCH($C955,resources,0)-1,0))&amp;"-"&amp;INDIRECT(OFFSET(element4,MATCH($C955,resources,0)-1,0))&amp;"-"&amp;INDIRECT(OFFSET(element5,MATCH($C955,resources,0)-1,0))&amp;IF(OFFSET(element6,MATCH($C955,resources,0)-1,0)="","","-"&amp;INDIRECT(OFFSET(element6,MATCH($C955,resources,0)-1,0)))&amp;IF(abbrAtEnd,"-"&amp;L955,"")</f>
        <v>#N/A</v>
      </c>
      <c r="N955" s="4" t="str">
        <f t="shared" si="99"/>
        <v>-000</v>
      </c>
      <c r="O955" s="4">
        <f ca="1">IF(totalElements+COUNTIF(Entities!$C$10,"*")+COUNTIF(B955:C955,"*")+COUNTIF(E955:F955,"*")=9,1,0)</f>
        <v>0</v>
      </c>
      <c r="P955" s="4">
        <f>COUNTIF($C$6:C955,C955)</f>
        <v>0</v>
      </c>
      <c r="Q955" s="4">
        <f ca="1">IF(ISNA(M955),0,COUNTIF($M$6:M955,M955))</f>
        <v>0</v>
      </c>
      <c r="R955" s="4" t="e">
        <f t="shared" ca="1" si="98"/>
        <v>#N/A</v>
      </c>
      <c r="S955" s="4">
        <f ca="1">IF(ISNA(M955),0,COUNTIF($R$6:R955,R955))</f>
        <v>0</v>
      </c>
      <c r="T955" s="4" t="e">
        <f t="shared" ca="1" si="97"/>
        <v>#N/A</v>
      </c>
    </row>
    <row r="956" spans="2:20" x14ac:dyDescent="0.3">
      <c r="B956" s="48"/>
      <c r="C956" s="48"/>
      <c r="D956" s="10" t="str">
        <f t="shared" ca="1" si="101"/>
        <v/>
      </c>
      <c r="E956" s="48"/>
      <c r="F956" s="48"/>
      <c r="G956" s="10" t="str">
        <f t="shared" ca="1" si="100"/>
        <v/>
      </c>
      <c r="I956" s="10" t="str">
        <f t="shared" ca="1" si="102"/>
        <v/>
      </c>
      <c r="K956" s="4" t="e">
        <f t="shared" ca="1" si="96"/>
        <v>#N/A</v>
      </c>
      <c r="L956" s="4" t="e">
        <f>VLOOKUP(C956,_resources!B:D,3,0)</f>
        <v>#N/A</v>
      </c>
      <c r="M956" s="4" t="e" cm="1">
        <f t="array" aca="1" ref="M956" ca="1">IF(abbrAtEnd,"",L956&amp;"-")&amp;E956&amp;"-"&amp;INDIRECT(OFFSET(element3,MATCH($C956,resources,0)-1,0))&amp;"-"&amp;INDIRECT(OFFSET(element4,MATCH($C956,resources,0)-1,0))&amp;"-"&amp;INDIRECT(OFFSET(element5,MATCH($C956,resources,0)-1,0))&amp;IF(OFFSET(element6,MATCH($C956,resources,0)-1,0)="","","-"&amp;INDIRECT(OFFSET(element6,MATCH($C956,resources,0)-1,0)))&amp;IF(abbrAtEnd,"-"&amp;L956,"")</f>
        <v>#N/A</v>
      </c>
      <c r="N956" s="4" t="str">
        <f t="shared" si="99"/>
        <v>-000</v>
      </c>
      <c r="O956" s="4">
        <f ca="1">IF(totalElements+COUNTIF(Entities!$C$10,"*")+COUNTIF(B956:C956,"*")+COUNTIF(E956:F956,"*")=9,1,0)</f>
        <v>0</v>
      </c>
      <c r="P956" s="4">
        <f>COUNTIF($C$6:C956,C956)</f>
        <v>0</v>
      </c>
      <c r="Q956" s="4">
        <f ca="1">IF(ISNA(M956),0,COUNTIF($M$6:M956,M956))</f>
        <v>0</v>
      </c>
      <c r="R956" s="4" t="e">
        <f t="shared" ca="1" si="98"/>
        <v>#N/A</v>
      </c>
      <c r="S956" s="4">
        <f ca="1">IF(ISNA(M956),0,COUNTIF($R$6:R956,R956))</f>
        <v>0</v>
      </c>
      <c r="T956" s="4" t="e">
        <f t="shared" ca="1" si="97"/>
        <v>#N/A</v>
      </c>
    </row>
    <row r="957" spans="2:20" x14ac:dyDescent="0.3">
      <c r="B957" s="48"/>
      <c r="C957" s="48"/>
      <c r="D957" s="10" t="str">
        <f t="shared" ca="1" si="101"/>
        <v/>
      </c>
      <c r="E957" s="48"/>
      <c r="F957" s="48"/>
      <c r="G957" s="10" t="str">
        <f t="shared" ca="1" si="100"/>
        <v/>
      </c>
      <c r="I957" s="10" t="str">
        <f t="shared" ca="1" si="102"/>
        <v/>
      </c>
      <c r="K957" s="4" t="e">
        <f t="shared" ca="1" si="96"/>
        <v>#N/A</v>
      </c>
      <c r="L957" s="4" t="e">
        <f>VLOOKUP(C957,_resources!B:D,3,0)</f>
        <v>#N/A</v>
      </c>
      <c r="M957" s="4" t="e" cm="1">
        <f t="array" aca="1" ref="M957" ca="1">IF(abbrAtEnd,"",L957&amp;"-")&amp;E957&amp;"-"&amp;INDIRECT(OFFSET(element3,MATCH($C957,resources,0)-1,0))&amp;"-"&amp;INDIRECT(OFFSET(element4,MATCH($C957,resources,0)-1,0))&amp;"-"&amp;INDIRECT(OFFSET(element5,MATCH($C957,resources,0)-1,0))&amp;IF(OFFSET(element6,MATCH($C957,resources,0)-1,0)="","","-"&amp;INDIRECT(OFFSET(element6,MATCH($C957,resources,0)-1,0)))&amp;IF(abbrAtEnd,"-"&amp;L957,"")</f>
        <v>#N/A</v>
      </c>
      <c r="N957" s="4" t="str">
        <f t="shared" si="99"/>
        <v>-000</v>
      </c>
      <c r="O957" s="4">
        <f ca="1">IF(totalElements+COUNTIF(Entities!$C$10,"*")+COUNTIF(B957:C957,"*")+COUNTIF(E957:F957,"*")=9,1,0)</f>
        <v>0</v>
      </c>
      <c r="P957" s="4">
        <f>COUNTIF($C$6:C957,C957)</f>
        <v>0</v>
      </c>
      <c r="Q957" s="4">
        <f ca="1">IF(ISNA(M957),0,COUNTIF($M$6:M957,M957))</f>
        <v>0</v>
      </c>
      <c r="R957" s="4" t="e">
        <f t="shared" ca="1" si="98"/>
        <v>#N/A</v>
      </c>
      <c r="S957" s="4">
        <f ca="1">IF(ISNA(M957),0,COUNTIF($R$6:R957,R957))</f>
        <v>0</v>
      </c>
      <c r="T957" s="4" t="e">
        <f t="shared" ca="1" si="97"/>
        <v>#N/A</v>
      </c>
    </row>
    <row r="958" spans="2:20" x14ac:dyDescent="0.3">
      <c r="B958" s="48"/>
      <c r="C958" s="48"/>
      <c r="D958" s="10" t="str">
        <f t="shared" ca="1" si="101"/>
        <v/>
      </c>
      <c r="E958" s="48"/>
      <c r="F958" s="48"/>
      <c r="G958" s="10" t="str">
        <f t="shared" ca="1" si="100"/>
        <v/>
      </c>
      <c r="I958" s="10" t="str">
        <f t="shared" ca="1" si="102"/>
        <v/>
      </c>
      <c r="K958" s="4" t="e">
        <f t="shared" ca="1" si="96"/>
        <v>#N/A</v>
      </c>
      <c r="L958" s="4" t="e">
        <f>VLOOKUP(C958,_resources!B:D,3,0)</f>
        <v>#N/A</v>
      </c>
      <c r="M958" s="4" t="e" cm="1">
        <f t="array" aca="1" ref="M958" ca="1">IF(abbrAtEnd,"",L958&amp;"-")&amp;E958&amp;"-"&amp;INDIRECT(OFFSET(element3,MATCH($C958,resources,0)-1,0))&amp;"-"&amp;INDIRECT(OFFSET(element4,MATCH($C958,resources,0)-1,0))&amp;"-"&amp;INDIRECT(OFFSET(element5,MATCH($C958,resources,0)-1,0))&amp;IF(OFFSET(element6,MATCH($C958,resources,0)-1,0)="","","-"&amp;INDIRECT(OFFSET(element6,MATCH($C958,resources,0)-1,0)))&amp;IF(abbrAtEnd,"-"&amp;L958,"")</f>
        <v>#N/A</v>
      </c>
      <c r="N958" s="4" t="str">
        <f t="shared" si="99"/>
        <v>-000</v>
      </c>
      <c r="O958" s="4">
        <f ca="1">IF(totalElements+COUNTIF(Entities!$C$10,"*")+COUNTIF(B958:C958,"*")+COUNTIF(E958:F958,"*")=9,1,0)</f>
        <v>0</v>
      </c>
      <c r="P958" s="4">
        <f>COUNTIF($C$6:C958,C958)</f>
        <v>0</v>
      </c>
      <c r="Q958" s="4">
        <f ca="1">IF(ISNA(M958),0,COUNTIF($M$6:M958,M958))</f>
        <v>0</v>
      </c>
      <c r="R958" s="4" t="e">
        <f t="shared" ca="1" si="98"/>
        <v>#N/A</v>
      </c>
      <c r="S958" s="4">
        <f ca="1">IF(ISNA(M958),0,COUNTIF($R$6:R958,R958))</f>
        <v>0</v>
      </c>
      <c r="T958" s="4" t="e">
        <f t="shared" ca="1" si="97"/>
        <v>#N/A</v>
      </c>
    </row>
    <row r="959" spans="2:20" x14ac:dyDescent="0.3">
      <c r="B959" s="48"/>
      <c r="C959" s="48"/>
      <c r="D959" s="10" t="str">
        <f t="shared" ca="1" si="101"/>
        <v/>
      </c>
      <c r="E959" s="48"/>
      <c r="F959" s="48"/>
      <c r="G959" s="10" t="str">
        <f t="shared" ca="1" si="100"/>
        <v/>
      </c>
      <c r="I959" s="10" t="str">
        <f t="shared" ca="1" si="102"/>
        <v/>
      </c>
      <c r="K959" s="4" t="e">
        <f t="shared" ca="1" si="96"/>
        <v>#N/A</v>
      </c>
      <c r="L959" s="4" t="e">
        <f>VLOOKUP(C959,_resources!B:D,3,0)</f>
        <v>#N/A</v>
      </c>
      <c r="M959" s="4" t="e" cm="1">
        <f t="array" aca="1" ref="M959" ca="1">IF(abbrAtEnd,"",L959&amp;"-")&amp;E959&amp;"-"&amp;INDIRECT(OFFSET(element3,MATCH($C959,resources,0)-1,0))&amp;"-"&amp;INDIRECT(OFFSET(element4,MATCH($C959,resources,0)-1,0))&amp;"-"&amp;INDIRECT(OFFSET(element5,MATCH($C959,resources,0)-1,0))&amp;IF(OFFSET(element6,MATCH($C959,resources,0)-1,0)="","","-"&amp;INDIRECT(OFFSET(element6,MATCH($C959,resources,0)-1,0)))&amp;IF(abbrAtEnd,"-"&amp;L959,"")</f>
        <v>#N/A</v>
      </c>
      <c r="N959" s="4" t="str">
        <f t="shared" si="99"/>
        <v>-000</v>
      </c>
      <c r="O959" s="4">
        <f ca="1">IF(totalElements+COUNTIF(Entities!$C$10,"*")+COUNTIF(B959:C959,"*")+COUNTIF(E959:F959,"*")=9,1,0)</f>
        <v>0</v>
      </c>
      <c r="P959" s="4">
        <f>COUNTIF($C$6:C959,C959)</f>
        <v>0</v>
      </c>
      <c r="Q959" s="4">
        <f ca="1">IF(ISNA(M959),0,COUNTIF($M$6:M959,M959))</f>
        <v>0</v>
      </c>
      <c r="R959" s="4" t="e">
        <f t="shared" ca="1" si="98"/>
        <v>#N/A</v>
      </c>
      <c r="S959" s="4">
        <f ca="1">IF(ISNA(M959),0,COUNTIF($R$6:R959,R959))</f>
        <v>0</v>
      </c>
      <c r="T959" s="4" t="e">
        <f t="shared" ca="1" si="97"/>
        <v>#N/A</v>
      </c>
    </row>
    <row r="960" spans="2:20" x14ac:dyDescent="0.3">
      <c r="B960" s="48"/>
      <c r="C960" s="48"/>
      <c r="D960" s="10" t="str">
        <f t="shared" ca="1" si="101"/>
        <v/>
      </c>
      <c r="E960" s="48"/>
      <c r="F960" s="48"/>
      <c r="G960" s="10" t="str">
        <f t="shared" ca="1" si="100"/>
        <v/>
      </c>
      <c r="I960" s="10" t="str">
        <f t="shared" ca="1" si="102"/>
        <v/>
      </c>
      <c r="K960" s="4" t="e">
        <f t="shared" ca="1" si="96"/>
        <v>#N/A</v>
      </c>
      <c r="L960" s="4" t="e">
        <f>VLOOKUP(C960,_resources!B:D,3,0)</f>
        <v>#N/A</v>
      </c>
      <c r="M960" s="4" t="e" cm="1">
        <f t="array" aca="1" ref="M960" ca="1">IF(abbrAtEnd,"",L960&amp;"-")&amp;E960&amp;"-"&amp;INDIRECT(OFFSET(element3,MATCH($C960,resources,0)-1,0))&amp;"-"&amp;INDIRECT(OFFSET(element4,MATCH($C960,resources,0)-1,0))&amp;"-"&amp;INDIRECT(OFFSET(element5,MATCH($C960,resources,0)-1,0))&amp;IF(OFFSET(element6,MATCH($C960,resources,0)-1,0)="","","-"&amp;INDIRECT(OFFSET(element6,MATCH($C960,resources,0)-1,0)))&amp;IF(abbrAtEnd,"-"&amp;L960,"")</f>
        <v>#N/A</v>
      </c>
      <c r="N960" s="4" t="str">
        <f t="shared" si="99"/>
        <v>-000</v>
      </c>
      <c r="O960" s="4">
        <f ca="1">IF(totalElements+COUNTIF(Entities!$C$10,"*")+COUNTIF(B960:C960,"*")+COUNTIF(E960:F960,"*")=9,1,0)</f>
        <v>0</v>
      </c>
      <c r="P960" s="4">
        <f>COUNTIF($C$6:C960,C960)</f>
        <v>0</v>
      </c>
      <c r="Q960" s="4">
        <f ca="1">IF(ISNA(M960),0,COUNTIF($M$6:M960,M960))</f>
        <v>0</v>
      </c>
      <c r="R960" s="4" t="e">
        <f t="shared" ca="1" si="98"/>
        <v>#N/A</v>
      </c>
      <c r="S960" s="4">
        <f ca="1">IF(ISNA(M960),0,COUNTIF($R$6:R960,R960))</f>
        <v>0</v>
      </c>
      <c r="T960" s="4" t="e">
        <f t="shared" ca="1" si="97"/>
        <v>#N/A</v>
      </c>
    </row>
    <row r="961" spans="2:20" x14ac:dyDescent="0.3">
      <c r="B961" s="48"/>
      <c r="C961" s="48"/>
      <c r="D961" s="10" t="str">
        <f t="shared" ca="1" si="101"/>
        <v/>
      </c>
      <c r="E961" s="48"/>
      <c r="F961" s="48"/>
      <c r="G961" s="10" t="str">
        <f t="shared" ca="1" si="100"/>
        <v/>
      </c>
      <c r="I961" s="10" t="str">
        <f t="shared" ca="1" si="102"/>
        <v/>
      </c>
      <c r="K961" s="4" t="e">
        <f t="shared" ca="1" si="96"/>
        <v>#N/A</v>
      </c>
      <c r="L961" s="4" t="e">
        <f>VLOOKUP(C961,_resources!B:D,3,0)</f>
        <v>#N/A</v>
      </c>
      <c r="M961" s="4" t="e" cm="1">
        <f t="array" aca="1" ref="M961" ca="1">IF(abbrAtEnd,"",L961&amp;"-")&amp;E961&amp;"-"&amp;INDIRECT(OFFSET(element3,MATCH($C961,resources,0)-1,0))&amp;"-"&amp;INDIRECT(OFFSET(element4,MATCH($C961,resources,0)-1,0))&amp;"-"&amp;INDIRECT(OFFSET(element5,MATCH($C961,resources,0)-1,0))&amp;IF(OFFSET(element6,MATCH($C961,resources,0)-1,0)="","","-"&amp;INDIRECT(OFFSET(element6,MATCH($C961,resources,0)-1,0)))&amp;IF(abbrAtEnd,"-"&amp;L961,"")</f>
        <v>#N/A</v>
      </c>
      <c r="N961" s="4" t="str">
        <f t="shared" si="99"/>
        <v>-000</v>
      </c>
      <c r="O961" s="4">
        <f ca="1">IF(totalElements+COUNTIF(Entities!$C$10,"*")+COUNTIF(B961:C961,"*")+COUNTIF(E961:F961,"*")=9,1,0)</f>
        <v>0</v>
      </c>
      <c r="P961" s="4">
        <f>COUNTIF($C$6:C961,C961)</f>
        <v>0</v>
      </c>
      <c r="Q961" s="4">
        <f ca="1">IF(ISNA(M961),0,COUNTIF($M$6:M961,M961))</f>
        <v>0</v>
      </c>
      <c r="R961" s="4" t="e">
        <f t="shared" ca="1" si="98"/>
        <v>#N/A</v>
      </c>
      <c r="S961" s="4">
        <f ca="1">IF(ISNA(M961),0,COUNTIF($R$6:R961,R961))</f>
        <v>0</v>
      </c>
      <c r="T961" s="4" t="e">
        <f t="shared" ca="1" si="97"/>
        <v>#N/A</v>
      </c>
    </row>
    <row r="962" spans="2:20" x14ac:dyDescent="0.3">
      <c r="B962" s="48"/>
      <c r="C962" s="48"/>
      <c r="D962" s="10" t="str">
        <f t="shared" ca="1" si="101"/>
        <v/>
      </c>
      <c r="E962" s="48"/>
      <c r="F962" s="48"/>
      <c r="G962" s="10" t="str">
        <f t="shared" ca="1" si="100"/>
        <v/>
      </c>
      <c r="I962" s="10" t="str">
        <f t="shared" ca="1" si="102"/>
        <v/>
      </c>
      <c r="K962" s="4" t="e">
        <f t="shared" ca="1" si="96"/>
        <v>#N/A</v>
      </c>
      <c r="L962" s="4" t="e">
        <f>VLOOKUP(C962,_resources!B:D,3,0)</f>
        <v>#N/A</v>
      </c>
      <c r="M962" s="4" t="e" cm="1">
        <f t="array" aca="1" ref="M962" ca="1">IF(abbrAtEnd,"",L962&amp;"-")&amp;E962&amp;"-"&amp;INDIRECT(OFFSET(element3,MATCH($C962,resources,0)-1,0))&amp;"-"&amp;INDIRECT(OFFSET(element4,MATCH($C962,resources,0)-1,0))&amp;"-"&amp;INDIRECT(OFFSET(element5,MATCH($C962,resources,0)-1,0))&amp;IF(OFFSET(element6,MATCH($C962,resources,0)-1,0)="","","-"&amp;INDIRECT(OFFSET(element6,MATCH($C962,resources,0)-1,0)))&amp;IF(abbrAtEnd,"-"&amp;L962,"")</f>
        <v>#N/A</v>
      </c>
      <c r="N962" s="4" t="str">
        <f t="shared" si="99"/>
        <v>-000</v>
      </c>
      <c r="O962" s="4">
        <f ca="1">IF(totalElements+COUNTIF(Entities!$C$10,"*")+COUNTIF(B962:C962,"*")+COUNTIF(E962:F962,"*")=9,1,0)</f>
        <v>0</v>
      </c>
      <c r="P962" s="4">
        <f>COUNTIF($C$6:C962,C962)</f>
        <v>0</v>
      </c>
      <c r="Q962" s="4">
        <f ca="1">IF(ISNA(M962),0,COUNTIF($M$6:M962,M962))</f>
        <v>0</v>
      </c>
      <c r="R962" s="4" t="e">
        <f t="shared" ca="1" si="98"/>
        <v>#N/A</v>
      </c>
      <c r="S962" s="4">
        <f ca="1">IF(ISNA(M962),0,COUNTIF($R$6:R962,R962))</f>
        <v>0</v>
      </c>
      <c r="T962" s="4" t="e">
        <f t="shared" ca="1" si="97"/>
        <v>#N/A</v>
      </c>
    </row>
    <row r="963" spans="2:20" x14ac:dyDescent="0.3">
      <c r="B963" s="48"/>
      <c r="C963" s="48"/>
      <c r="D963" s="10" t="str">
        <f t="shared" ca="1" si="101"/>
        <v/>
      </c>
      <c r="E963" s="48"/>
      <c r="F963" s="48"/>
      <c r="G963" s="10" t="str">
        <f t="shared" ca="1" si="100"/>
        <v/>
      </c>
      <c r="I963" s="10" t="str">
        <f t="shared" ca="1" si="102"/>
        <v/>
      </c>
      <c r="K963" s="4" t="e">
        <f t="shared" ca="1" si="96"/>
        <v>#N/A</v>
      </c>
      <c r="L963" s="4" t="e">
        <f>VLOOKUP(C963,_resources!B:D,3,0)</f>
        <v>#N/A</v>
      </c>
      <c r="M963" s="4" t="e" cm="1">
        <f t="array" aca="1" ref="M963" ca="1">IF(abbrAtEnd,"",L963&amp;"-")&amp;E963&amp;"-"&amp;INDIRECT(OFFSET(element3,MATCH($C963,resources,0)-1,0))&amp;"-"&amp;INDIRECT(OFFSET(element4,MATCH($C963,resources,0)-1,0))&amp;"-"&amp;INDIRECT(OFFSET(element5,MATCH($C963,resources,0)-1,0))&amp;IF(OFFSET(element6,MATCH($C963,resources,0)-1,0)="","","-"&amp;INDIRECT(OFFSET(element6,MATCH($C963,resources,0)-1,0)))&amp;IF(abbrAtEnd,"-"&amp;L963,"")</f>
        <v>#N/A</v>
      </c>
      <c r="N963" s="4" t="str">
        <f t="shared" si="99"/>
        <v>-000</v>
      </c>
      <c r="O963" s="4">
        <f ca="1">IF(totalElements+COUNTIF(Entities!$C$10,"*")+COUNTIF(B963:C963,"*")+COUNTIF(E963:F963,"*")=9,1,0)</f>
        <v>0</v>
      </c>
      <c r="P963" s="4">
        <f>COUNTIF($C$6:C963,C963)</f>
        <v>0</v>
      </c>
      <c r="Q963" s="4">
        <f ca="1">IF(ISNA(M963),0,COUNTIF($M$6:M963,M963))</f>
        <v>0</v>
      </c>
      <c r="R963" s="4" t="e">
        <f t="shared" ca="1" si="98"/>
        <v>#N/A</v>
      </c>
      <c r="S963" s="4">
        <f ca="1">IF(ISNA(M963),0,COUNTIF($R$6:R963,R963))</f>
        <v>0</v>
      </c>
      <c r="T963" s="4" t="e">
        <f t="shared" ca="1" si="97"/>
        <v>#N/A</v>
      </c>
    </row>
    <row r="964" spans="2:20" x14ac:dyDescent="0.3">
      <c r="B964" s="48"/>
      <c r="C964" s="48"/>
      <c r="D964" s="10" t="str">
        <f t="shared" ca="1" si="101"/>
        <v/>
      </c>
      <c r="E964" s="48"/>
      <c r="F964" s="48"/>
      <c r="G964" s="10" t="str">
        <f t="shared" ca="1" si="100"/>
        <v/>
      </c>
      <c r="I964" s="10" t="str">
        <f t="shared" ca="1" si="102"/>
        <v/>
      </c>
      <c r="K964" s="4" t="e">
        <f t="shared" ca="1" si="96"/>
        <v>#N/A</v>
      </c>
      <c r="L964" s="4" t="e">
        <f>VLOOKUP(C964,_resources!B:D,3,0)</f>
        <v>#N/A</v>
      </c>
      <c r="M964" s="4" t="e" cm="1">
        <f t="array" aca="1" ref="M964" ca="1">IF(abbrAtEnd,"",L964&amp;"-")&amp;E964&amp;"-"&amp;INDIRECT(OFFSET(element3,MATCH($C964,resources,0)-1,0))&amp;"-"&amp;INDIRECT(OFFSET(element4,MATCH($C964,resources,0)-1,0))&amp;"-"&amp;INDIRECT(OFFSET(element5,MATCH($C964,resources,0)-1,0))&amp;IF(OFFSET(element6,MATCH($C964,resources,0)-1,0)="","","-"&amp;INDIRECT(OFFSET(element6,MATCH($C964,resources,0)-1,0)))&amp;IF(abbrAtEnd,"-"&amp;L964,"")</f>
        <v>#N/A</v>
      </c>
      <c r="N964" s="4" t="str">
        <f t="shared" si="99"/>
        <v>-000</v>
      </c>
      <c r="O964" s="4">
        <f ca="1">IF(totalElements+COUNTIF(Entities!$C$10,"*")+COUNTIF(B964:C964,"*")+COUNTIF(E964:F964,"*")=9,1,0)</f>
        <v>0</v>
      </c>
      <c r="P964" s="4">
        <f>COUNTIF($C$6:C964,C964)</f>
        <v>0</v>
      </c>
      <c r="Q964" s="4">
        <f ca="1">IF(ISNA(M964),0,COUNTIF($M$6:M964,M964))</f>
        <v>0</v>
      </c>
      <c r="R964" s="4" t="e">
        <f t="shared" ca="1" si="98"/>
        <v>#N/A</v>
      </c>
      <c r="S964" s="4">
        <f ca="1">IF(ISNA(M964),0,COUNTIF($R$6:R964,R964))</f>
        <v>0</v>
      </c>
      <c r="T964" s="4" t="e">
        <f t="shared" ca="1" si="97"/>
        <v>#N/A</v>
      </c>
    </row>
    <row r="965" spans="2:20" x14ac:dyDescent="0.3">
      <c r="B965" s="48"/>
      <c r="C965" s="48"/>
      <c r="D965" s="10" t="str">
        <f t="shared" ca="1" si="101"/>
        <v/>
      </c>
      <c r="E965" s="48"/>
      <c r="F965" s="48"/>
      <c r="G965" s="10" t="str">
        <f t="shared" ca="1" si="100"/>
        <v/>
      </c>
      <c r="I965" s="10" t="str">
        <f t="shared" ca="1" si="102"/>
        <v/>
      </c>
      <c r="K965" s="4" t="e">
        <f t="shared" ca="1" si="96"/>
        <v>#N/A</v>
      </c>
      <c r="L965" s="4" t="e">
        <f>VLOOKUP(C965,_resources!B:D,3,0)</f>
        <v>#N/A</v>
      </c>
      <c r="M965" s="4" t="e" cm="1">
        <f t="array" aca="1" ref="M965" ca="1">IF(abbrAtEnd,"",L965&amp;"-")&amp;E965&amp;"-"&amp;INDIRECT(OFFSET(element3,MATCH($C965,resources,0)-1,0))&amp;"-"&amp;INDIRECT(OFFSET(element4,MATCH($C965,resources,0)-1,0))&amp;"-"&amp;INDIRECT(OFFSET(element5,MATCH($C965,resources,0)-1,0))&amp;IF(OFFSET(element6,MATCH($C965,resources,0)-1,0)="","","-"&amp;INDIRECT(OFFSET(element6,MATCH($C965,resources,0)-1,0)))&amp;IF(abbrAtEnd,"-"&amp;L965,"")</f>
        <v>#N/A</v>
      </c>
      <c r="N965" s="4" t="str">
        <f t="shared" si="99"/>
        <v>-000</v>
      </c>
      <c r="O965" s="4">
        <f ca="1">IF(totalElements+COUNTIF(Entities!$C$10,"*")+COUNTIF(B965:C965,"*")+COUNTIF(E965:F965,"*")=9,1,0)</f>
        <v>0</v>
      </c>
      <c r="P965" s="4">
        <f>COUNTIF($C$6:C965,C965)</f>
        <v>0</v>
      </c>
      <c r="Q965" s="4">
        <f ca="1">IF(ISNA(M965),0,COUNTIF($M$6:M965,M965))</f>
        <v>0</v>
      </c>
      <c r="R965" s="4" t="e">
        <f t="shared" ca="1" si="98"/>
        <v>#N/A</v>
      </c>
      <c r="S965" s="4">
        <f ca="1">IF(ISNA(M965),0,COUNTIF($R$6:R965,R965))</f>
        <v>0</v>
      </c>
      <c r="T965" s="4" t="e">
        <f t="shared" ca="1" si="97"/>
        <v>#N/A</v>
      </c>
    </row>
    <row r="966" spans="2:20" x14ac:dyDescent="0.3">
      <c r="B966" s="48"/>
      <c r="C966" s="48"/>
      <c r="D966" s="10" t="str">
        <f t="shared" ca="1" si="101"/>
        <v/>
      </c>
      <c r="E966" s="48"/>
      <c r="F966" s="48"/>
      <c r="G966" s="10" t="str">
        <f t="shared" ca="1" si="100"/>
        <v/>
      </c>
      <c r="I966" s="10" t="str">
        <f t="shared" ca="1" si="102"/>
        <v/>
      </c>
      <c r="K966" s="4" t="e">
        <f t="shared" ref="K966:K999" ca="1" si="103">OFFSET(structure,MATCH($C966,resources,0)-1,0)</f>
        <v>#N/A</v>
      </c>
      <c r="L966" s="4" t="e">
        <f>VLOOKUP(C966,_resources!B:D,3,0)</f>
        <v>#N/A</v>
      </c>
      <c r="M966" s="4" t="e" cm="1">
        <f t="array" aca="1" ref="M966" ca="1">IF(abbrAtEnd,"",L966&amp;"-")&amp;E966&amp;"-"&amp;INDIRECT(OFFSET(element3,MATCH($C966,resources,0)-1,0))&amp;"-"&amp;INDIRECT(OFFSET(element4,MATCH($C966,resources,0)-1,0))&amp;"-"&amp;INDIRECT(OFFSET(element5,MATCH($C966,resources,0)-1,0))&amp;IF(OFFSET(element6,MATCH($C966,resources,0)-1,0)="","","-"&amp;INDIRECT(OFFSET(element6,MATCH($C966,resources,0)-1,0)))&amp;IF(abbrAtEnd,"-"&amp;L966,"")</f>
        <v>#N/A</v>
      </c>
      <c r="N966" s="4" t="str">
        <f t="shared" si="99"/>
        <v>-000</v>
      </c>
      <c r="O966" s="4">
        <f ca="1">IF(totalElements+COUNTIF(Entities!$C$10,"*")+COUNTIF(B966:C966,"*")+COUNTIF(E966:F966,"*")=9,1,0)</f>
        <v>0</v>
      </c>
      <c r="P966" s="4">
        <f>COUNTIF($C$6:C966,C966)</f>
        <v>0</v>
      </c>
      <c r="Q966" s="4">
        <f ca="1">IF(ISNA(M966),0,COUNTIF($M$6:M966,M966))</f>
        <v>0</v>
      </c>
      <c r="R966" s="4" t="e">
        <f t="shared" ca="1" si="98"/>
        <v>#N/A</v>
      </c>
      <c r="S966" s="4">
        <f ca="1">IF(ISNA(M966),0,COUNTIF($R$6:R966,R966))</f>
        <v>0</v>
      </c>
      <c r="T966" s="4" t="e">
        <f t="shared" ref="T966:T999" ca="1" si="104">OFFSET(maxLength,MATCH($C966,resources,0)-1,0)</f>
        <v>#N/A</v>
      </c>
    </row>
    <row r="967" spans="2:20" x14ac:dyDescent="0.3">
      <c r="B967" s="48"/>
      <c r="C967" s="48"/>
      <c r="D967" s="10" t="str">
        <f t="shared" ca="1" si="101"/>
        <v/>
      </c>
      <c r="E967" s="48"/>
      <c r="F967" s="48"/>
      <c r="G967" s="10" t="str">
        <f t="shared" ca="1" si="100"/>
        <v/>
      </c>
      <c r="I967" s="10" t="str">
        <f t="shared" ca="1" si="102"/>
        <v/>
      </c>
      <c r="K967" s="4" t="e">
        <f t="shared" ca="1" si="103"/>
        <v>#N/A</v>
      </c>
      <c r="L967" s="4" t="e">
        <f>VLOOKUP(C967,_resources!B:D,3,0)</f>
        <v>#N/A</v>
      </c>
      <c r="M967" s="4" t="e" cm="1">
        <f t="array" aca="1" ref="M967" ca="1">IF(abbrAtEnd,"",L967&amp;"-")&amp;E967&amp;"-"&amp;INDIRECT(OFFSET(element3,MATCH($C967,resources,0)-1,0))&amp;"-"&amp;INDIRECT(OFFSET(element4,MATCH($C967,resources,0)-1,0))&amp;"-"&amp;INDIRECT(OFFSET(element5,MATCH($C967,resources,0)-1,0))&amp;IF(OFFSET(element6,MATCH($C967,resources,0)-1,0)="","","-"&amp;INDIRECT(OFFSET(element6,MATCH($C967,resources,0)-1,0)))&amp;IF(abbrAtEnd,"-"&amp;L967,"")</f>
        <v>#N/A</v>
      </c>
      <c r="N967" s="4" t="str">
        <f t="shared" si="99"/>
        <v>-000</v>
      </c>
      <c r="O967" s="4">
        <f ca="1">IF(totalElements+COUNTIF(Entities!$C$10,"*")+COUNTIF(B967:C967,"*")+COUNTIF(E967:F967,"*")=9,1,0)</f>
        <v>0</v>
      </c>
      <c r="P967" s="4">
        <f>COUNTIF($C$6:C967,C967)</f>
        <v>0</v>
      </c>
      <c r="Q967" s="4">
        <f ca="1">IF(ISNA(M967),0,COUNTIF($M$6:M967,M967))</f>
        <v>0</v>
      </c>
      <c r="R967" s="4" t="e">
        <f t="shared" ref="R967:R999" ca="1" si="105">F967&amp;"__"&amp;M967</f>
        <v>#N/A</v>
      </c>
      <c r="S967" s="4">
        <f ca="1">IF(ISNA(M967),0,COUNTIF($R$6:R967,R967))</f>
        <v>0</v>
      </c>
      <c r="T967" s="4" t="e">
        <f t="shared" ca="1" si="104"/>
        <v>#N/A</v>
      </c>
    </row>
    <row r="968" spans="2:20" x14ac:dyDescent="0.3">
      <c r="B968" s="48"/>
      <c r="C968" s="48"/>
      <c r="D968" s="10" t="str">
        <f t="shared" ca="1" si="101"/>
        <v/>
      </c>
      <c r="E968" s="48"/>
      <c r="F968" s="48"/>
      <c r="G968" s="10" t="str">
        <f t="shared" ca="1" si="100"/>
        <v/>
      </c>
      <c r="I968" s="10" t="str">
        <f t="shared" ca="1" si="102"/>
        <v/>
      </c>
      <c r="K968" s="4" t="e">
        <f t="shared" ca="1" si="103"/>
        <v>#N/A</v>
      </c>
      <c r="L968" s="4" t="e">
        <f>VLOOKUP(C968,_resources!B:D,3,0)</f>
        <v>#N/A</v>
      </c>
      <c r="M968" s="4" t="e" cm="1">
        <f t="array" aca="1" ref="M968" ca="1">IF(abbrAtEnd,"",L968&amp;"-")&amp;E968&amp;"-"&amp;INDIRECT(OFFSET(element3,MATCH($C968,resources,0)-1,0))&amp;"-"&amp;INDIRECT(OFFSET(element4,MATCH($C968,resources,0)-1,0))&amp;"-"&amp;INDIRECT(OFFSET(element5,MATCH($C968,resources,0)-1,0))&amp;IF(OFFSET(element6,MATCH($C968,resources,0)-1,0)="","","-"&amp;INDIRECT(OFFSET(element6,MATCH($C968,resources,0)-1,0)))&amp;IF(abbrAtEnd,"-"&amp;L968,"")</f>
        <v>#N/A</v>
      </c>
      <c r="N968" s="4" t="str">
        <f t="shared" si="99"/>
        <v>-000</v>
      </c>
      <c r="O968" s="4">
        <f ca="1">IF(totalElements+COUNTIF(Entities!$C$10,"*")+COUNTIF(B968:C968,"*")+COUNTIF(E968:F968,"*")=9,1,0)</f>
        <v>0</v>
      </c>
      <c r="P968" s="4">
        <f>COUNTIF($C$6:C968,C968)</f>
        <v>0</v>
      </c>
      <c r="Q968" s="4">
        <f ca="1">IF(ISNA(M968),0,COUNTIF($M$6:M968,M968))</f>
        <v>0</v>
      </c>
      <c r="R968" s="4" t="e">
        <f t="shared" ca="1" si="105"/>
        <v>#N/A</v>
      </c>
      <c r="S968" s="4">
        <f ca="1">IF(ISNA(M968),0,COUNTIF($R$6:R968,R968))</f>
        <v>0</v>
      </c>
      <c r="T968" s="4" t="e">
        <f t="shared" ca="1" si="104"/>
        <v>#N/A</v>
      </c>
    </row>
    <row r="969" spans="2:20" x14ac:dyDescent="0.3">
      <c r="B969" s="48"/>
      <c r="C969" s="48"/>
      <c r="D969" s="10" t="str">
        <f t="shared" ca="1" si="101"/>
        <v/>
      </c>
      <c r="E969" s="48"/>
      <c r="F969" s="48"/>
      <c r="G969" s="10" t="str">
        <f t="shared" ca="1" si="100"/>
        <v/>
      </c>
      <c r="I969" s="10" t="str">
        <f t="shared" ca="1" si="102"/>
        <v/>
      </c>
      <c r="K969" s="4" t="e">
        <f t="shared" ca="1" si="103"/>
        <v>#N/A</v>
      </c>
      <c r="L969" s="4" t="e">
        <f>VLOOKUP(C969,_resources!B:D,3,0)</f>
        <v>#N/A</v>
      </c>
      <c r="M969" s="4" t="e" cm="1">
        <f t="array" aca="1" ref="M969" ca="1">IF(abbrAtEnd,"",L969&amp;"-")&amp;E969&amp;"-"&amp;INDIRECT(OFFSET(element3,MATCH($C969,resources,0)-1,0))&amp;"-"&amp;INDIRECT(OFFSET(element4,MATCH($C969,resources,0)-1,0))&amp;"-"&amp;INDIRECT(OFFSET(element5,MATCH($C969,resources,0)-1,0))&amp;IF(OFFSET(element6,MATCH($C969,resources,0)-1,0)="","","-"&amp;INDIRECT(OFFSET(element6,MATCH($C969,resources,0)-1,0)))&amp;IF(abbrAtEnd,"-"&amp;L969,"")</f>
        <v>#N/A</v>
      </c>
      <c r="N969" s="4" t="str">
        <f t="shared" si="99"/>
        <v>-000</v>
      </c>
      <c r="O969" s="4">
        <f ca="1">IF(totalElements+COUNTIF(Entities!$C$10,"*")+COUNTIF(B969:C969,"*")+COUNTIF(E969:F969,"*")=9,1,0)</f>
        <v>0</v>
      </c>
      <c r="P969" s="4">
        <f>COUNTIF($C$6:C969,C969)</f>
        <v>0</v>
      </c>
      <c r="Q969" s="4">
        <f ca="1">IF(ISNA(M969),0,COUNTIF($M$6:M969,M969))</f>
        <v>0</v>
      </c>
      <c r="R969" s="4" t="e">
        <f t="shared" ca="1" si="105"/>
        <v>#N/A</v>
      </c>
      <c r="S969" s="4">
        <f ca="1">IF(ISNA(M969),0,COUNTIF($R$6:R969,R969))</f>
        <v>0</v>
      </c>
      <c r="T969" s="4" t="e">
        <f t="shared" ca="1" si="104"/>
        <v>#N/A</v>
      </c>
    </row>
    <row r="970" spans="2:20" x14ac:dyDescent="0.3">
      <c r="B970" s="48"/>
      <c r="C970" s="48"/>
      <c r="D970" s="10" t="str">
        <f t="shared" ca="1" si="101"/>
        <v/>
      </c>
      <c r="E970" s="48"/>
      <c r="F970" s="48"/>
      <c r="G970" s="10" t="str">
        <f t="shared" ca="1" si="100"/>
        <v/>
      </c>
      <c r="I970" s="10" t="str">
        <f t="shared" ca="1" si="102"/>
        <v/>
      </c>
      <c r="K970" s="4" t="e">
        <f t="shared" ca="1" si="103"/>
        <v>#N/A</v>
      </c>
      <c r="L970" s="4" t="e">
        <f>VLOOKUP(C970,_resources!B:D,3,0)</f>
        <v>#N/A</v>
      </c>
      <c r="M970" s="4" t="e" cm="1">
        <f t="array" aca="1" ref="M970" ca="1">IF(abbrAtEnd,"",L970&amp;"-")&amp;E970&amp;"-"&amp;INDIRECT(OFFSET(element3,MATCH($C970,resources,0)-1,0))&amp;"-"&amp;INDIRECT(OFFSET(element4,MATCH($C970,resources,0)-1,0))&amp;"-"&amp;INDIRECT(OFFSET(element5,MATCH($C970,resources,0)-1,0))&amp;IF(OFFSET(element6,MATCH($C970,resources,0)-1,0)="","","-"&amp;INDIRECT(OFFSET(element6,MATCH($C970,resources,0)-1,0)))&amp;IF(abbrAtEnd,"-"&amp;L970,"")</f>
        <v>#N/A</v>
      </c>
      <c r="N970" s="4" t="str">
        <f t="shared" si="99"/>
        <v>-000</v>
      </c>
      <c r="O970" s="4">
        <f ca="1">IF(totalElements+COUNTIF(Entities!$C$10,"*")+COUNTIF(B970:C970,"*")+COUNTIF(E970:F970,"*")=9,1,0)</f>
        <v>0</v>
      </c>
      <c r="P970" s="4">
        <f>COUNTIF($C$6:C970,C970)</f>
        <v>0</v>
      </c>
      <c r="Q970" s="4">
        <f ca="1">IF(ISNA(M970),0,COUNTIF($M$6:M970,M970))</f>
        <v>0</v>
      </c>
      <c r="R970" s="4" t="e">
        <f t="shared" ca="1" si="105"/>
        <v>#N/A</v>
      </c>
      <c r="S970" s="4">
        <f ca="1">IF(ISNA(M970),0,COUNTIF($R$6:R970,R970))</f>
        <v>0</v>
      </c>
      <c r="T970" s="4" t="e">
        <f t="shared" ca="1" si="104"/>
        <v>#N/A</v>
      </c>
    </row>
    <row r="971" spans="2:20" x14ac:dyDescent="0.3">
      <c r="B971" s="48"/>
      <c r="C971" s="48"/>
      <c r="D971" s="10" t="str">
        <f t="shared" ca="1" si="101"/>
        <v/>
      </c>
      <c r="E971" s="48"/>
      <c r="F971" s="48"/>
      <c r="G971" s="10" t="str">
        <f t="shared" ca="1" si="100"/>
        <v/>
      </c>
      <c r="I971" s="10" t="str">
        <f t="shared" ca="1" si="102"/>
        <v/>
      </c>
      <c r="K971" s="4" t="e">
        <f t="shared" ca="1" si="103"/>
        <v>#N/A</v>
      </c>
      <c r="L971" s="4" t="e">
        <f>VLOOKUP(C971,_resources!B:D,3,0)</f>
        <v>#N/A</v>
      </c>
      <c r="M971" s="4" t="e" cm="1">
        <f t="array" aca="1" ref="M971" ca="1">IF(abbrAtEnd,"",L971&amp;"-")&amp;E971&amp;"-"&amp;INDIRECT(OFFSET(element3,MATCH($C971,resources,0)-1,0))&amp;"-"&amp;INDIRECT(OFFSET(element4,MATCH($C971,resources,0)-1,0))&amp;"-"&amp;INDIRECT(OFFSET(element5,MATCH($C971,resources,0)-1,0))&amp;IF(OFFSET(element6,MATCH($C971,resources,0)-1,0)="","","-"&amp;INDIRECT(OFFSET(element6,MATCH($C971,resources,0)-1,0)))&amp;IF(abbrAtEnd,"-"&amp;L971,"")</f>
        <v>#N/A</v>
      </c>
      <c r="N971" s="4" t="str">
        <f t="shared" si="99"/>
        <v>-000</v>
      </c>
      <c r="O971" s="4">
        <f ca="1">IF(totalElements+COUNTIF(Entities!$C$10,"*")+COUNTIF(B971:C971,"*")+COUNTIF(E971:F971,"*")=9,1,0)</f>
        <v>0</v>
      </c>
      <c r="P971" s="4">
        <f>COUNTIF($C$6:C971,C971)</f>
        <v>0</v>
      </c>
      <c r="Q971" s="4">
        <f ca="1">IF(ISNA(M971),0,COUNTIF($M$6:M971,M971))</f>
        <v>0</v>
      </c>
      <c r="R971" s="4" t="e">
        <f t="shared" ca="1" si="105"/>
        <v>#N/A</v>
      </c>
      <c r="S971" s="4">
        <f ca="1">IF(ISNA(M971),0,COUNTIF($R$6:R971,R971))</f>
        <v>0</v>
      </c>
      <c r="T971" s="4" t="e">
        <f t="shared" ca="1" si="104"/>
        <v>#N/A</v>
      </c>
    </row>
    <row r="972" spans="2:20" x14ac:dyDescent="0.3">
      <c r="B972" s="48"/>
      <c r="C972" s="48"/>
      <c r="D972" s="10" t="str">
        <f t="shared" ca="1" si="101"/>
        <v/>
      </c>
      <c r="E972" s="48"/>
      <c r="F972" s="48"/>
      <c r="G972" s="10" t="str">
        <f t="shared" ca="1" si="100"/>
        <v/>
      </c>
      <c r="I972" s="10" t="str">
        <f t="shared" ca="1" si="102"/>
        <v/>
      </c>
      <c r="K972" s="4" t="e">
        <f t="shared" ca="1" si="103"/>
        <v>#N/A</v>
      </c>
      <c r="L972" s="4" t="e">
        <f>VLOOKUP(C972,_resources!B:D,3,0)</f>
        <v>#N/A</v>
      </c>
      <c r="M972" s="4" t="e" cm="1">
        <f t="array" aca="1" ref="M972" ca="1">IF(abbrAtEnd,"",L972&amp;"-")&amp;E972&amp;"-"&amp;INDIRECT(OFFSET(element3,MATCH($C972,resources,0)-1,0))&amp;"-"&amp;INDIRECT(OFFSET(element4,MATCH($C972,resources,0)-1,0))&amp;"-"&amp;INDIRECT(OFFSET(element5,MATCH($C972,resources,0)-1,0))&amp;IF(OFFSET(element6,MATCH($C972,resources,0)-1,0)="","","-"&amp;INDIRECT(OFFSET(element6,MATCH($C972,resources,0)-1,0)))&amp;IF(abbrAtEnd,"-"&amp;L972,"")</f>
        <v>#N/A</v>
      </c>
      <c r="N972" s="4" t="str">
        <f t="shared" si="99"/>
        <v>-000</v>
      </c>
      <c r="O972" s="4">
        <f ca="1">IF(totalElements+COUNTIF(Entities!$C$10,"*")+COUNTIF(B972:C972,"*")+COUNTIF(E972:F972,"*")=9,1,0)</f>
        <v>0</v>
      </c>
      <c r="P972" s="4">
        <f>COUNTIF($C$6:C972,C972)</f>
        <v>0</v>
      </c>
      <c r="Q972" s="4">
        <f ca="1">IF(ISNA(M972),0,COUNTIF($M$6:M972,M972))</f>
        <v>0</v>
      </c>
      <c r="R972" s="4" t="e">
        <f t="shared" ca="1" si="105"/>
        <v>#N/A</v>
      </c>
      <c r="S972" s="4">
        <f ca="1">IF(ISNA(M972),0,COUNTIF($R$6:R972,R972))</f>
        <v>0</v>
      </c>
      <c r="T972" s="4" t="e">
        <f t="shared" ca="1" si="104"/>
        <v>#N/A</v>
      </c>
    </row>
    <row r="973" spans="2:20" x14ac:dyDescent="0.3">
      <c r="B973" s="48"/>
      <c r="C973" s="48"/>
      <c r="D973" s="10" t="str">
        <f t="shared" ca="1" si="101"/>
        <v/>
      </c>
      <c r="E973" s="48"/>
      <c r="F973" s="48"/>
      <c r="G973" s="10" t="str">
        <f t="shared" ca="1" si="100"/>
        <v/>
      </c>
      <c r="I973" s="10" t="str">
        <f t="shared" ca="1" si="102"/>
        <v/>
      </c>
      <c r="K973" s="4" t="e">
        <f t="shared" ca="1" si="103"/>
        <v>#N/A</v>
      </c>
      <c r="L973" s="4" t="e">
        <f>VLOOKUP(C973,_resources!B:D,3,0)</f>
        <v>#N/A</v>
      </c>
      <c r="M973" s="4" t="e" cm="1">
        <f t="array" aca="1" ref="M973" ca="1">IF(abbrAtEnd,"",L973&amp;"-")&amp;E973&amp;"-"&amp;INDIRECT(OFFSET(element3,MATCH($C973,resources,0)-1,0))&amp;"-"&amp;INDIRECT(OFFSET(element4,MATCH($C973,resources,0)-1,0))&amp;"-"&amp;INDIRECT(OFFSET(element5,MATCH($C973,resources,0)-1,0))&amp;IF(OFFSET(element6,MATCH($C973,resources,0)-1,0)="","","-"&amp;INDIRECT(OFFSET(element6,MATCH($C973,resources,0)-1,0)))&amp;IF(abbrAtEnd,"-"&amp;L973,"")</f>
        <v>#N/A</v>
      </c>
      <c r="N973" s="4" t="str">
        <f t="shared" si="99"/>
        <v>-000</v>
      </c>
      <c r="O973" s="4">
        <f ca="1">IF(totalElements+COUNTIF(Entities!$C$10,"*")+COUNTIF(B973:C973,"*")+COUNTIF(E973:F973,"*")=9,1,0)</f>
        <v>0</v>
      </c>
      <c r="P973" s="4">
        <f>COUNTIF($C$6:C973,C973)</f>
        <v>0</v>
      </c>
      <c r="Q973" s="4">
        <f ca="1">IF(ISNA(M973),0,COUNTIF($M$6:M973,M973))</f>
        <v>0</v>
      </c>
      <c r="R973" s="4" t="e">
        <f t="shared" ca="1" si="105"/>
        <v>#N/A</v>
      </c>
      <c r="S973" s="4">
        <f ca="1">IF(ISNA(M973),0,COUNTIF($R$6:R973,R973))</f>
        <v>0</v>
      </c>
      <c r="T973" s="4" t="e">
        <f t="shared" ca="1" si="104"/>
        <v>#N/A</v>
      </c>
    </row>
    <row r="974" spans="2:20" x14ac:dyDescent="0.3">
      <c r="B974" s="48"/>
      <c r="C974" s="48"/>
      <c r="D974" s="10" t="str">
        <f t="shared" ca="1" si="101"/>
        <v/>
      </c>
      <c r="E974" s="48"/>
      <c r="F974" s="48"/>
      <c r="G974" s="10" t="str">
        <f t="shared" ca="1" si="100"/>
        <v/>
      </c>
      <c r="I974" s="10" t="str">
        <f t="shared" ca="1" si="102"/>
        <v/>
      </c>
      <c r="K974" s="4" t="e">
        <f t="shared" ca="1" si="103"/>
        <v>#N/A</v>
      </c>
      <c r="L974" s="4" t="e">
        <f>VLOOKUP(C974,_resources!B:D,3,0)</f>
        <v>#N/A</v>
      </c>
      <c r="M974" s="4" t="e" cm="1">
        <f t="array" aca="1" ref="M974" ca="1">IF(abbrAtEnd,"",L974&amp;"-")&amp;E974&amp;"-"&amp;INDIRECT(OFFSET(element3,MATCH($C974,resources,0)-1,0))&amp;"-"&amp;INDIRECT(OFFSET(element4,MATCH($C974,resources,0)-1,0))&amp;"-"&amp;INDIRECT(OFFSET(element5,MATCH($C974,resources,0)-1,0))&amp;IF(OFFSET(element6,MATCH($C974,resources,0)-1,0)="","","-"&amp;INDIRECT(OFFSET(element6,MATCH($C974,resources,0)-1,0)))&amp;IF(abbrAtEnd,"-"&amp;L974,"")</f>
        <v>#N/A</v>
      </c>
      <c r="N974" s="4" t="str">
        <f t="shared" ref="N974:N999" si="106">IF($M$4,"-"&amp;TEXT(P974,"000"),"-"&amp;TEXT(Q974,"000"))</f>
        <v>-000</v>
      </c>
      <c r="O974" s="4">
        <f ca="1">IF(totalElements+COUNTIF(Entities!$C$10,"*")+COUNTIF(B974:C974,"*")+COUNTIF(E974:F974,"*")=9,1,0)</f>
        <v>0</v>
      </c>
      <c r="P974" s="4">
        <f>COUNTIF($C$6:C974,C974)</f>
        <v>0</v>
      </c>
      <c r="Q974" s="4">
        <f ca="1">IF(ISNA(M974),0,COUNTIF($M$6:M974,M974))</f>
        <v>0</v>
      </c>
      <c r="R974" s="4" t="e">
        <f t="shared" ca="1" si="105"/>
        <v>#N/A</v>
      </c>
      <c r="S974" s="4">
        <f ca="1">IF(ISNA(M974),0,COUNTIF($R$6:R974,R974))</f>
        <v>0</v>
      </c>
      <c r="T974" s="4" t="e">
        <f t="shared" ca="1" si="104"/>
        <v>#N/A</v>
      </c>
    </row>
    <row r="975" spans="2:20" x14ac:dyDescent="0.3">
      <c r="B975" s="48"/>
      <c r="C975" s="48"/>
      <c r="D975" s="10" t="str">
        <f t="shared" ca="1" si="101"/>
        <v/>
      </c>
      <c r="E975" s="48"/>
      <c r="F975" s="48"/>
      <c r="G975" s="10" t="str">
        <f t="shared" ca="1" si="100"/>
        <v/>
      </c>
      <c r="I975" s="10" t="str">
        <f t="shared" ca="1" si="102"/>
        <v/>
      </c>
      <c r="K975" s="4" t="e">
        <f t="shared" ca="1" si="103"/>
        <v>#N/A</v>
      </c>
      <c r="L975" s="4" t="e">
        <f>VLOOKUP(C975,_resources!B:D,3,0)</f>
        <v>#N/A</v>
      </c>
      <c r="M975" s="4" t="e" cm="1">
        <f t="array" aca="1" ref="M975" ca="1">IF(abbrAtEnd,"",L975&amp;"-")&amp;E975&amp;"-"&amp;INDIRECT(OFFSET(element3,MATCH($C975,resources,0)-1,0))&amp;"-"&amp;INDIRECT(OFFSET(element4,MATCH($C975,resources,0)-1,0))&amp;"-"&amp;INDIRECT(OFFSET(element5,MATCH($C975,resources,0)-1,0))&amp;IF(OFFSET(element6,MATCH($C975,resources,0)-1,0)="","","-"&amp;INDIRECT(OFFSET(element6,MATCH($C975,resources,0)-1,0)))&amp;IF(abbrAtEnd,"-"&amp;L975,"")</f>
        <v>#N/A</v>
      </c>
      <c r="N975" s="4" t="str">
        <f t="shared" si="106"/>
        <v>-000</v>
      </c>
      <c r="O975" s="4">
        <f ca="1">IF(totalElements+COUNTIF(Entities!$C$10,"*")+COUNTIF(B975:C975,"*")+COUNTIF(E975:F975,"*")=9,1,0)</f>
        <v>0</v>
      </c>
      <c r="P975" s="4">
        <f>COUNTIF($C$6:C975,C975)</f>
        <v>0</v>
      </c>
      <c r="Q975" s="4">
        <f ca="1">IF(ISNA(M975),0,COUNTIF($M$6:M975,M975))</f>
        <v>0</v>
      </c>
      <c r="R975" s="4" t="e">
        <f t="shared" ca="1" si="105"/>
        <v>#N/A</v>
      </c>
      <c r="S975" s="4">
        <f ca="1">IF(ISNA(M975),0,COUNTIF($R$6:R975,R975))</f>
        <v>0</v>
      </c>
      <c r="T975" s="4" t="e">
        <f t="shared" ca="1" si="104"/>
        <v>#N/A</v>
      </c>
    </row>
    <row r="976" spans="2:20" x14ac:dyDescent="0.3">
      <c r="B976" s="48"/>
      <c r="C976" s="48"/>
      <c r="D976" s="10" t="str">
        <f t="shared" ca="1" si="101"/>
        <v/>
      </c>
      <c r="E976" s="48"/>
      <c r="F976" s="48"/>
      <c r="G976" s="10" t="str">
        <f t="shared" ca="1" si="100"/>
        <v/>
      </c>
      <c r="I976" s="10" t="str">
        <f t="shared" ca="1" si="102"/>
        <v/>
      </c>
      <c r="K976" s="4" t="e">
        <f t="shared" ca="1" si="103"/>
        <v>#N/A</v>
      </c>
      <c r="L976" s="4" t="e">
        <f>VLOOKUP(C976,_resources!B:D,3,0)</f>
        <v>#N/A</v>
      </c>
      <c r="M976" s="4" t="e" cm="1">
        <f t="array" aca="1" ref="M976" ca="1">IF(abbrAtEnd,"",L976&amp;"-")&amp;E976&amp;"-"&amp;INDIRECT(OFFSET(element3,MATCH($C976,resources,0)-1,0))&amp;"-"&amp;INDIRECT(OFFSET(element4,MATCH($C976,resources,0)-1,0))&amp;"-"&amp;INDIRECT(OFFSET(element5,MATCH($C976,resources,0)-1,0))&amp;IF(OFFSET(element6,MATCH($C976,resources,0)-1,0)="","","-"&amp;INDIRECT(OFFSET(element6,MATCH($C976,resources,0)-1,0)))&amp;IF(abbrAtEnd,"-"&amp;L976,"")</f>
        <v>#N/A</v>
      </c>
      <c r="N976" s="4" t="str">
        <f t="shared" si="106"/>
        <v>-000</v>
      </c>
      <c r="O976" s="4">
        <f ca="1">IF(totalElements+COUNTIF(Entities!$C$10,"*")+COUNTIF(B976:C976,"*")+COUNTIF(E976:F976,"*")=9,1,0)</f>
        <v>0</v>
      </c>
      <c r="P976" s="4">
        <f>COUNTIF($C$6:C976,C976)</f>
        <v>0</v>
      </c>
      <c r="Q976" s="4">
        <f ca="1">IF(ISNA(M976),0,COUNTIF($M$6:M976,M976))</f>
        <v>0</v>
      </c>
      <c r="R976" s="4" t="e">
        <f t="shared" ca="1" si="105"/>
        <v>#N/A</v>
      </c>
      <c r="S976" s="4">
        <f ca="1">IF(ISNA(M976),0,COUNTIF($R$6:R976,R976))</f>
        <v>0</v>
      </c>
      <c r="T976" s="4" t="e">
        <f t="shared" ca="1" si="104"/>
        <v>#N/A</v>
      </c>
    </row>
    <row r="977" spans="2:20" x14ac:dyDescent="0.3">
      <c r="B977" s="48"/>
      <c r="C977" s="48"/>
      <c r="D977" s="10" t="str">
        <f t="shared" ca="1" si="101"/>
        <v/>
      </c>
      <c r="E977" s="48"/>
      <c r="F977" s="48"/>
      <c r="G977" s="10" t="str">
        <f t="shared" ca="1" si="100"/>
        <v/>
      </c>
      <c r="I977" s="10" t="str">
        <f t="shared" ca="1" si="102"/>
        <v/>
      </c>
      <c r="K977" s="4" t="e">
        <f t="shared" ca="1" si="103"/>
        <v>#N/A</v>
      </c>
      <c r="L977" s="4" t="e">
        <f>VLOOKUP(C977,_resources!B:D,3,0)</f>
        <v>#N/A</v>
      </c>
      <c r="M977" s="4" t="e" cm="1">
        <f t="array" aca="1" ref="M977" ca="1">IF(abbrAtEnd,"",L977&amp;"-")&amp;E977&amp;"-"&amp;INDIRECT(OFFSET(element3,MATCH($C977,resources,0)-1,0))&amp;"-"&amp;INDIRECT(OFFSET(element4,MATCH($C977,resources,0)-1,0))&amp;"-"&amp;INDIRECT(OFFSET(element5,MATCH($C977,resources,0)-1,0))&amp;IF(OFFSET(element6,MATCH($C977,resources,0)-1,0)="","","-"&amp;INDIRECT(OFFSET(element6,MATCH($C977,resources,0)-1,0)))&amp;IF(abbrAtEnd,"-"&amp;L977,"")</f>
        <v>#N/A</v>
      </c>
      <c r="N977" s="4" t="str">
        <f t="shared" si="106"/>
        <v>-000</v>
      </c>
      <c r="O977" s="4">
        <f ca="1">IF(totalElements+COUNTIF(Entities!$C$10,"*")+COUNTIF(B977:C977,"*")+COUNTIF(E977:F977,"*")=9,1,0)</f>
        <v>0</v>
      </c>
      <c r="P977" s="4">
        <f>COUNTIF($C$6:C977,C977)</f>
        <v>0</v>
      </c>
      <c r="Q977" s="4">
        <f ca="1">IF(ISNA(M977),0,COUNTIF($M$6:M977,M977))</f>
        <v>0</v>
      </c>
      <c r="R977" s="4" t="e">
        <f t="shared" ca="1" si="105"/>
        <v>#N/A</v>
      </c>
      <c r="S977" s="4">
        <f ca="1">IF(ISNA(M977),0,COUNTIF($R$6:R977,R977))</f>
        <v>0</v>
      </c>
      <c r="T977" s="4" t="e">
        <f t="shared" ca="1" si="104"/>
        <v>#N/A</v>
      </c>
    </row>
    <row r="978" spans="2:20" x14ac:dyDescent="0.3">
      <c r="B978" s="48"/>
      <c r="C978" s="48"/>
      <c r="D978" s="10" t="str">
        <f t="shared" ca="1" si="101"/>
        <v/>
      </c>
      <c r="E978" s="48"/>
      <c r="F978" s="48"/>
      <c r="G978" s="10" t="str">
        <f t="shared" ca="1" si="100"/>
        <v/>
      </c>
      <c r="I978" s="10" t="str">
        <f t="shared" ca="1" si="102"/>
        <v/>
      </c>
      <c r="K978" s="4" t="e">
        <f t="shared" ca="1" si="103"/>
        <v>#N/A</v>
      </c>
      <c r="L978" s="4" t="e">
        <f>VLOOKUP(C978,_resources!B:D,3,0)</f>
        <v>#N/A</v>
      </c>
      <c r="M978" s="4" t="e" cm="1">
        <f t="array" aca="1" ref="M978" ca="1">IF(abbrAtEnd,"",L978&amp;"-")&amp;E978&amp;"-"&amp;INDIRECT(OFFSET(element3,MATCH($C978,resources,0)-1,0))&amp;"-"&amp;INDIRECT(OFFSET(element4,MATCH($C978,resources,0)-1,0))&amp;"-"&amp;INDIRECT(OFFSET(element5,MATCH($C978,resources,0)-1,0))&amp;IF(OFFSET(element6,MATCH($C978,resources,0)-1,0)="","","-"&amp;INDIRECT(OFFSET(element6,MATCH($C978,resources,0)-1,0)))&amp;IF(abbrAtEnd,"-"&amp;L978,"")</f>
        <v>#N/A</v>
      </c>
      <c r="N978" s="4" t="str">
        <f t="shared" si="106"/>
        <v>-000</v>
      </c>
      <c r="O978" s="4">
        <f ca="1">IF(totalElements+COUNTIF(Entities!$C$10,"*")+COUNTIF(B978:C978,"*")+COUNTIF(E978:F978,"*")=9,1,0)</f>
        <v>0</v>
      </c>
      <c r="P978" s="4">
        <f>COUNTIF($C$6:C978,C978)</f>
        <v>0</v>
      </c>
      <c r="Q978" s="4">
        <f ca="1">IF(ISNA(M978),0,COUNTIF($M$6:M978,M978))</f>
        <v>0</v>
      </c>
      <c r="R978" s="4" t="e">
        <f t="shared" ca="1" si="105"/>
        <v>#N/A</v>
      </c>
      <c r="S978" s="4">
        <f ca="1">IF(ISNA(M978),0,COUNTIF($R$6:R978,R978))</f>
        <v>0</v>
      </c>
      <c r="T978" s="4" t="e">
        <f t="shared" ca="1" si="104"/>
        <v>#N/A</v>
      </c>
    </row>
    <row r="979" spans="2:20" x14ac:dyDescent="0.3">
      <c r="B979" s="48"/>
      <c r="C979" s="48"/>
      <c r="D979" s="10" t="str">
        <f t="shared" ca="1" si="101"/>
        <v/>
      </c>
      <c r="E979" s="48"/>
      <c r="F979" s="48"/>
      <c r="G979" s="10" t="str">
        <f t="shared" ref="G979:G999" ca="1" si="107">IF(O979,IF(K979="hyphenated",M979&amp;N979,IF(K979="dnsname",E979,IF(K979="alphanumeric",SUBSTITUTE(M979&amp;N979,"-",""),"unknown or missing resource structure"))),"")</f>
        <v/>
      </c>
      <c r="I979" s="10" t="str">
        <f t="shared" ca="1" si="102"/>
        <v/>
      </c>
      <c r="K979" s="4" t="e">
        <f t="shared" ca="1" si="103"/>
        <v>#N/A</v>
      </c>
      <c r="L979" s="4" t="e">
        <f>VLOOKUP(C979,_resources!B:D,3,0)</f>
        <v>#N/A</v>
      </c>
      <c r="M979" s="4" t="e" cm="1">
        <f t="array" aca="1" ref="M979" ca="1">IF(abbrAtEnd,"",L979&amp;"-")&amp;E979&amp;"-"&amp;INDIRECT(OFFSET(element3,MATCH($C979,resources,0)-1,0))&amp;"-"&amp;INDIRECT(OFFSET(element4,MATCH($C979,resources,0)-1,0))&amp;"-"&amp;INDIRECT(OFFSET(element5,MATCH($C979,resources,0)-1,0))&amp;IF(OFFSET(element6,MATCH($C979,resources,0)-1,0)="","","-"&amp;INDIRECT(OFFSET(element6,MATCH($C979,resources,0)-1,0)))&amp;IF(abbrAtEnd,"-"&amp;L979,"")</f>
        <v>#N/A</v>
      </c>
      <c r="N979" s="4" t="str">
        <f t="shared" si="106"/>
        <v>-000</v>
      </c>
      <c r="O979" s="4">
        <f ca="1">IF(totalElements+COUNTIF(Entities!$C$10,"*")+COUNTIF(B979:C979,"*")+COUNTIF(E979:F979,"*")=9,1,0)</f>
        <v>0</v>
      </c>
      <c r="P979" s="4">
        <f>COUNTIF($C$6:C979,C979)</f>
        <v>0</v>
      </c>
      <c r="Q979" s="4">
        <f ca="1">IF(ISNA(M979),0,COUNTIF($M$6:M979,M979))</f>
        <v>0</v>
      </c>
      <c r="R979" s="4" t="e">
        <f t="shared" ca="1" si="105"/>
        <v>#N/A</v>
      </c>
      <c r="S979" s="4">
        <f ca="1">IF(ISNA(M979),0,COUNTIF($R$6:R979,R979))</f>
        <v>0</v>
      </c>
      <c r="T979" s="4" t="e">
        <f t="shared" ca="1" si="104"/>
        <v>#N/A</v>
      </c>
    </row>
    <row r="980" spans="2:20" x14ac:dyDescent="0.3">
      <c r="B980" s="48"/>
      <c r="C980" s="48"/>
      <c r="D980" s="10" t="str">
        <f t="shared" ca="1" si="101"/>
        <v/>
      </c>
      <c r="E980" s="48"/>
      <c r="F980" s="48"/>
      <c r="G980" s="10" t="str">
        <f t="shared" ca="1" si="107"/>
        <v/>
      </c>
      <c r="I980" s="10" t="str">
        <f t="shared" ca="1" si="102"/>
        <v/>
      </c>
      <c r="K980" s="4" t="e">
        <f t="shared" ca="1" si="103"/>
        <v>#N/A</v>
      </c>
      <c r="L980" s="4" t="e">
        <f>VLOOKUP(C980,_resources!B:D,3,0)</f>
        <v>#N/A</v>
      </c>
      <c r="M980" s="4" t="e" cm="1">
        <f t="array" aca="1" ref="M980" ca="1">IF(abbrAtEnd,"",L980&amp;"-")&amp;E980&amp;"-"&amp;INDIRECT(OFFSET(element3,MATCH($C980,resources,0)-1,0))&amp;"-"&amp;INDIRECT(OFFSET(element4,MATCH($C980,resources,0)-1,0))&amp;"-"&amp;INDIRECT(OFFSET(element5,MATCH($C980,resources,0)-1,0))&amp;IF(OFFSET(element6,MATCH($C980,resources,0)-1,0)="","","-"&amp;INDIRECT(OFFSET(element6,MATCH($C980,resources,0)-1,0)))&amp;IF(abbrAtEnd,"-"&amp;L980,"")</f>
        <v>#N/A</v>
      </c>
      <c r="N980" s="4" t="str">
        <f t="shared" si="106"/>
        <v>-000</v>
      </c>
      <c r="O980" s="4">
        <f ca="1">IF(totalElements+COUNTIF(Entities!$C$10,"*")+COUNTIF(B980:C980,"*")+COUNTIF(E980:F980,"*")=9,1,0)</f>
        <v>0</v>
      </c>
      <c r="P980" s="4">
        <f>COUNTIF($C$6:C980,C980)</f>
        <v>0</v>
      </c>
      <c r="Q980" s="4">
        <f ca="1">IF(ISNA(M980),0,COUNTIF($M$6:M980,M980))</f>
        <v>0</v>
      </c>
      <c r="R980" s="4" t="e">
        <f t="shared" ca="1" si="105"/>
        <v>#N/A</v>
      </c>
      <c r="S980" s="4">
        <f ca="1">IF(ISNA(M980),0,COUNTIF($R$6:R980,R980))</f>
        <v>0</v>
      </c>
      <c r="T980" s="4" t="e">
        <f t="shared" ca="1" si="104"/>
        <v>#N/A</v>
      </c>
    </row>
    <row r="981" spans="2:20" x14ac:dyDescent="0.3">
      <c r="B981" s="48"/>
      <c r="C981" s="48"/>
      <c r="D981" s="10" t="str">
        <f t="shared" ca="1" si="101"/>
        <v/>
      </c>
      <c r="E981" s="48"/>
      <c r="F981" s="48"/>
      <c r="G981" s="10" t="str">
        <f t="shared" ca="1" si="107"/>
        <v/>
      </c>
      <c r="I981" s="10" t="str">
        <f t="shared" ca="1" si="102"/>
        <v/>
      </c>
      <c r="K981" s="4" t="e">
        <f t="shared" ca="1" si="103"/>
        <v>#N/A</v>
      </c>
      <c r="L981" s="4" t="e">
        <f>VLOOKUP(C981,_resources!B:D,3,0)</f>
        <v>#N/A</v>
      </c>
      <c r="M981" s="4" t="e" cm="1">
        <f t="array" aca="1" ref="M981" ca="1">IF(abbrAtEnd,"",L981&amp;"-")&amp;E981&amp;"-"&amp;INDIRECT(OFFSET(element3,MATCH($C981,resources,0)-1,0))&amp;"-"&amp;INDIRECT(OFFSET(element4,MATCH($C981,resources,0)-1,0))&amp;"-"&amp;INDIRECT(OFFSET(element5,MATCH($C981,resources,0)-1,0))&amp;IF(OFFSET(element6,MATCH($C981,resources,0)-1,0)="","","-"&amp;INDIRECT(OFFSET(element6,MATCH($C981,resources,0)-1,0)))&amp;IF(abbrAtEnd,"-"&amp;L981,"")</f>
        <v>#N/A</v>
      </c>
      <c r="N981" s="4" t="str">
        <f t="shared" si="106"/>
        <v>-000</v>
      </c>
      <c r="O981" s="4">
        <f ca="1">IF(totalElements+COUNTIF(Entities!$C$10,"*")+COUNTIF(B981:C981,"*")+COUNTIF(E981:F981,"*")=9,1,0)</f>
        <v>0</v>
      </c>
      <c r="P981" s="4">
        <f>COUNTIF($C$6:C981,C981)</f>
        <v>0</v>
      </c>
      <c r="Q981" s="4">
        <f ca="1">IF(ISNA(M981),0,COUNTIF($M$6:M981,M981))</f>
        <v>0</v>
      </c>
      <c r="R981" s="4" t="e">
        <f t="shared" ca="1" si="105"/>
        <v>#N/A</v>
      </c>
      <c r="S981" s="4">
        <f ca="1">IF(ISNA(M981),0,COUNTIF($R$6:R981,R981))</f>
        <v>0</v>
      </c>
      <c r="T981" s="4" t="e">
        <f t="shared" ca="1" si="104"/>
        <v>#N/A</v>
      </c>
    </row>
    <row r="982" spans="2:20" x14ac:dyDescent="0.3">
      <c r="B982" s="48"/>
      <c r="C982" s="48"/>
      <c r="D982" s="10" t="str">
        <f t="shared" ca="1" si="101"/>
        <v/>
      </c>
      <c r="E982" s="48"/>
      <c r="F982" s="48"/>
      <c r="G982" s="10" t="str">
        <f t="shared" ca="1" si="107"/>
        <v/>
      </c>
      <c r="I982" s="10" t="str">
        <f t="shared" ca="1" si="102"/>
        <v/>
      </c>
      <c r="K982" s="4" t="e">
        <f t="shared" ca="1" si="103"/>
        <v>#N/A</v>
      </c>
      <c r="L982" s="4" t="e">
        <f>VLOOKUP(C982,_resources!B:D,3,0)</f>
        <v>#N/A</v>
      </c>
      <c r="M982" s="4" t="e" cm="1">
        <f t="array" aca="1" ref="M982" ca="1">IF(abbrAtEnd,"",L982&amp;"-")&amp;E982&amp;"-"&amp;INDIRECT(OFFSET(element3,MATCH($C982,resources,0)-1,0))&amp;"-"&amp;INDIRECT(OFFSET(element4,MATCH($C982,resources,0)-1,0))&amp;"-"&amp;INDIRECT(OFFSET(element5,MATCH($C982,resources,0)-1,0))&amp;IF(OFFSET(element6,MATCH($C982,resources,0)-1,0)="","","-"&amp;INDIRECT(OFFSET(element6,MATCH($C982,resources,0)-1,0)))&amp;IF(abbrAtEnd,"-"&amp;L982,"")</f>
        <v>#N/A</v>
      </c>
      <c r="N982" s="4" t="str">
        <f t="shared" si="106"/>
        <v>-000</v>
      </c>
      <c r="O982" s="4">
        <f ca="1">IF(totalElements+COUNTIF(Entities!$C$10,"*")+COUNTIF(B982:C982,"*")+COUNTIF(E982:F982,"*")=9,1,0)</f>
        <v>0</v>
      </c>
      <c r="P982" s="4">
        <f>COUNTIF($C$6:C982,C982)</f>
        <v>0</v>
      </c>
      <c r="Q982" s="4">
        <f ca="1">IF(ISNA(M982),0,COUNTIF($M$6:M982,M982))</f>
        <v>0</v>
      </c>
      <c r="R982" s="4" t="e">
        <f t="shared" ca="1" si="105"/>
        <v>#N/A</v>
      </c>
      <c r="S982" s="4">
        <f ca="1">IF(ISNA(M982),0,COUNTIF($R$6:R982,R982))</f>
        <v>0</v>
      </c>
      <c r="T982" s="4" t="e">
        <f t="shared" ca="1" si="104"/>
        <v>#N/A</v>
      </c>
    </row>
    <row r="983" spans="2:20" x14ac:dyDescent="0.3">
      <c r="B983" s="48"/>
      <c r="C983" s="48"/>
      <c r="D983" s="10" t="str">
        <f t="shared" ca="1" si="101"/>
        <v/>
      </c>
      <c r="E983" s="48"/>
      <c r="F983" s="48"/>
      <c r="G983" s="10" t="str">
        <f t="shared" ca="1" si="107"/>
        <v/>
      </c>
      <c r="I983" s="10" t="str">
        <f t="shared" ca="1" si="102"/>
        <v/>
      </c>
      <c r="K983" s="4" t="e">
        <f t="shared" ca="1" si="103"/>
        <v>#N/A</v>
      </c>
      <c r="L983" s="4" t="e">
        <f>VLOOKUP(C983,_resources!B:D,3,0)</f>
        <v>#N/A</v>
      </c>
      <c r="M983" s="4" t="e" cm="1">
        <f t="array" aca="1" ref="M983" ca="1">IF(abbrAtEnd,"",L983&amp;"-")&amp;E983&amp;"-"&amp;INDIRECT(OFFSET(element3,MATCH($C983,resources,0)-1,0))&amp;"-"&amp;INDIRECT(OFFSET(element4,MATCH($C983,resources,0)-1,0))&amp;"-"&amp;INDIRECT(OFFSET(element5,MATCH($C983,resources,0)-1,0))&amp;IF(OFFSET(element6,MATCH($C983,resources,0)-1,0)="","","-"&amp;INDIRECT(OFFSET(element6,MATCH($C983,resources,0)-1,0)))&amp;IF(abbrAtEnd,"-"&amp;L983,"")</f>
        <v>#N/A</v>
      </c>
      <c r="N983" s="4" t="str">
        <f t="shared" si="106"/>
        <v>-000</v>
      </c>
      <c r="O983" s="4">
        <f ca="1">IF(totalElements+COUNTIF(Entities!$C$10,"*")+COUNTIF(B983:C983,"*")+COUNTIF(E983:F983,"*")=9,1,0)</f>
        <v>0</v>
      </c>
      <c r="P983" s="4">
        <f>COUNTIF($C$6:C983,C983)</f>
        <v>0</v>
      </c>
      <c r="Q983" s="4">
        <f ca="1">IF(ISNA(M983),0,COUNTIF($M$6:M983,M983))</f>
        <v>0</v>
      </c>
      <c r="R983" s="4" t="e">
        <f t="shared" ca="1" si="105"/>
        <v>#N/A</v>
      </c>
      <c r="S983" s="4">
        <f ca="1">IF(ISNA(M983),0,COUNTIF($R$6:R983,R983))</f>
        <v>0</v>
      </c>
      <c r="T983" s="4" t="e">
        <f t="shared" ca="1" si="104"/>
        <v>#N/A</v>
      </c>
    </row>
    <row r="984" spans="2:20" x14ac:dyDescent="0.3">
      <c r="B984" s="48"/>
      <c r="C984" s="48"/>
      <c r="D984" s="10" t="str">
        <f t="shared" ca="1" si="101"/>
        <v/>
      </c>
      <c r="E984" s="48"/>
      <c r="F984" s="48"/>
      <c r="G984" s="10" t="str">
        <f t="shared" ca="1" si="107"/>
        <v/>
      </c>
      <c r="I984" s="10" t="str">
        <f t="shared" ca="1" si="102"/>
        <v/>
      </c>
      <c r="K984" s="4" t="e">
        <f t="shared" ca="1" si="103"/>
        <v>#N/A</v>
      </c>
      <c r="L984" s="4" t="e">
        <f>VLOOKUP(C984,_resources!B:D,3,0)</f>
        <v>#N/A</v>
      </c>
      <c r="M984" s="4" t="e" cm="1">
        <f t="array" aca="1" ref="M984" ca="1">IF(abbrAtEnd,"",L984&amp;"-")&amp;E984&amp;"-"&amp;INDIRECT(OFFSET(element3,MATCH($C984,resources,0)-1,0))&amp;"-"&amp;INDIRECT(OFFSET(element4,MATCH($C984,resources,0)-1,0))&amp;"-"&amp;INDIRECT(OFFSET(element5,MATCH($C984,resources,0)-1,0))&amp;IF(OFFSET(element6,MATCH($C984,resources,0)-1,0)="","","-"&amp;INDIRECT(OFFSET(element6,MATCH($C984,resources,0)-1,0)))&amp;IF(abbrAtEnd,"-"&amp;L984,"")</f>
        <v>#N/A</v>
      </c>
      <c r="N984" s="4" t="str">
        <f t="shared" si="106"/>
        <v>-000</v>
      </c>
      <c r="O984" s="4">
        <f ca="1">IF(totalElements+COUNTIF(Entities!$C$10,"*")+COUNTIF(B984:C984,"*")+COUNTIF(E984:F984,"*")=9,1,0)</f>
        <v>0</v>
      </c>
      <c r="P984" s="4">
        <f>COUNTIF($C$6:C984,C984)</f>
        <v>0</v>
      </c>
      <c r="Q984" s="4">
        <f ca="1">IF(ISNA(M984),0,COUNTIF($M$6:M984,M984))</f>
        <v>0</v>
      </c>
      <c r="R984" s="4" t="e">
        <f t="shared" ca="1" si="105"/>
        <v>#N/A</v>
      </c>
      <c r="S984" s="4">
        <f ca="1">IF(ISNA(M984),0,COUNTIF($R$6:R984,R984))</f>
        <v>0</v>
      </c>
      <c r="T984" s="4" t="e">
        <f t="shared" ca="1" si="104"/>
        <v>#N/A</v>
      </c>
    </row>
    <row r="985" spans="2:20" x14ac:dyDescent="0.3">
      <c r="B985" s="48"/>
      <c r="C985" s="48"/>
      <c r="D985" s="10" t="str">
        <f t="shared" ca="1" si="101"/>
        <v/>
      </c>
      <c r="E985" s="48"/>
      <c r="F985" s="48"/>
      <c r="G985" s="10" t="str">
        <f t="shared" ca="1" si="107"/>
        <v/>
      </c>
      <c r="I985" s="10" t="str">
        <f t="shared" ca="1" si="102"/>
        <v/>
      </c>
      <c r="K985" s="4" t="e">
        <f t="shared" ca="1" si="103"/>
        <v>#N/A</v>
      </c>
      <c r="L985" s="4" t="e">
        <f>VLOOKUP(C985,_resources!B:D,3,0)</f>
        <v>#N/A</v>
      </c>
      <c r="M985" s="4" t="e" cm="1">
        <f t="array" aca="1" ref="M985" ca="1">IF(abbrAtEnd,"",L985&amp;"-")&amp;E985&amp;"-"&amp;INDIRECT(OFFSET(element3,MATCH($C985,resources,0)-1,0))&amp;"-"&amp;INDIRECT(OFFSET(element4,MATCH($C985,resources,0)-1,0))&amp;"-"&amp;INDIRECT(OFFSET(element5,MATCH($C985,resources,0)-1,0))&amp;IF(OFFSET(element6,MATCH($C985,resources,0)-1,0)="","","-"&amp;INDIRECT(OFFSET(element6,MATCH($C985,resources,0)-1,0)))&amp;IF(abbrAtEnd,"-"&amp;L985,"")</f>
        <v>#N/A</v>
      </c>
      <c r="N985" s="4" t="str">
        <f t="shared" si="106"/>
        <v>-000</v>
      </c>
      <c r="O985" s="4">
        <f ca="1">IF(totalElements+COUNTIF(Entities!$C$10,"*")+COUNTIF(B985:C985,"*")+COUNTIF(E985:F985,"*")=9,1,0)</f>
        <v>0</v>
      </c>
      <c r="P985" s="4">
        <f>COUNTIF($C$6:C985,C985)</f>
        <v>0</v>
      </c>
      <c r="Q985" s="4">
        <f ca="1">IF(ISNA(M985),0,COUNTIF($M$6:M985,M985))</f>
        <v>0</v>
      </c>
      <c r="R985" s="4" t="e">
        <f t="shared" ca="1" si="105"/>
        <v>#N/A</v>
      </c>
      <c r="S985" s="4">
        <f ca="1">IF(ISNA(M985),0,COUNTIF($R$6:R985,R985))</f>
        <v>0</v>
      </c>
      <c r="T985" s="4" t="e">
        <f t="shared" ca="1" si="104"/>
        <v>#N/A</v>
      </c>
    </row>
    <row r="986" spans="2:20" x14ac:dyDescent="0.3">
      <c r="B986" s="48"/>
      <c r="C986" s="48"/>
      <c r="D986" s="10" t="str">
        <f t="shared" ca="1" si="101"/>
        <v/>
      </c>
      <c r="E986" s="48"/>
      <c r="F986" s="48"/>
      <c r="G986" s="10" t="str">
        <f t="shared" ca="1" si="107"/>
        <v/>
      </c>
      <c r="I986" s="10" t="str">
        <f t="shared" ca="1" si="102"/>
        <v/>
      </c>
      <c r="K986" s="4" t="e">
        <f t="shared" ca="1" si="103"/>
        <v>#N/A</v>
      </c>
      <c r="L986" s="4" t="e">
        <f>VLOOKUP(C986,_resources!B:D,3,0)</f>
        <v>#N/A</v>
      </c>
      <c r="M986" s="4" t="e" cm="1">
        <f t="array" aca="1" ref="M986" ca="1">IF(abbrAtEnd,"",L986&amp;"-")&amp;E986&amp;"-"&amp;INDIRECT(OFFSET(element3,MATCH($C986,resources,0)-1,0))&amp;"-"&amp;INDIRECT(OFFSET(element4,MATCH($C986,resources,0)-1,0))&amp;"-"&amp;INDIRECT(OFFSET(element5,MATCH($C986,resources,0)-1,0))&amp;IF(OFFSET(element6,MATCH($C986,resources,0)-1,0)="","","-"&amp;INDIRECT(OFFSET(element6,MATCH($C986,resources,0)-1,0)))&amp;IF(abbrAtEnd,"-"&amp;L986,"")</f>
        <v>#N/A</v>
      </c>
      <c r="N986" s="4" t="str">
        <f t="shared" si="106"/>
        <v>-000</v>
      </c>
      <c r="O986" s="4">
        <f ca="1">IF(totalElements+COUNTIF(Entities!$C$10,"*")+COUNTIF(B986:C986,"*")+COUNTIF(E986:F986,"*")=9,1,0)</f>
        <v>0</v>
      </c>
      <c r="P986" s="4">
        <f>COUNTIF($C$6:C986,C986)</f>
        <v>0</v>
      </c>
      <c r="Q986" s="4">
        <f ca="1">IF(ISNA(M986),0,COUNTIF($M$6:M986,M986))</f>
        <v>0</v>
      </c>
      <c r="R986" s="4" t="e">
        <f t="shared" ca="1" si="105"/>
        <v>#N/A</v>
      </c>
      <c r="S986" s="4">
        <f ca="1">IF(ISNA(M986),0,COUNTIF($R$6:R986,R986))</f>
        <v>0</v>
      </c>
      <c r="T986" s="4" t="e">
        <f t="shared" ca="1" si="104"/>
        <v>#N/A</v>
      </c>
    </row>
    <row r="987" spans="2:20" x14ac:dyDescent="0.3">
      <c r="B987" s="48"/>
      <c r="C987" s="48"/>
      <c r="D987" s="10" t="str">
        <f t="shared" ca="1" si="101"/>
        <v/>
      </c>
      <c r="E987" s="48"/>
      <c r="F987" s="48"/>
      <c r="G987" s="10" t="str">
        <f t="shared" ca="1" si="107"/>
        <v/>
      </c>
      <c r="I987" s="10" t="str">
        <f t="shared" ca="1" si="102"/>
        <v/>
      </c>
      <c r="K987" s="4" t="e">
        <f t="shared" ca="1" si="103"/>
        <v>#N/A</v>
      </c>
      <c r="L987" s="4" t="e">
        <f>VLOOKUP(C987,_resources!B:D,3,0)</f>
        <v>#N/A</v>
      </c>
      <c r="M987" s="4" t="e" cm="1">
        <f t="array" aca="1" ref="M987" ca="1">IF(abbrAtEnd,"",L987&amp;"-")&amp;E987&amp;"-"&amp;INDIRECT(OFFSET(element3,MATCH($C987,resources,0)-1,0))&amp;"-"&amp;INDIRECT(OFFSET(element4,MATCH($C987,resources,0)-1,0))&amp;"-"&amp;INDIRECT(OFFSET(element5,MATCH($C987,resources,0)-1,0))&amp;IF(OFFSET(element6,MATCH($C987,resources,0)-1,0)="","","-"&amp;INDIRECT(OFFSET(element6,MATCH($C987,resources,0)-1,0)))&amp;IF(abbrAtEnd,"-"&amp;L987,"")</f>
        <v>#N/A</v>
      </c>
      <c r="N987" s="4" t="str">
        <f t="shared" si="106"/>
        <v>-000</v>
      </c>
      <c r="O987" s="4">
        <f ca="1">IF(totalElements+COUNTIF(Entities!$C$10,"*")+COUNTIF(B987:C987,"*")+COUNTIF(E987:F987,"*")=9,1,0)</f>
        <v>0</v>
      </c>
      <c r="P987" s="4">
        <f>COUNTIF($C$6:C987,C987)</f>
        <v>0</v>
      </c>
      <c r="Q987" s="4">
        <f ca="1">IF(ISNA(M987),0,COUNTIF($M$6:M987,M987))</f>
        <v>0</v>
      </c>
      <c r="R987" s="4" t="e">
        <f t="shared" ca="1" si="105"/>
        <v>#N/A</v>
      </c>
      <c r="S987" s="4">
        <f ca="1">IF(ISNA(M987),0,COUNTIF($R$6:R987,R987))</f>
        <v>0</v>
      </c>
      <c r="T987" s="4" t="e">
        <f t="shared" ca="1" si="104"/>
        <v>#N/A</v>
      </c>
    </row>
    <row r="988" spans="2:20" x14ac:dyDescent="0.3">
      <c r="B988" s="48"/>
      <c r="C988" s="48"/>
      <c r="D988" s="10" t="str">
        <f t="shared" ca="1" si="101"/>
        <v/>
      </c>
      <c r="E988" s="48"/>
      <c r="F988" s="48"/>
      <c r="G988" s="10" t="str">
        <f t="shared" ca="1" si="107"/>
        <v/>
      </c>
      <c r="I988" s="10" t="str">
        <f t="shared" ca="1" si="102"/>
        <v/>
      </c>
      <c r="K988" s="4" t="e">
        <f t="shared" ca="1" si="103"/>
        <v>#N/A</v>
      </c>
      <c r="L988" s="4" t="e">
        <f>VLOOKUP(C988,_resources!B:D,3,0)</f>
        <v>#N/A</v>
      </c>
      <c r="M988" s="4" t="e" cm="1">
        <f t="array" aca="1" ref="M988" ca="1">IF(abbrAtEnd,"",L988&amp;"-")&amp;E988&amp;"-"&amp;INDIRECT(OFFSET(element3,MATCH($C988,resources,0)-1,0))&amp;"-"&amp;INDIRECT(OFFSET(element4,MATCH($C988,resources,0)-1,0))&amp;"-"&amp;INDIRECT(OFFSET(element5,MATCH($C988,resources,0)-1,0))&amp;IF(OFFSET(element6,MATCH($C988,resources,0)-1,0)="","","-"&amp;INDIRECT(OFFSET(element6,MATCH($C988,resources,0)-1,0)))&amp;IF(abbrAtEnd,"-"&amp;L988,"")</f>
        <v>#N/A</v>
      </c>
      <c r="N988" s="4" t="str">
        <f t="shared" si="106"/>
        <v>-000</v>
      </c>
      <c r="O988" s="4">
        <f ca="1">IF(totalElements+COUNTIF(Entities!$C$10,"*")+COUNTIF(B988:C988,"*")+COUNTIF(E988:F988,"*")=9,1,0)</f>
        <v>0</v>
      </c>
      <c r="P988" s="4">
        <f>COUNTIF($C$6:C988,C988)</f>
        <v>0</v>
      </c>
      <c r="Q988" s="4">
        <f ca="1">IF(ISNA(M988),0,COUNTIF($M$6:M988,M988))</f>
        <v>0</v>
      </c>
      <c r="R988" s="4" t="e">
        <f t="shared" ca="1" si="105"/>
        <v>#N/A</v>
      </c>
      <c r="S988" s="4">
        <f ca="1">IF(ISNA(M988),0,COUNTIF($R$6:R988,R988))</f>
        <v>0</v>
      </c>
      <c r="T988" s="4" t="e">
        <f t="shared" ca="1" si="104"/>
        <v>#N/A</v>
      </c>
    </row>
    <row r="989" spans="2:20" x14ac:dyDescent="0.3">
      <c r="B989" s="48"/>
      <c r="C989" s="48"/>
      <c r="D989" s="10" t="str">
        <f t="shared" ca="1" si="101"/>
        <v/>
      </c>
      <c r="E989" s="48"/>
      <c r="F989" s="48"/>
      <c r="G989" s="10" t="str">
        <f t="shared" ca="1" si="107"/>
        <v/>
      </c>
      <c r="I989" s="10" t="str">
        <f t="shared" ca="1" si="102"/>
        <v/>
      </c>
      <c r="K989" s="4" t="e">
        <f t="shared" ca="1" si="103"/>
        <v>#N/A</v>
      </c>
      <c r="L989" s="4" t="e">
        <f>VLOOKUP(C989,_resources!B:D,3,0)</f>
        <v>#N/A</v>
      </c>
      <c r="M989" s="4" t="e" cm="1">
        <f t="array" aca="1" ref="M989" ca="1">IF(abbrAtEnd,"",L989&amp;"-")&amp;E989&amp;"-"&amp;INDIRECT(OFFSET(element3,MATCH($C989,resources,0)-1,0))&amp;"-"&amp;INDIRECT(OFFSET(element4,MATCH($C989,resources,0)-1,0))&amp;"-"&amp;INDIRECT(OFFSET(element5,MATCH($C989,resources,0)-1,0))&amp;IF(OFFSET(element6,MATCH($C989,resources,0)-1,0)="","","-"&amp;INDIRECT(OFFSET(element6,MATCH($C989,resources,0)-1,0)))&amp;IF(abbrAtEnd,"-"&amp;L989,"")</f>
        <v>#N/A</v>
      </c>
      <c r="N989" s="4" t="str">
        <f t="shared" si="106"/>
        <v>-000</v>
      </c>
      <c r="O989" s="4">
        <f ca="1">IF(totalElements+COUNTIF(Entities!$C$10,"*")+COUNTIF(B989:C989,"*")+COUNTIF(E989:F989,"*")=9,1,0)</f>
        <v>0</v>
      </c>
      <c r="P989" s="4">
        <f>COUNTIF($C$6:C989,C989)</f>
        <v>0</v>
      </c>
      <c r="Q989" s="4">
        <f ca="1">IF(ISNA(M989),0,COUNTIF($M$6:M989,M989))</f>
        <v>0</v>
      </c>
      <c r="R989" s="4" t="e">
        <f t="shared" ca="1" si="105"/>
        <v>#N/A</v>
      </c>
      <c r="S989" s="4">
        <f ca="1">IF(ISNA(M989),0,COUNTIF($R$6:R989,R989))</f>
        <v>0</v>
      </c>
      <c r="T989" s="4" t="e">
        <f t="shared" ca="1" si="104"/>
        <v>#N/A</v>
      </c>
    </row>
    <row r="990" spans="2:20" x14ac:dyDescent="0.3">
      <c r="B990" s="48"/>
      <c r="C990" s="48"/>
      <c r="D990" s="10" t="str">
        <f t="shared" ca="1" si="101"/>
        <v/>
      </c>
      <c r="E990" s="48"/>
      <c r="F990" s="48"/>
      <c r="G990" s="10" t="str">
        <f t="shared" ca="1" si="107"/>
        <v/>
      </c>
      <c r="I990" s="10" t="str">
        <f t="shared" ca="1" si="102"/>
        <v/>
      </c>
      <c r="K990" s="4" t="e">
        <f t="shared" ca="1" si="103"/>
        <v>#N/A</v>
      </c>
      <c r="L990" s="4" t="e">
        <f>VLOOKUP(C990,_resources!B:D,3,0)</f>
        <v>#N/A</v>
      </c>
      <c r="M990" s="4" t="e" cm="1">
        <f t="array" aca="1" ref="M990" ca="1">IF(abbrAtEnd,"",L990&amp;"-")&amp;E990&amp;"-"&amp;INDIRECT(OFFSET(element3,MATCH($C990,resources,0)-1,0))&amp;"-"&amp;INDIRECT(OFFSET(element4,MATCH($C990,resources,0)-1,0))&amp;"-"&amp;INDIRECT(OFFSET(element5,MATCH($C990,resources,0)-1,0))&amp;IF(OFFSET(element6,MATCH($C990,resources,0)-1,0)="","","-"&amp;INDIRECT(OFFSET(element6,MATCH($C990,resources,0)-1,0)))&amp;IF(abbrAtEnd,"-"&amp;L990,"")</f>
        <v>#N/A</v>
      </c>
      <c r="N990" s="4" t="str">
        <f t="shared" si="106"/>
        <v>-000</v>
      </c>
      <c r="O990" s="4">
        <f ca="1">IF(totalElements+COUNTIF(Entities!$C$10,"*")+COUNTIF(B990:C990,"*")+COUNTIF(E990:F990,"*")=9,1,0)</f>
        <v>0</v>
      </c>
      <c r="P990" s="4">
        <f>COUNTIF($C$6:C990,C990)</f>
        <v>0</v>
      </c>
      <c r="Q990" s="4">
        <f ca="1">IF(ISNA(M990),0,COUNTIF($M$6:M990,M990))</f>
        <v>0</v>
      </c>
      <c r="R990" s="4" t="e">
        <f t="shared" ca="1" si="105"/>
        <v>#N/A</v>
      </c>
      <c r="S990" s="4">
        <f ca="1">IF(ISNA(M990),0,COUNTIF($R$6:R990,R990))</f>
        <v>0</v>
      </c>
      <c r="T990" s="4" t="e">
        <f t="shared" ca="1" si="104"/>
        <v>#N/A</v>
      </c>
    </row>
    <row r="991" spans="2:20" x14ac:dyDescent="0.3">
      <c r="B991" s="48"/>
      <c r="C991" s="48"/>
      <c r="D991" s="10" t="str">
        <f t="shared" ca="1" si="101"/>
        <v/>
      </c>
      <c r="E991" s="48"/>
      <c r="F991" s="48"/>
      <c r="G991" s="10" t="str">
        <f t="shared" ca="1" si="107"/>
        <v/>
      </c>
      <c r="I991" s="10" t="str">
        <f t="shared" ca="1" si="102"/>
        <v/>
      </c>
      <c r="K991" s="4" t="e">
        <f t="shared" ca="1" si="103"/>
        <v>#N/A</v>
      </c>
      <c r="L991" s="4" t="e">
        <f>VLOOKUP(C991,_resources!B:D,3,0)</f>
        <v>#N/A</v>
      </c>
      <c r="M991" s="4" t="e" cm="1">
        <f t="array" aca="1" ref="M991" ca="1">IF(abbrAtEnd,"",L991&amp;"-")&amp;E991&amp;"-"&amp;INDIRECT(OFFSET(element3,MATCH($C991,resources,0)-1,0))&amp;"-"&amp;INDIRECT(OFFSET(element4,MATCH($C991,resources,0)-1,0))&amp;"-"&amp;INDIRECT(OFFSET(element5,MATCH($C991,resources,0)-1,0))&amp;IF(OFFSET(element6,MATCH($C991,resources,0)-1,0)="","","-"&amp;INDIRECT(OFFSET(element6,MATCH($C991,resources,0)-1,0)))&amp;IF(abbrAtEnd,"-"&amp;L991,"")</f>
        <v>#N/A</v>
      </c>
      <c r="N991" s="4" t="str">
        <f t="shared" si="106"/>
        <v>-000</v>
      </c>
      <c r="O991" s="4">
        <f ca="1">IF(totalElements+COUNTIF(Entities!$C$10,"*")+COUNTIF(B991:C991,"*")+COUNTIF(E991:F991,"*")=9,1,0)</f>
        <v>0</v>
      </c>
      <c r="P991" s="4">
        <f>COUNTIF($C$6:C991,C991)</f>
        <v>0</v>
      </c>
      <c r="Q991" s="4">
        <f ca="1">IF(ISNA(M991),0,COUNTIF($M$6:M991,M991))</f>
        <v>0</v>
      </c>
      <c r="R991" s="4" t="e">
        <f t="shared" ca="1" si="105"/>
        <v>#N/A</v>
      </c>
      <c r="S991" s="4">
        <f ca="1">IF(ISNA(M991),0,COUNTIF($R$6:R991,R991))</f>
        <v>0</v>
      </c>
      <c r="T991" s="4" t="e">
        <f t="shared" ca="1" si="104"/>
        <v>#N/A</v>
      </c>
    </row>
    <row r="992" spans="2:20" x14ac:dyDescent="0.3">
      <c r="B992" s="48"/>
      <c r="C992" s="48"/>
      <c r="D992" s="10" t="str">
        <f t="shared" ca="1" si="101"/>
        <v/>
      </c>
      <c r="E992" s="48"/>
      <c r="F992" s="48"/>
      <c r="G992" s="10" t="str">
        <f t="shared" ca="1" si="107"/>
        <v/>
      </c>
      <c r="I992" s="10" t="str">
        <f t="shared" ca="1" si="102"/>
        <v/>
      </c>
      <c r="K992" s="4" t="e">
        <f t="shared" ca="1" si="103"/>
        <v>#N/A</v>
      </c>
      <c r="L992" s="4" t="e">
        <f>VLOOKUP(C992,_resources!B:D,3,0)</f>
        <v>#N/A</v>
      </c>
      <c r="M992" s="4" t="e" cm="1">
        <f t="array" aca="1" ref="M992" ca="1">IF(abbrAtEnd,"",L992&amp;"-")&amp;E992&amp;"-"&amp;INDIRECT(OFFSET(element3,MATCH($C992,resources,0)-1,0))&amp;"-"&amp;INDIRECT(OFFSET(element4,MATCH($C992,resources,0)-1,0))&amp;"-"&amp;INDIRECT(OFFSET(element5,MATCH($C992,resources,0)-1,0))&amp;IF(OFFSET(element6,MATCH($C992,resources,0)-1,0)="","","-"&amp;INDIRECT(OFFSET(element6,MATCH($C992,resources,0)-1,0)))&amp;IF(abbrAtEnd,"-"&amp;L992,"")</f>
        <v>#N/A</v>
      </c>
      <c r="N992" s="4" t="str">
        <f t="shared" si="106"/>
        <v>-000</v>
      </c>
      <c r="O992" s="4">
        <f ca="1">IF(totalElements+COUNTIF(Entities!$C$10,"*")+COUNTIF(B992:C992,"*")+COUNTIF(E992:F992,"*")=9,1,0)</f>
        <v>0</v>
      </c>
      <c r="P992" s="4">
        <f>COUNTIF($C$6:C992,C992)</f>
        <v>0</v>
      </c>
      <c r="Q992" s="4">
        <f ca="1">IF(ISNA(M992),0,COUNTIF($M$6:M992,M992))</f>
        <v>0</v>
      </c>
      <c r="R992" s="4" t="e">
        <f t="shared" ca="1" si="105"/>
        <v>#N/A</v>
      </c>
      <c r="S992" s="4">
        <f ca="1">IF(ISNA(M992),0,COUNTIF($R$6:R992,R992))</f>
        <v>0</v>
      </c>
      <c r="T992" s="4" t="e">
        <f t="shared" ca="1" si="104"/>
        <v>#N/A</v>
      </c>
    </row>
    <row r="993" spans="2:20" x14ac:dyDescent="0.3">
      <c r="B993" s="48"/>
      <c r="C993" s="48"/>
      <c r="D993" s="10" t="str">
        <f t="shared" ca="1" si="101"/>
        <v/>
      </c>
      <c r="E993" s="48"/>
      <c r="F993" s="48"/>
      <c r="G993" s="10" t="str">
        <f t="shared" ca="1" si="107"/>
        <v/>
      </c>
      <c r="I993" s="10" t="str">
        <f t="shared" ca="1" si="102"/>
        <v/>
      </c>
      <c r="K993" s="4" t="e">
        <f t="shared" ca="1" si="103"/>
        <v>#N/A</v>
      </c>
      <c r="L993" s="4" t="e">
        <f>VLOOKUP(C993,_resources!B:D,3,0)</f>
        <v>#N/A</v>
      </c>
      <c r="M993" s="4" t="e" cm="1">
        <f t="array" aca="1" ref="M993" ca="1">IF(abbrAtEnd,"",L993&amp;"-")&amp;E993&amp;"-"&amp;INDIRECT(OFFSET(element3,MATCH($C993,resources,0)-1,0))&amp;"-"&amp;INDIRECT(OFFSET(element4,MATCH($C993,resources,0)-1,0))&amp;"-"&amp;INDIRECT(OFFSET(element5,MATCH($C993,resources,0)-1,0))&amp;IF(OFFSET(element6,MATCH($C993,resources,0)-1,0)="","","-"&amp;INDIRECT(OFFSET(element6,MATCH($C993,resources,0)-1,0)))&amp;IF(abbrAtEnd,"-"&amp;L993,"")</f>
        <v>#N/A</v>
      </c>
      <c r="N993" s="4" t="str">
        <f t="shared" si="106"/>
        <v>-000</v>
      </c>
      <c r="O993" s="4">
        <f ca="1">IF(totalElements+COUNTIF(Entities!$C$10,"*")+COUNTIF(B993:C993,"*")+COUNTIF(E993:F993,"*")=9,1,0)</f>
        <v>0</v>
      </c>
      <c r="P993" s="4">
        <f>COUNTIF($C$6:C993,C993)</f>
        <v>0</v>
      </c>
      <c r="Q993" s="4">
        <f ca="1">IF(ISNA(M993),0,COUNTIF($M$6:M993,M993))</f>
        <v>0</v>
      </c>
      <c r="R993" s="4" t="e">
        <f t="shared" ca="1" si="105"/>
        <v>#N/A</v>
      </c>
      <c r="S993" s="4">
        <f ca="1">IF(ISNA(M993),0,COUNTIF($R$6:R993,R993))</f>
        <v>0</v>
      </c>
      <c r="T993" s="4" t="e">
        <f t="shared" ca="1" si="104"/>
        <v>#N/A</v>
      </c>
    </row>
    <row r="994" spans="2:20" x14ac:dyDescent="0.3">
      <c r="B994" s="48"/>
      <c r="C994" s="48"/>
      <c r="D994" s="10" t="str">
        <f t="shared" ca="1" si="101"/>
        <v/>
      </c>
      <c r="E994" s="48"/>
      <c r="F994" s="48"/>
      <c r="G994" s="10" t="str">
        <f t="shared" ca="1" si="107"/>
        <v/>
      </c>
      <c r="I994" s="10" t="str">
        <f t="shared" ca="1" si="102"/>
        <v/>
      </c>
      <c r="K994" s="4" t="e">
        <f t="shared" ca="1" si="103"/>
        <v>#N/A</v>
      </c>
      <c r="L994" s="4" t="e">
        <f>VLOOKUP(C994,_resources!B:D,3,0)</f>
        <v>#N/A</v>
      </c>
      <c r="M994" s="4" t="e" cm="1">
        <f t="array" aca="1" ref="M994" ca="1">IF(abbrAtEnd,"",L994&amp;"-")&amp;E994&amp;"-"&amp;INDIRECT(OFFSET(element3,MATCH($C994,resources,0)-1,0))&amp;"-"&amp;INDIRECT(OFFSET(element4,MATCH($C994,resources,0)-1,0))&amp;"-"&amp;INDIRECT(OFFSET(element5,MATCH($C994,resources,0)-1,0))&amp;IF(OFFSET(element6,MATCH($C994,resources,0)-1,0)="","","-"&amp;INDIRECT(OFFSET(element6,MATCH($C994,resources,0)-1,0)))&amp;IF(abbrAtEnd,"-"&amp;L994,"")</f>
        <v>#N/A</v>
      </c>
      <c r="N994" s="4" t="str">
        <f t="shared" si="106"/>
        <v>-000</v>
      </c>
      <c r="O994" s="4">
        <f ca="1">IF(totalElements+COUNTIF(Entities!$C$10,"*")+COUNTIF(B994:C994,"*")+COUNTIF(E994:F994,"*")=9,1,0)</f>
        <v>0</v>
      </c>
      <c r="P994" s="4">
        <f>COUNTIF($C$6:C994,C994)</f>
        <v>0</v>
      </c>
      <c r="Q994" s="4">
        <f ca="1">IF(ISNA(M994),0,COUNTIF($M$6:M994,M994))</f>
        <v>0</v>
      </c>
      <c r="R994" s="4" t="e">
        <f t="shared" ca="1" si="105"/>
        <v>#N/A</v>
      </c>
      <c r="S994" s="4">
        <f ca="1">IF(ISNA(M994),0,COUNTIF($R$6:R994,R994))</f>
        <v>0</v>
      </c>
      <c r="T994" s="4" t="e">
        <f t="shared" ca="1" si="104"/>
        <v>#N/A</v>
      </c>
    </row>
    <row r="995" spans="2:20" x14ac:dyDescent="0.3">
      <c r="B995" s="48"/>
      <c r="C995" s="48"/>
      <c r="D995" s="10" t="str">
        <f t="shared" ca="1" si="101"/>
        <v/>
      </c>
      <c r="E995" s="48"/>
      <c r="F995" s="48"/>
      <c r="G995" s="10" t="str">
        <f t="shared" ca="1" si="107"/>
        <v/>
      </c>
      <c r="I995" s="10" t="str">
        <f t="shared" ca="1" si="102"/>
        <v/>
      </c>
      <c r="K995" s="4" t="e">
        <f t="shared" ca="1" si="103"/>
        <v>#N/A</v>
      </c>
      <c r="L995" s="4" t="e">
        <f>VLOOKUP(C995,_resources!B:D,3,0)</f>
        <v>#N/A</v>
      </c>
      <c r="M995" s="4" t="e" cm="1">
        <f t="array" aca="1" ref="M995" ca="1">IF(abbrAtEnd,"",L995&amp;"-")&amp;E995&amp;"-"&amp;INDIRECT(OFFSET(element3,MATCH($C995,resources,0)-1,0))&amp;"-"&amp;INDIRECT(OFFSET(element4,MATCH($C995,resources,0)-1,0))&amp;"-"&amp;INDIRECT(OFFSET(element5,MATCH($C995,resources,0)-1,0))&amp;IF(OFFSET(element6,MATCH($C995,resources,0)-1,0)="","","-"&amp;INDIRECT(OFFSET(element6,MATCH($C995,resources,0)-1,0)))&amp;IF(abbrAtEnd,"-"&amp;L995,"")</f>
        <v>#N/A</v>
      </c>
      <c r="N995" s="4" t="str">
        <f t="shared" si="106"/>
        <v>-000</v>
      </c>
      <c r="O995" s="4">
        <f ca="1">IF(totalElements+COUNTIF(Entities!$C$10,"*")+COUNTIF(B995:C995,"*")+COUNTIF(E995:F995,"*")=9,1,0)</f>
        <v>0</v>
      </c>
      <c r="P995" s="4">
        <f>COUNTIF($C$6:C995,C995)</f>
        <v>0</v>
      </c>
      <c r="Q995" s="4">
        <f ca="1">IF(ISNA(M995),0,COUNTIF($M$6:M995,M995))</f>
        <v>0</v>
      </c>
      <c r="R995" s="4" t="e">
        <f t="shared" ca="1" si="105"/>
        <v>#N/A</v>
      </c>
      <c r="S995" s="4">
        <f ca="1">IF(ISNA(M995),0,COUNTIF($R$6:R995,R995))</f>
        <v>0</v>
      </c>
      <c r="T995" s="4" t="e">
        <f t="shared" ca="1" si="104"/>
        <v>#N/A</v>
      </c>
    </row>
    <row r="996" spans="2:20" x14ac:dyDescent="0.3">
      <c r="B996" s="48"/>
      <c r="C996" s="48"/>
      <c r="D996" s="10" t="str">
        <f t="shared" ca="1" si="101"/>
        <v/>
      </c>
      <c r="E996" s="48"/>
      <c r="F996" s="48"/>
      <c r="G996" s="10" t="str">
        <f t="shared" ca="1" si="107"/>
        <v/>
      </c>
      <c r="I996" s="10" t="str">
        <f t="shared" ca="1" si="102"/>
        <v/>
      </c>
      <c r="K996" s="4" t="e">
        <f t="shared" ca="1" si="103"/>
        <v>#N/A</v>
      </c>
      <c r="L996" s="4" t="e">
        <f>VLOOKUP(C996,_resources!B:D,3,0)</f>
        <v>#N/A</v>
      </c>
      <c r="M996" s="4" t="e" cm="1">
        <f t="array" aca="1" ref="M996" ca="1">IF(abbrAtEnd,"",L996&amp;"-")&amp;E996&amp;"-"&amp;INDIRECT(OFFSET(element3,MATCH($C996,resources,0)-1,0))&amp;"-"&amp;INDIRECT(OFFSET(element4,MATCH($C996,resources,0)-1,0))&amp;"-"&amp;INDIRECT(OFFSET(element5,MATCH($C996,resources,0)-1,0))&amp;IF(OFFSET(element6,MATCH($C996,resources,0)-1,0)="","","-"&amp;INDIRECT(OFFSET(element6,MATCH($C996,resources,0)-1,0)))&amp;IF(abbrAtEnd,"-"&amp;L996,"")</f>
        <v>#N/A</v>
      </c>
      <c r="N996" s="4" t="str">
        <f t="shared" si="106"/>
        <v>-000</v>
      </c>
      <c r="O996" s="4">
        <f ca="1">IF(totalElements+COUNTIF(Entities!$C$10,"*")+COUNTIF(B996:C996,"*")+COUNTIF(E996:F996,"*")=9,1,0)</f>
        <v>0</v>
      </c>
      <c r="P996" s="4">
        <f>COUNTIF($C$6:C996,C996)</f>
        <v>0</v>
      </c>
      <c r="Q996" s="4">
        <f ca="1">IF(ISNA(M996),0,COUNTIF($M$6:M996,M996))</f>
        <v>0</v>
      </c>
      <c r="R996" s="4" t="e">
        <f t="shared" ca="1" si="105"/>
        <v>#N/A</v>
      </c>
      <c r="S996" s="4">
        <f ca="1">IF(ISNA(M996),0,COUNTIF($R$6:R996,R996))</f>
        <v>0</v>
      </c>
      <c r="T996" s="4" t="e">
        <f t="shared" ca="1" si="104"/>
        <v>#N/A</v>
      </c>
    </row>
    <row r="997" spans="2:20" x14ac:dyDescent="0.3">
      <c r="B997" s="48"/>
      <c r="C997" s="48"/>
      <c r="D997" s="10" t="str">
        <f t="shared" ca="1" si="101"/>
        <v/>
      </c>
      <c r="E997" s="48"/>
      <c r="F997" s="48"/>
      <c r="G997" s="10" t="str">
        <f t="shared" ca="1" si="107"/>
        <v/>
      </c>
      <c r="I997" s="10" t="str">
        <f t="shared" ca="1" si="102"/>
        <v/>
      </c>
      <c r="K997" s="4" t="e">
        <f t="shared" ca="1" si="103"/>
        <v>#N/A</v>
      </c>
      <c r="L997" s="4" t="e">
        <f>VLOOKUP(C997,_resources!B:D,3,0)</f>
        <v>#N/A</v>
      </c>
      <c r="M997" s="4" t="e" cm="1">
        <f t="array" aca="1" ref="M997" ca="1">IF(abbrAtEnd,"",L997&amp;"-")&amp;E997&amp;"-"&amp;INDIRECT(OFFSET(element3,MATCH($C997,resources,0)-1,0))&amp;"-"&amp;INDIRECT(OFFSET(element4,MATCH($C997,resources,0)-1,0))&amp;"-"&amp;INDIRECT(OFFSET(element5,MATCH($C997,resources,0)-1,0))&amp;IF(OFFSET(element6,MATCH($C997,resources,0)-1,0)="","","-"&amp;INDIRECT(OFFSET(element6,MATCH($C997,resources,0)-1,0)))&amp;IF(abbrAtEnd,"-"&amp;L997,"")</f>
        <v>#N/A</v>
      </c>
      <c r="N997" s="4" t="str">
        <f t="shared" si="106"/>
        <v>-000</v>
      </c>
      <c r="O997" s="4">
        <f ca="1">IF(totalElements+COUNTIF(Entities!$C$10,"*")+COUNTIF(B997:C997,"*")+COUNTIF(E997:F997,"*")=9,1,0)</f>
        <v>0</v>
      </c>
      <c r="P997" s="4">
        <f>COUNTIF($C$6:C997,C997)</f>
        <v>0</v>
      </c>
      <c r="Q997" s="4">
        <f ca="1">IF(ISNA(M997),0,COUNTIF($M$6:M997,M997))</f>
        <v>0</v>
      </c>
      <c r="R997" s="4" t="e">
        <f t="shared" ca="1" si="105"/>
        <v>#N/A</v>
      </c>
      <c r="S997" s="4">
        <f ca="1">IF(ISNA(M997),0,COUNTIF($R$6:R997,R997))</f>
        <v>0</v>
      </c>
      <c r="T997" s="4" t="e">
        <f t="shared" ca="1" si="104"/>
        <v>#N/A</v>
      </c>
    </row>
    <row r="998" spans="2:20" x14ac:dyDescent="0.3">
      <c r="B998" s="48"/>
      <c r="C998" s="48"/>
      <c r="D998" s="10" t="str">
        <f t="shared" ca="1" si="101"/>
        <v/>
      </c>
      <c r="E998" s="48"/>
      <c r="F998" s="48"/>
      <c r="G998" s="10" t="str">
        <f t="shared" ca="1" si="107"/>
        <v/>
      </c>
      <c r="I998" s="10" t="str">
        <f t="shared" ca="1" si="102"/>
        <v/>
      </c>
      <c r="K998" s="4" t="e">
        <f t="shared" ca="1" si="103"/>
        <v>#N/A</v>
      </c>
      <c r="L998" s="4" t="e">
        <f>VLOOKUP(C998,_resources!B:D,3,0)</f>
        <v>#N/A</v>
      </c>
      <c r="M998" s="4" t="e" cm="1">
        <f t="array" aca="1" ref="M998" ca="1">IF(abbrAtEnd,"",L998&amp;"-")&amp;E998&amp;"-"&amp;INDIRECT(OFFSET(element3,MATCH($C998,resources,0)-1,0))&amp;"-"&amp;INDIRECT(OFFSET(element4,MATCH($C998,resources,0)-1,0))&amp;"-"&amp;INDIRECT(OFFSET(element5,MATCH($C998,resources,0)-1,0))&amp;IF(OFFSET(element6,MATCH($C998,resources,0)-1,0)="","","-"&amp;INDIRECT(OFFSET(element6,MATCH($C998,resources,0)-1,0)))&amp;IF(abbrAtEnd,"-"&amp;L998,"")</f>
        <v>#N/A</v>
      </c>
      <c r="N998" s="4" t="str">
        <f t="shared" si="106"/>
        <v>-000</v>
      </c>
      <c r="O998" s="4">
        <f ca="1">IF(totalElements+COUNTIF(Entities!$C$10,"*")+COUNTIF(B998:C998,"*")+COUNTIF(E998:F998,"*")=9,1,0)</f>
        <v>0</v>
      </c>
      <c r="P998" s="4">
        <f>COUNTIF($C$6:C998,C998)</f>
        <v>0</v>
      </c>
      <c r="Q998" s="4">
        <f ca="1">IF(ISNA(M998),0,COUNTIF($M$6:M998,M998))</f>
        <v>0</v>
      </c>
      <c r="R998" s="4" t="e">
        <f t="shared" ca="1" si="105"/>
        <v>#N/A</v>
      </c>
      <c r="S998" s="4">
        <f ca="1">IF(ISNA(M998),0,COUNTIF($R$6:R998,R998))</f>
        <v>0</v>
      </c>
      <c r="T998" s="4" t="e">
        <f t="shared" ca="1" si="104"/>
        <v>#N/A</v>
      </c>
    </row>
    <row r="999" spans="2:20" x14ac:dyDescent="0.3">
      <c r="B999" s="48"/>
      <c r="C999" s="48"/>
      <c r="D999" s="10" t="str">
        <f t="shared" ca="1" si="101"/>
        <v/>
      </c>
      <c r="E999" s="48"/>
      <c r="F999" s="48"/>
      <c r="G999" s="10" t="str">
        <f t="shared" ca="1" si="107"/>
        <v/>
      </c>
      <c r="I999" s="10" t="str">
        <f t="shared" ca="1" si="102"/>
        <v/>
      </c>
      <c r="K999" s="4" t="e">
        <f t="shared" ca="1" si="103"/>
        <v>#N/A</v>
      </c>
      <c r="L999" s="4" t="e">
        <f>VLOOKUP(C999,_resources!B:D,3,0)</f>
        <v>#N/A</v>
      </c>
      <c r="M999" s="4" t="e" cm="1">
        <f t="array" aca="1" ref="M999" ca="1">IF(abbrAtEnd,"",L999&amp;"-")&amp;E999&amp;"-"&amp;INDIRECT(OFFSET(element3,MATCH($C999,resources,0)-1,0))&amp;"-"&amp;INDIRECT(OFFSET(element4,MATCH($C999,resources,0)-1,0))&amp;"-"&amp;INDIRECT(OFFSET(element5,MATCH($C999,resources,0)-1,0))&amp;IF(OFFSET(element6,MATCH($C999,resources,0)-1,0)="","","-"&amp;INDIRECT(OFFSET(element6,MATCH($C999,resources,0)-1,0)))&amp;IF(abbrAtEnd,"-"&amp;L999,"")</f>
        <v>#N/A</v>
      </c>
      <c r="N999" s="4" t="str">
        <f t="shared" si="106"/>
        <v>-000</v>
      </c>
      <c r="O999" s="4">
        <f ca="1">IF(totalElements+COUNTIF(Entities!$C$10,"*")+COUNTIF(B999:C999,"*")+COUNTIF(E999:F999,"*")=9,1,0)</f>
        <v>0</v>
      </c>
      <c r="P999" s="4">
        <f>COUNTIF($C$6:C999,C999)</f>
        <v>0</v>
      </c>
      <c r="Q999" s="4">
        <f ca="1">IF(ISNA(M999),0,COUNTIF($M$6:M999,M999))</f>
        <v>0</v>
      </c>
      <c r="R999" s="4" t="e">
        <f t="shared" ca="1" si="105"/>
        <v>#N/A</v>
      </c>
      <c r="S999" s="4">
        <f ca="1">IF(ISNA(M999),0,COUNTIF($R$6:R999,R999))</f>
        <v>0</v>
      </c>
      <c r="T999" s="4" t="e">
        <f t="shared" ca="1" si="104"/>
        <v>#N/A</v>
      </c>
    </row>
    <row r="1000" spans="2:20" s="11" customFormat="1" x14ac:dyDescent="0.3"/>
  </sheetData>
  <sheetProtection sheet="1" objects="1" scenarios="1"/>
  <autoFilter ref="B6:G6" xr:uid="{72D1834B-D00A-4DDC-BB25-B98E4F4A977C}"/>
  <dataValidations count="4">
    <dataValidation type="list" allowBlank="1" showInputMessage="1" showErrorMessage="1" sqref="B7:B999" xr:uid="{DF9A5758-5574-402F-9EDF-A9A1D1523E32}">
      <formula1>typeResource</formula1>
    </dataValidation>
    <dataValidation type="list" allowBlank="1" showInputMessage="1" showErrorMessage="1" sqref="F7:F999" xr:uid="{D8BF69DD-38F9-4A77-9912-0C1D6B234630}">
      <formula1>rg_names</formula1>
    </dataValidation>
    <dataValidation type="list" allowBlank="1" showInputMessage="1" showErrorMessage="1" sqref="C7:C999" xr:uid="{20FAE9CB-689D-415C-8C21-3F8EF81270E9}">
      <formula1>INDIRECT("_resources!B"&amp;MATCH(B7,resource_groups,0)&amp;":"&amp;"B"&amp;LOOKUP(2,1/(resource_groups=B7),ROW(resource_groups)))</formula1>
    </dataValidation>
    <dataValidation type="list" showInputMessage="1" showErrorMessage="1" sqref="G3" xr:uid="{3BAFDC97-BD08-48D6-98CA-BD45F083A61C}">
      <formula1>$M$1:$M$3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C12B3-F6BA-4E73-8541-1F8F0419ED6F}">
  <dimension ref="A1:O205"/>
  <sheetViews>
    <sheetView zoomScale="97" workbookViewId="0"/>
  </sheetViews>
  <sheetFormatPr defaultRowHeight="14.4" x14ac:dyDescent="0.3"/>
  <cols>
    <col min="1" max="1" width="25.5546875" bestFit="1" customWidth="1"/>
    <col min="2" max="2" width="42" bestFit="1" customWidth="1"/>
    <col min="3" max="3" width="53.44140625" style="26" bestFit="1" customWidth="1"/>
    <col min="4" max="4" width="18.5546875" bestFit="1" customWidth="1"/>
    <col min="5" max="5" width="12.44140625" bestFit="1" customWidth="1"/>
    <col min="6" max="6" width="12.5546875" bestFit="1" customWidth="1"/>
    <col min="7" max="7" width="19.21875" bestFit="1" customWidth="1"/>
    <col min="8" max="11" width="11.77734375" bestFit="1" customWidth="1"/>
    <col min="12" max="15" width="11.44140625" style="4" hidden="1" customWidth="1"/>
  </cols>
  <sheetData>
    <row r="1" spans="1:15" s="1" customFormat="1" x14ac:dyDescent="0.3">
      <c r="A1" s="5" t="s">
        <v>602</v>
      </c>
      <c r="B1" s="5" t="s">
        <v>0</v>
      </c>
      <c r="C1" s="5" t="s">
        <v>1</v>
      </c>
      <c r="D1" s="5" t="s">
        <v>620</v>
      </c>
      <c r="E1" s="5" t="s">
        <v>614</v>
      </c>
      <c r="F1" s="5" t="s">
        <v>618</v>
      </c>
      <c r="G1" s="5" t="s">
        <v>607</v>
      </c>
      <c r="H1" s="5" t="str">
        <f>"element "&amp;3-abbrAtEnd</f>
        <v>element 3</v>
      </c>
      <c r="I1" s="5" t="str">
        <f>"element "&amp;4-abbrAtEnd</f>
        <v>element 4</v>
      </c>
      <c r="J1" s="5" t="str">
        <f>"element "&amp;5-abbrAtEnd</f>
        <v>element 5</v>
      </c>
      <c r="K1" s="5" t="str">
        <f>"element "&amp;6-abbrAtEnd</f>
        <v>element 6</v>
      </c>
      <c r="L1" s="7" t="s">
        <v>663</v>
      </c>
      <c r="M1" s="7" t="s">
        <v>664</v>
      </c>
      <c r="N1" s="7" t="s">
        <v>665</v>
      </c>
      <c r="O1" s="7" t="s">
        <v>949</v>
      </c>
    </row>
    <row r="2" spans="1:15" x14ac:dyDescent="0.3">
      <c r="A2" t="s">
        <v>580</v>
      </c>
      <c r="B2" t="s">
        <v>19</v>
      </c>
      <c r="C2" s="26" t="s">
        <v>585</v>
      </c>
      <c r="D2" s="47" t="s">
        <v>20</v>
      </c>
      <c r="E2" s="47" t="s">
        <v>608</v>
      </c>
      <c r="F2">
        <v>64</v>
      </c>
      <c r="G2" t="s">
        <v>636</v>
      </c>
      <c r="H2" s="47">
        <f t="shared" ref="H2:H67" si="0">structure_e3</f>
        <v>0</v>
      </c>
      <c r="I2" s="47">
        <f t="shared" ref="I2:I67" si="1">structure_e4</f>
        <v>0</v>
      </c>
      <c r="J2" s="47">
        <f t="shared" ref="J2:J67" si="2">structure_e5</f>
        <v>0</v>
      </c>
      <c r="K2" s="47" t="str">
        <f>IF(ISBLANK(structure_e6),"",structure_e6)</f>
        <v/>
      </c>
      <c r="L2" s="4" t="e">
        <f t="shared" ref="L2:L67" si="3">VLOOKUP(H2,elements_lookup,2,0)</f>
        <v>#N/A</v>
      </c>
      <c r="M2" s="4" t="e">
        <f t="shared" ref="M2:M67" si="4">VLOOKUP(I2,elements_lookup,2,0)</f>
        <v>#N/A</v>
      </c>
      <c r="N2" s="4" t="e">
        <f t="shared" ref="N2:N67" si="5">VLOOKUP(J2,elements_lookup,2,0)</f>
        <v>#N/A</v>
      </c>
      <c r="O2" s="4" t="str">
        <f t="shared" ref="O2:O33" si="6">IF(ISBLANK(structure_e6),"",VLOOKUP(K2,elements_lookup,2,0))</f>
        <v/>
      </c>
    </row>
    <row r="3" spans="1:15" x14ac:dyDescent="0.3">
      <c r="A3" t="s">
        <v>580</v>
      </c>
      <c r="B3" t="s">
        <v>5</v>
      </c>
      <c r="C3" s="26" t="s">
        <v>581</v>
      </c>
      <c r="D3" s="47" t="s">
        <v>6</v>
      </c>
      <c r="E3" s="47" t="s">
        <v>608</v>
      </c>
      <c r="F3">
        <v>64</v>
      </c>
      <c r="G3" t="s">
        <v>637</v>
      </c>
      <c r="H3" s="47">
        <f t="shared" si="0"/>
        <v>0</v>
      </c>
      <c r="I3" s="47">
        <f t="shared" si="1"/>
        <v>0</v>
      </c>
      <c r="J3" s="47">
        <f t="shared" si="2"/>
        <v>0</v>
      </c>
      <c r="K3" s="47" t="str">
        <f t="shared" ref="K3:K67" si="7">IF(ISBLANK(structure_e6),"",structure_e6)</f>
        <v/>
      </c>
      <c r="L3" s="4" t="e">
        <f t="shared" si="3"/>
        <v>#N/A</v>
      </c>
      <c r="M3" s="4" t="e">
        <f t="shared" si="4"/>
        <v>#N/A</v>
      </c>
      <c r="N3" s="4" t="e">
        <f t="shared" si="5"/>
        <v>#N/A</v>
      </c>
      <c r="O3" s="4" t="str">
        <f t="shared" si="6"/>
        <v/>
      </c>
    </row>
    <row r="4" spans="1:15" x14ac:dyDescent="0.3">
      <c r="A4" t="s">
        <v>580</v>
      </c>
      <c r="B4" t="s">
        <v>21</v>
      </c>
      <c r="C4" s="26" t="s">
        <v>586</v>
      </c>
      <c r="D4" s="47" t="s">
        <v>22</v>
      </c>
      <c r="E4" s="47" t="s">
        <v>608</v>
      </c>
      <c r="F4">
        <v>64</v>
      </c>
      <c r="G4" t="s">
        <v>638</v>
      </c>
      <c r="H4" s="47">
        <f t="shared" si="0"/>
        <v>0</v>
      </c>
      <c r="I4" s="47">
        <f t="shared" si="1"/>
        <v>0</v>
      </c>
      <c r="J4" s="47">
        <f t="shared" si="2"/>
        <v>0</v>
      </c>
      <c r="K4" s="47" t="str">
        <f t="shared" si="7"/>
        <v/>
      </c>
      <c r="L4" s="4" t="e">
        <f t="shared" si="3"/>
        <v>#N/A</v>
      </c>
      <c r="M4" s="4" t="e">
        <f t="shared" si="4"/>
        <v>#N/A</v>
      </c>
      <c r="N4" s="4" t="e">
        <f t="shared" si="5"/>
        <v>#N/A</v>
      </c>
      <c r="O4" s="4" t="str">
        <f t="shared" si="6"/>
        <v/>
      </c>
    </row>
    <row r="5" spans="1:15" x14ac:dyDescent="0.3">
      <c r="A5" t="s">
        <v>580</v>
      </c>
      <c r="B5" t="s">
        <v>23</v>
      </c>
      <c r="C5" s="26" t="s">
        <v>587</v>
      </c>
      <c r="D5" s="47" t="s">
        <v>24</v>
      </c>
      <c r="E5" s="47" t="s">
        <v>608</v>
      </c>
      <c r="F5">
        <v>64</v>
      </c>
      <c r="G5" t="s">
        <v>641</v>
      </c>
      <c r="H5" s="47">
        <f t="shared" si="0"/>
        <v>0</v>
      </c>
      <c r="I5" s="47">
        <f t="shared" si="1"/>
        <v>0</v>
      </c>
      <c r="J5" s="47">
        <f t="shared" si="2"/>
        <v>0</v>
      </c>
      <c r="K5" s="47" t="str">
        <f t="shared" si="7"/>
        <v/>
      </c>
      <c r="L5" s="4" t="e">
        <f t="shared" si="3"/>
        <v>#N/A</v>
      </c>
      <c r="M5" s="4" t="e">
        <f t="shared" si="4"/>
        <v>#N/A</v>
      </c>
      <c r="N5" s="4" t="e">
        <f t="shared" si="5"/>
        <v>#N/A</v>
      </c>
      <c r="O5" s="4" t="str">
        <f t="shared" si="6"/>
        <v/>
      </c>
    </row>
    <row r="6" spans="1:15" x14ac:dyDescent="0.3">
      <c r="A6" t="s">
        <v>580</v>
      </c>
      <c r="B6" t="s">
        <v>25</v>
      </c>
      <c r="C6" s="26" t="s">
        <v>588</v>
      </c>
      <c r="D6" s="47" t="s">
        <v>26</v>
      </c>
      <c r="E6" s="47" t="s">
        <v>608</v>
      </c>
      <c r="F6">
        <v>64</v>
      </c>
      <c r="G6" t="s">
        <v>642</v>
      </c>
      <c r="H6" s="47">
        <f t="shared" si="0"/>
        <v>0</v>
      </c>
      <c r="I6" s="47">
        <f t="shared" si="1"/>
        <v>0</v>
      </c>
      <c r="J6" s="47">
        <f t="shared" si="2"/>
        <v>0</v>
      </c>
      <c r="K6" s="47" t="str">
        <f t="shared" si="7"/>
        <v/>
      </c>
      <c r="L6" s="4" t="e">
        <f t="shared" si="3"/>
        <v>#N/A</v>
      </c>
      <c r="M6" s="4" t="e">
        <f t="shared" si="4"/>
        <v>#N/A</v>
      </c>
      <c r="N6" s="4" t="e">
        <f t="shared" si="5"/>
        <v>#N/A</v>
      </c>
      <c r="O6" s="4" t="str">
        <f t="shared" si="6"/>
        <v/>
      </c>
    </row>
    <row r="7" spans="1:15" x14ac:dyDescent="0.3">
      <c r="A7" t="s">
        <v>580</v>
      </c>
      <c r="B7" t="s">
        <v>27</v>
      </c>
      <c r="C7" s="26" t="s">
        <v>589</v>
      </c>
      <c r="D7" s="47" t="s">
        <v>28</v>
      </c>
      <c r="E7" s="47" t="s">
        <v>608</v>
      </c>
      <c r="F7">
        <v>64</v>
      </c>
      <c r="G7" t="s">
        <v>643</v>
      </c>
      <c r="H7" s="47">
        <f t="shared" si="0"/>
        <v>0</v>
      </c>
      <c r="I7" s="47">
        <f t="shared" si="1"/>
        <v>0</v>
      </c>
      <c r="J7" s="47">
        <f t="shared" si="2"/>
        <v>0</v>
      </c>
      <c r="K7" s="47" t="str">
        <f t="shared" si="7"/>
        <v/>
      </c>
      <c r="L7" s="4" t="e">
        <f t="shared" si="3"/>
        <v>#N/A</v>
      </c>
      <c r="M7" s="4" t="e">
        <f t="shared" si="4"/>
        <v>#N/A</v>
      </c>
      <c r="N7" s="4" t="e">
        <f t="shared" si="5"/>
        <v>#N/A</v>
      </c>
      <c r="O7" s="4" t="str">
        <f t="shared" si="6"/>
        <v/>
      </c>
    </row>
    <row r="8" spans="1:15" x14ac:dyDescent="0.3">
      <c r="A8" t="s">
        <v>580</v>
      </c>
      <c r="B8" t="s">
        <v>29</v>
      </c>
      <c r="C8" s="26" t="s">
        <v>590</v>
      </c>
      <c r="D8" s="47" t="s">
        <v>30</v>
      </c>
      <c r="E8" s="47" t="s">
        <v>608</v>
      </c>
      <c r="F8">
        <v>64</v>
      </c>
      <c r="G8" t="s">
        <v>644</v>
      </c>
      <c r="H8" s="47">
        <f t="shared" si="0"/>
        <v>0</v>
      </c>
      <c r="I8" s="47">
        <f t="shared" si="1"/>
        <v>0</v>
      </c>
      <c r="J8" s="47">
        <f t="shared" si="2"/>
        <v>0</v>
      </c>
      <c r="K8" s="47" t="str">
        <f t="shared" si="7"/>
        <v/>
      </c>
      <c r="L8" s="4" t="e">
        <f t="shared" si="3"/>
        <v>#N/A</v>
      </c>
      <c r="M8" s="4" t="e">
        <f t="shared" si="4"/>
        <v>#N/A</v>
      </c>
      <c r="N8" s="4" t="e">
        <f t="shared" si="5"/>
        <v>#N/A</v>
      </c>
      <c r="O8" s="4" t="str">
        <f t="shared" si="6"/>
        <v/>
      </c>
    </row>
    <row r="9" spans="1:15" x14ac:dyDescent="0.3">
      <c r="A9" t="s">
        <v>580</v>
      </c>
      <c r="B9" t="s">
        <v>33</v>
      </c>
      <c r="C9" s="26" t="s">
        <v>592</v>
      </c>
      <c r="D9" s="47" t="s">
        <v>34</v>
      </c>
      <c r="E9" s="47" t="s">
        <v>608</v>
      </c>
      <c r="F9">
        <v>64</v>
      </c>
      <c r="G9" t="s">
        <v>645</v>
      </c>
      <c r="H9" s="47">
        <f t="shared" si="0"/>
        <v>0</v>
      </c>
      <c r="I9" s="47">
        <f t="shared" si="1"/>
        <v>0</v>
      </c>
      <c r="J9" s="47">
        <f t="shared" si="2"/>
        <v>0</v>
      </c>
      <c r="K9" s="47" t="str">
        <f t="shared" si="7"/>
        <v/>
      </c>
      <c r="L9" s="4" t="e">
        <f t="shared" si="3"/>
        <v>#N/A</v>
      </c>
      <c r="M9" s="4" t="e">
        <f t="shared" si="4"/>
        <v>#N/A</v>
      </c>
      <c r="N9" s="4" t="e">
        <f t="shared" si="5"/>
        <v>#N/A</v>
      </c>
      <c r="O9" s="4" t="str">
        <f t="shared" si="6"/>
        <v/>
      </c>
    </row>
    <row r="10" spans="1:15" x14ac:dyDescent="0.3">
      <c r="A10" t="s">
        <v>580</v>
      </c>
      <c r="B10" t="s">
        <v>31</v>
      </c>
      <c r="C10" s="26" t="s">
        <v>591</v>
      </c>
      <c r="D10" s="47" t="s">
        <v>32</v>
      </c>
      <c r="E10" s="47" t="s">
        <v>608</v>
      </c>
      <c r="F10">
        <v>64</v>
      </c>
      <c r="G10" t="s">
        <v>646</v>
      </c>
      <c r="H10" s="47">
        <f t="shared" si="0"/>
        <v>0</v>
      </c>
      <c r="I10" s="47">
        <f t="shared" si="1"/>
        <v>0</v>
      </c>
      <c r="J10" s="47">
        <f t="shared" si="2"/>
        <v>0</v>
      </c>
      <c r="K10" s="47" t="str">
        <f t="shared" si="7"/>
        <v/>
      </c>
      <c r="L10" s="4" t="e">
        <f t="shared" si="3"/>
        <v>#N/A</v>
      </c>
      <c r="M10" s="4" t="e">
        <f t="shared" si="4"/>
        <v>#N/A</v>
      </c>
      <c r="N10" s="4" t="e">
        <f t="shared" si="5"/>
        <v>#N/A</v>
      </c>
      <c r="O10" s="4" t="str">
        <f t="shared" si="6"/>
        <v/>
      </c>
    </row>
    <row r="11" spans="1:15" x14ac:dyDescent="0.3">
      <c r="A11" t="s">
        <v>580</v>
      </c>
      <c r="B11" t="s">
        <v>35</v>
      </c>
      <c r="C11" s="26" t="s">
        <v>593</v>
      </c>
      <c r="D11" s="47" t="s">
        <v>36</v>
      </c>
      <c r="E11" s="47" t="s">
        <v>608</v>
      </c>
      <c r="F11">
        <v>64</v>
      </c>
      <c r="G11" t="s">
        <v>639</v>
      </c>
      <c r="H11" s="47">
        <f t="shared" si="0"/>
        <v>0</v>
      </c>
      <c r="I11" s="47">
        <f t="shared" si="1"/>
        <v>0</v>
      </c>
      <c r="J11" s="47">
        <f t="shared" si="2"/>
        <v>0</v>
      </c>
      <c r="K11" s="47" t="str">
        <f t="shared" si="7"/>
        <v/>
      </c>
      <c r="L11" s="4" t="e">
        <f t="shared" si="3"/>
        <v>#N/A</v>
      </c>
      <c r="M11" s="4" t="e">
        <f t="shared" si="4"/>
        <v>#N/A</v>
      </c>
      <c r="N11" s="4" t="e">
        <f t="shared" si="5"/>
        <v>#N/A</v>
      </c>
      <c r="O11" s="4" t="str">
        <f t="shared" si="6"/>
        <v/>
      </c>
    </row>
    <row r="12" spans="1:15" x14ac:dyDescent="0.3">
      <c r="A12" t="s">
        <v>580</v>
      </c>
      <c r="B12" t="s">
        <v>37</v>
      </c>
      <c r="C12" s="26" t="s">
        <v>594</v>
      </c>
      <c r="D12" s="47" t="s">
        <v>38</v>
      </c>
      <c r="E12" s="47" t="s">
        <v>608</v>
      </c>
      <c r="F12">
        <v>64</v>
      </c>
      <c r="G12" t="s">
        <v>640</v>
      </c>
      <c r="H12" s="47">
        <f t="shared" si="0"/>
        <v>0</v>
      </c>
      <c r="I12" s="47">
        <f t="shared" si="1"/>
        <v>0</v>
      </c>
      <c r="J12" s="47">
        <f t="shared" si="2"/>
        <v>0</v>
      </c>
      <c r="K12" s="47" t="str">
        <f t="shared" si="7"/>
        <v/>
      </c>
      <c r="L12" s="4" t="e">
        <f t="shared" si="3"/>
        <v>#N/A</v>
      </c>
      <c r="M12" s="4" t="e">
        <f t="shared" si="4"/>
        <v>#N/A</v>
      </c>
      <c r="N12" s="4" t="e">
        <f t="shared" si="5"/>
        <v>#N/A</v>
      </c>
      <c r="O12" s="4" t="str">
        <f t="shared" si="6"/>
        <v/>
      </c>
    </row>
    <row r="13" spans="1:15" x14ac:dyDescent="0.3">
      <c r="A13" t="s">
        <v>580</v>
      </c>
      <c r="B13" t="s">
        <v>17</v>
      </c>
      <c r="C13" s="26" t="s">
        <v>584</v>
      </c>
      <c r="D13" s="47" t="s">
        <v>18</v>
      </c>
      <c r="E13" s="47" t="s">
        <v>608</v>
      </c>
      <c r="F13">
        <v>64</v>
      </c>
      <c r="G13" t="s">
        <v>637</v>
      </c>
      <c r="H13" s="47">
        <f t="shared" si="0"/>
        <v>0</v>
      </c>
      <c r="I13" s="47">
        <f t="shared" si="1"/>
        <v>0</v>
      </c>
      <c r="J13" s="47">
        <f t="shared" si="2"/>
        <v>0</v>
      </c>
      <c r="K13" s="47" t="str">
        <f t="shared" si="7"/>
        <v/>
      </c>
      <c r="L13" s="4" t="e">
        <f t="shared" si="3"/>
        <v>#N/A</v>
      </c>
      <c r="M13" s="4" t="e">
        <f t="shared" si="4"/>
        <v>#N/A</v>
      </c>
      <c r="N13" s="4" t="e">
        <f t="shared" si="5"/>
        <v>#N/A</v>
      </c>
      <c r="O13" s="4" t="str">
        <f t="shared" si="6"/>
        <v/>
      </c>
    </row>
    <row r="14" spans="1:15" x14ac:dyDescent="0.3">
      <c r="A14" t="s">
        <v>580</v>
      </c>
      <c r="B14" t="s">
        <v>41</v>
      </c>
      <c r="C14" s="26" t="s">
        <v>596</v>
      </c>
      <c r="D14" s="47" t="s">
        <v>42</v>
      </c>
      <c r="E14" s="47" t="s">
        <v>608</v>
      </c>
      <c r="F14">
        <v>64</v>
      </c>
      <c r="G14" t="s">
        <v>647</v>
      </c>
      <c r="H14" s="47">
        <f t="shared" si="0"/>
        <v>0</v>
      </c>
      <c r="I14" s="47">
        <f t="shared" si="1"/>
        <v>0</v>
      </c>
      <c r="J14" s="47">
        <f t="shared" si="2"/>
        <v>0</v>
      </c>
      <c r="K14" s="47" t="str">
        <f t="shared" si="7"/>
        <v/>
      </c>
      <c r="L14" s="4" t="e">
        <f t="shared" si="3"/>
        <v>#N/A</v>
      </c>
      <c r="M14" s="4" t="e">
        <f t="shared" si="4"/>
        <v>#N/A</v>
      </c>
      <c r="N14" s="4" t="e">
        <f t="shared" si="5"/>
        <v>#N/A</v>
      </c>
      <c r="O14" s="4" t="str">
        <f t="shared" si="6"/>
        <v/>
      </c>
    </row>
    <row r="15" spans="1:15" x14ac:dyDescent="0.3">
      <c r="A15" t="s">
        <v>580</v>
      </c>
      <c r="B15" t="s">
        <v>39</v>
      </c>
      <c r="C15" s="26" t="s">
        <v>595</v>
      </c>
      <c r="D15" s="47" t="s">
        <v>40</v>
      </c>
      <c r="E15" s="47" t="s">
        <v>608</v>
      </c>
      <c r="F15">
        <v>64</v>
      </c>
      <c r="G15" t="s">
        <v>648</v>
      </c>
      <c r="H15" s="47">
        <f t="shared" si="0"/>
        <v>0</v>
      </c>
      <c r="I15" s="47">
        <f t="shared" si="1"/>
        <v>0</v>
      </c>
      <c r="J15" s="47">
        <f t="shared" si="2"/>
        <v>0</v>
      </c>
      <c r="K15" s="47" t="str">
        <f t="shared" si="7"/>
        <v/>
      </c>
      <c r="L15" s="4" t="e">
        <f t="shared" si="3"/>
        <v>#N/A</v>
      </c>
      <c r="M15" s="4" t="e">
        <f t="shared" si="4"/>
        <v>#N/A</v>
      </c>
      <c r="N15" s="4" t="e">
        <f t="shared" si="5"/>
        <v>#N/A</v>
      </c>
      <c r="O15" s="4" t="str">
        <f t="shared" si="6"/>
        <v/>
      </c>
    </row>
    <row r="16" spans="1:15" x14ac:dyDescent="0.3">
      <c r="A16" t="s">
        <v>580</v>
      </c>
      <c r="B16" t="s">
        <v>43</v>
      </c>
      <c r="C16" s="26" t="s">
        <v>597</v>
      </c>
      <c r="D16" s="47" t="s">
        <v>44</v>
      </c>
      <c r="E16" s="47" t="s">
        <v>608</v>
      </c>
      <c r="F16">
        <v>64</v>
      </c>
      <c r="G16" t="s">
        <v>649</v>
      </c>
      <c r="H16" s="47">
        <f t="shared" si="0"/>
        <v>0</v>
      </c>
      <c r="I16" s="47">
        <f t="shared" si="1"/>
        <v>0</v>
      </c>
      <c r="J16" s="47">
        <f t="shared" si="2"/>
        <v>0</v>
      </c>
      <c r="K16" s="47" t="str">
        <f t="shared" si="7"/>
        <v/>
      </c>
      <c r="L16" s="4" t="e">
        <f t="shared" si="3"/>
        <v>#N/A</v>
      </c>
      <c r="M16" s="4" t="e">
        <f t="shared" si="4"/>
        <v>#N/A</v>
      </c>
      <c r="N16" s="4" t="e">
        <f t="shared" si="5"/>
        <v>#N/A</v>
      </c>
      <c r="O16" s="4" t="str">
        <f t="shared" si="6"/>
        <v/>
      </c>
    </row>
    <row r="17" spans="1:15" x14ac:dyDescent="0.3">
      <c r="A17" t="s">
        <v>580</v>
      </c>
      <c r="B17" t="s">
        <v>14</v>
      </c>
      <c r="C17" s="26" t="s">
        <v>15</v>
      </c>
      <c r="D17" s="47" t="s">
        <v>16</v>
      </c>
      <c r="E17" s="47" t="s">
        <v>608</v>
      </c>
      <c r="F17">
        <v>33</v>
      </c>
      <c r="G17" t="s">
        <v>650</v>
      </c>
      <c r="H17" s="47">
        <f t="shared" si="0"/>
        <v>0</v>
      </c>
      <c r="I17" s="47">
        <f t="shared" si="1"/>
        <v>0</v>
      </c>
      <c r="J17" s="47">
        <f t="shared" si="2"/>
        <v>0</v>
      </c>
      <c r="K17" s="47" t="str">
        <f t="shared" si="7"/>
        <v/>
      </c>
      <c r="L17" s="4" t="e">
        <f t="shared" si="3"/>
        <v>#N/A</v>
      </c>
      <c r="M17" s="4" t="e">
        <f t="shared" si="4"/>
        <v>#N/A</v>
      </c>
      <c r="N17" s="4" t="e">
        <f t="shared" si="5"/>
        <v>#N/A</v>
      </c>
      <c r="O17" s="4" t="str">
        <f t="shared" si="6"/>
        <v/>
      </c>
    </row>
    <row r="18" spans="1:15" x14ac:dyDescent="0.3">
      <c r="A18" t="s">
        <v>580</v>
      </c>
      <c r="B18" t="s">
        <v>7</v>
      </c>
      <c r="C18" s="26" t="s">
        <v>582</v>
      </c>
      <c r="D18" s="47" t="s">
        <v>8</v>
      </c>
      <c r="E18" s="47" t="s">
        <v>608</v>
      </c>
      <c r="F18">
        <v>33</v>
      </c>
      <c r="G18" t="s">
        <v>651</v>
      </c>
      <c r="H18" s="47">
        <f t="shared" si="0"/>
        <v>0</v>
      </c>
      <c r="I18" s="47">
        <f t="shared" si="1"/>
        <v>0</v>
      </c>
      <c r="J18" s="47">
        <f t="shared" si="2"/>
        <v>0</v>
      </c>
      <c r="K18" s="47" t="str">
        <f t="shared" si="7"/>
        <v/>
      </c>
      <c r="L18" s="4" t="e">
        <f t="shared" si="3"/>
        <v>#N/A</v>
      </c>
      <c r="M18" s="4" t="e">
        <f t="shared" si="4"/>
        <v>#N/A</v>
      </c>
      <c r="N18" s="4" t="e">
        <f t="shared" si="5"/>
        <v>#N/A</v>
      </c>
      <c r="O18" s="4" t="str">
        <f t="shared" si="6"/>
        <v/>
      </c>
    </row>
    <row r="19" spans="1:15" x14ac:dyDescent="0.3">
      <c r="A19" t="s">
        <v>580</v>
      </c>
      <c r="B19" t="s">
        <v>9</v>
      </c>
      <c r="C19" s="26" t="s">
        <v>583</v>
      </c>
      <c r="D19" s="47" t="s">
        <v>10</v>
      </c>
      <c r="E19" s="47" t="s">
        <v>608</v>
      </c>
      <c r="F19">
        <v>33</v>
      </c>
      <c r="G19" t="s">
        <v>652</v>
      </c>
      <c r="H19" s="47">
        <f t="shared" si="0"/>
        <v>0</v>
      </c>
      <c r="I19" s="47">
        <f t="shared" si="1"/>
        <v>0</v>
      </c>
      <c r="J19" s="47">
        <f t="shared" si="2"/>
        <v>0</v>
      </c>
      <c r="K19" s="47" t="str">
        <f t="shared" si="7"/>
        <v/>
      </c>
      <c r="L19" s="4" t="e">
        <f t="shared" si="3"/>
        <v>#N/A</v>
      </c>
      <c r="M19" s="4" t="e">
        <f t="shared" si="4"/>
        <v>#N/A</v>
      </c>
      <c r="N19" s="4" t="e">
        <f t="shared" si="5"/>
        <v>#N/A</v>
      </c>
      <c r="O19" s="4" t="str">
        <f t="shared" si="6"/>
        <v/>
      </c>
    </row>
    <row r="20" spans="1:15" x14ac:dyDescent="0.3">
      <c r="A20" t="s">
        <v>580</v>
      </c>
      <c r="B20" t="s">
        <v>2</v>
      </c>
      <c r="C20" s="26" t="s">
        <v>3</v>
      </c>
      <c r="D20" s="47" t="s">
        <v>4</v>
      </c>
      <c r="E20" s="47" t="s">
        <v>608</v>
      </c>
      <c r="G20" t="s">
        <v>764</v>
      </c>
      <c r="H20" s="47">
        <f t="shared" si="0"/>
        <v>0</v>
      </c>
      <c r="I20" s="47">
        <f t="shared" si="1"/>
        <v>0</v>
      </c>
      <c r="J20" s="47">
        <f t="shared" si="2"/>
        <v>0</v>
      </c>
      <c r="K20" s="47" t="str">
        <f t="shared" si="7"/>
        <v/>
      </c>
      <c r="L20" s="4" t="e">
        <f t="shared" si="3"/>
        <v>#N/A</v>
      </c>
      <c r="M20" s="4" t="e">
        <f t="shared" si="4"/>
        <v>#N/A</v>
      </c>
      <c r="N20" s="4" t="e">
        <f t="shared" si="5"/>
        <v>#N/A</v>
      </c>
      <c r="O20" s="4" t="str">
        <f t="shared" si="6"/>
        <v/>
      </c>
    </row>
    <row r="21" spans="1:15" x14ac:dyDescent="0.3">
      <c r="A21" t="s">
        <v>580</v>
      </c>
      <c r="B21" t="s">
        <v>11</v>
      </c>
      <c r="C21" s="26" t="s">
        <v>12</v>
      </c>
      <c r="D21" s="47" t="s">
        <v>13</v>
      </c>
      <c r="E21" s="47" t="s">
        <v>608</v>
      </c>
      <c r="G21" t="s">
        <v>689</v>
      </c>
      <c r="H21" s="47">
        <f t="shared" si="0"/>
        <v>0</v>
      </c>
      <c r="I21" s="47">
        <f t="shared" si="1"/>
        <v>0</v>
      </c>
      <c r="J21" s="47">
        <f t="shared" si="2"/>
        <v>0</v>
      </c>
      <c r="K21" s="47" t="str">
        <f t="shared" si="7"/>
        <v/>
      </c>
      <c r="L21" s="4" t="e">
        <f t="shared" si="3"/>
        <v>#N/A</v>
      </c>
      <c r="M21" s="4" t="e">
        <f t="shared" si="4"/>
        <v>#N/A</v>
      </c>
      <c r="N21" s="4" t="e">
        <f t="shared" si="5"/>
        <v>#N/A</v>
      </c>
      <c r="O21" s="4" t="str">
        <f t="shared" si="6"/>
        <v/>
      </c>
    </row>
    <row r="22" spans="1:15" x14ac:dyDescent="0.3">
      <c r="A22" t="s">
        <v>45</v>
      </c>
      <c r="B22" t="s">
        <v>46</v>
      </c>
      <c r="C22" s="26" t="s">
        <v>47</v>
      </c>
      <c r="D22" s="47" t="s">
        <v>48</v>
      </c>
      <c r="E22" s="47" t="s">
        <v>608</v>
      </c>
      <c r="F22">
        <v>63</v>
      </c>
      <c r="G22" t="s">
        <v>685</v>
      </c>
      <c r="H22" s="47">
        <f t="shared" si="0"/>
        <v>0</v>
      </c>
      <c r="I22" s="47">
        <f t="shared" si="1"/>
        <v>0</v>
      </c>
      <c r="J22" s="47">
        <f t="shared" si="2"/>
        <v>0</v>
      </c>
      <c r="K22" s="47" t="str">
        <f t="shared" si="7"/>
        <v/>
      </c>
      <c r="L22" s="4" t="e">
        <f t="shared" si="3"/>
        <v>#N/A</v>
      </c>
      <c r="M22" s="4" t="e">
        <f t="shared" si="4"/>
        <v>#N/A</v>
      </c>
      <c r="N22" s="4" t="e">
        <f t="shared" si="5"/>
        <v>#N/A</v>
      </c>
      <c r="O22" s="4" t="str">
        <f t="shared" si="6"/>
        <v/>
      </c>
    </row>
    <row r="23" spans="1:15" x14ac:dyDescent="0.3">
      <c r="A23" t="s">
        <v>45</v>
      </c>
      <c r="B23" t="s">
        <v>49</v>
      </c>
      <c r="C23" s="26" t="s">
        <v>50</v>
      </c>
      <c r="D23" s="47" t="s">
        <v>51</v>
      </c>
      <c r="E23" s="47" t="s">
        <v>608</v>
      </c>
      <c r="F23">
        <v>64</v>
      </c>
      <c r="G23" t="s">
        <v>650</v>
      </c>
      <c r="H23" s="47">
        <f t="shared" si="0"/>
        <v>0</v>
      </c>
      <c r="I23" s="47">
        <f t="shared" si="1"/>
        <v>0</v>
      </c>
      <c r="J23" s="47">
        <f t="shared" si="2"/>
        <v>0</v>
      </c>
      <c r="K23" s="47" t="str">
        <f t="shared" si="7"/>
        <v/>
      </c>
      <c r="L23" s="4" t="e">
        <f t="shared" si="3"/>
        <v>#N/A</v>
      </c>
      <c r="M23" s="4" t="e">
        <f t="shared" si="4"/>
        <v>#N/A</v>
      </c>
      <c r="N23" s="4" t="e">
        <f t="shared" si="5"/>
        <v>#N/A</v>
      </c>
      <c r="O23" s="4" t="str">
        <f t="shared" si="6"/>
        <v/>
      </c>
    </row>
    <row r="24" spans="1:15" x14ac:dyDescent="0.3">
      <c r="A24" t="s">
        <v>45</v>
      </c>
      <c r="B24" t="s">
        <v>58</v>
      </c>
      <c r="C24" s="26" t="s">
        <v>59</v>
      </c>
      <c r="D24" s="47" t="s">
        <v>60</v>
      </c>
      <c r="E24" s="47" t="s">
        <v>608</v>
      </c>
      <c r="F24">
        <v>63</v>
      </c>
      <c r="G24" t="s">
        <v>767</v>
      </c>
      <c r="H24" s="47">
        <f t="shared" si="0"/>
        <v>0</v>
      </c>
      <c r="I24" s="47">
        <f t="shared" si="1"/>
        <v>0</v>
      </c>
      <c r="J24" s="47">
        <f t="shared" si="2"/>
        <v>0</v>
      </c>
      <c r="K24" s="47" t="str">
        <f t="shared" si="7"/>
        <v/>
      </c>
      <c r="L24" s="4" t="e">
        <f t="shared" si="3"/>
        <v>#N/A</v>
      </c>
      <c r="M24" s="4" t="e">
        <f t="shared" si="4"/>
        <v>#N/A</v>
      </c>
      <c r="N24" s="4" t="e">
        <f t="shared" si="5"/>
        <v>#N/A</v>
      </c>
      <c r="O24" s="4" t="str">
        <f t="shared" si="6"/>
        <v/>
      </c>
    </row>
    <row r="25" spans="1:15" x14ac:dyDescent="0.3">
      <c r="A25" t="s">
        <v>45</v>
      </c>
      <c r="B25" t="s">
        <v>82</v>
      </c>
      <c r="C25" s="26" t="s">
        <v>83</v>
      </c>
      <c r="D25" s="47" t="s">
        <v>84</v>
      </c>
      <c r="E25" s="47" t="s">
        <v>613</v>
      </c>
      <c r="F25">
        <v>24</v>
      </c>
      <c r="G25" t="s">
        <v>689</v>
      </c>
      <c r="H25" s="47">
        <f t="shared" si="0"/>
        <v>0</v>
      </c>
      <c r="I25" s="47">
        <f t="shared" si="1"/>
        <v>0</v>
      </c>
      <c r="J25" s="47">
        <f t="shared" si="2"/>
        <v>0</v>
      </c>
      <c r="K25" s="47" t="str">
        <f t="shared" si="7"/>
        <v/>
      </c>
      <c r="L25" s="4" t="e">
        <f t="shared" si="3"/>
        <v>#N/A</v>
      </c>
      <c r="M25" s="4" t="e">
        <f t="shared" si="4"/>
        <v>#N/A</v>
      </c>
      <c r="N25" s="4" t="e">
        <f t="shared" si="5"/>
        <v>#N/A</v>
      </c>
      <c r="O25" s="4" t="str">
        <f t="shared" si="6"/>
        <v/>
      </c>
    </row>
    <row r="26" spans="1:15" x14ac:dyDescent="0.3">
      <c r="A26" t="s">
        <v>45</v>
      </c>
      <c r="B26" t="s">
        <v>79</v>
      </c>
      <c r="C26" s="26" t="s">
        <v>80</v>
      </c>
      <c r="D26" s="47" t="s">
        <v>81</v>
      </c>
      <c r="E26" s="47" t="s">
        <v>613</v>
      </c>
      <c r="F26">
        <v>24</v>
      </c>
      <c r="G26" t="s">
        <v>689</v>
      </c>
      <c r="H26" s="47">
        <f t="shared" si="0"/>
        <v>0</v>
      </c>
      <c r="I26" s="47">
        <f t="shared" si="1"/>
        <v>0</v>
      </c>
      <c r="J26" s="47">
        <f t="shared" si="2"/>
        <v>0</v>
      </c>
      <c r="K26" s="47" t="str">
        <f t="shared" si="7"/>
        <v/>
      </c>
      <c r="L26" s="4" t="e">
        <f t="shared" si="3"/>
        <v>#N/A</v>
      </c>
      <c r="M26" s="4" t="e">
        <f t="shared" si="4"/>
        <v>#N/A</v>
      </c>
      <c r="N26" s="4" t="e">
        <f t="shared" si="5"/>
        <v>#N/A</v>
      </c>
      <c r="O26" s="4" t="str">
        <f t="shared" si="6"/>
        <v/>
      </c>
    </row>
    <row r="27" spans="1:15" x14ac:dyDescent="0.3">
      <c r="A27" t="s">
        <v>45</v>
      </c>
      <c r="B27" t="s">
        <v>116</v>
      </c>
      <c r="C27" s="26" t="s">
        <v>117</v>
      </c>
      <c r="D27" s="47" t="s">
        <v>118</v>
      </c>
      <c r="E27" s="47" t="s">
        <v>608</v>
      </c>
      <c r="F27">
        <v>50</v>
      </c>
      <c r="G27" t="s">
        <v>770</v>
      </c>
      <c r="H27" s="47">
        <f t="shared" si="0"/>
        <v>0</v>
      </c>
      <c r="I27" s="47">
        <f t="shared" si="1"/>
        <v>0</v>
      </c>
      <c r="J27" s="47">
        <f t="shared" si="2"/>
        <v>0</v>
      </c>
      <c r="K27" s="47" t="str">
        <f t="shared" si="7"/>
        <v/>
      </c>
      <c r="L27" s="4" t="e">
        <f t="shared" si="3"/>
        <v>#N/A</v>
      </c>
      <c r="M27" s="4" t="e">
        <f t="shared" si="4"/>
        <v>#N/A</v>
      </c>
      <c r="N27" s="4" t="e">
        <f t="shared" si="5"/>
        <v>#N/A</v>
      </c>
      <c r="O27" s="4" t="str">
        <f t="shared" si="6"/>
        <v/>
      </c>
    </row>
    <row r="28" spans="1:15" x14ac:dyDescent="0.3">
      <c r="A28" t="s">
        <v>45</v>
      </c>
      <c r="B28" t="s">
        <v>119</v>
      </c>
      <c r="C28" s="26" t="s">
        <v>120</v>
      </c>
      <c r="D28" s="47" t="s">
        <v>121</v>
      </c>
      <c r="E28" s="47" t="s">
        <v>608</v>
      </c>
      <c r="F28">
        <v>64</v>
      </c>
      <c r="G28" t="s">
        <v>764</v>
      </c>
      <c r="H28" s="47">
        <f t="shared" si="0"/>
        <v>0</v>
      </c>
      <c r="I28" s="47">
        <f t="shared" si="1"/>
        <v>0</v>
      </c>
      <c r="J28" s="47">
        <f t="shared" si="2"/>
        <v>0</v>
      </c>
      <c r="K28" s="47" t="str">
        <f t="shared" si="7"/>
        <v/>
      </c>
      <c r="L28" s="4" t="e">
        <f t="shared" si="3"/>
        <v>#N/A</v>
      </c>
      <c r="M28" s="4" t="e">
        <f t="shared" si="4"/>
        <v>#N/A</v>
      </c>
      <c r="N28" s="4" t="e">
        <f t="shared" si="5"/>
        <v>#N/A</v>
      </c>
      <c r="O28" s="4" t="str">
        <f t="shared" si="6"/>
        <v/>
      </c>
    </row>
    <row r="29" spans="1:15" x14ac:dyDescent="0.3">
      <c r="A29" t="s">
        <v>45</v>
      </c>
      <c r="B29" t="s">
        <v>122</v>
      </c>
      <c r="C29" s="26" t="s">
        <v>123</v>
      </c>
      <c r="D29" s="47" t="s">
        <v>124</v>
      </c>
      <c r="E29" s="47" t="s">
        <v>608</v>
      </c>
      <c r="F29">
        <v>64</v>
      </c>
      <c r="G29" t="s">
        <v>768</v>
      </c>
      <c r="H29" s="47">
        <f t="shared" si="0"/>
        <v>0</v>
      </c>
      <c r="I29" s="47">
        <f t="shared" si="1"/>
        <v>0</v>
      </c>
      <c r="J29" s="47">
        <f t="shared" si="2"/>
        <v>0</v>
      </c>
      <c r="K29" s="47" t="str">
        <f t="shared" si="7"/>
        <v/>
      </c>
      <c r="L29" s="4" t="e">
        <f t="shared" si="3"/>
        <v>#N/A</v>
      </c>
      <c r="M29" s="4" t="e">
        <f t="shared" si="4"/>
        <v>#N/A</v>
      </c>
      <c r="N29" s="4" t="e">
        <f t="shared" si="5"/>
        <v>#N/A</v>
      </c>
      <c r="O29" s="4" t="str">
        <f t="shared" si="6"/>
        <v/>
      </c>
    </row>
    <row r="30" spans="1:15" x14ac:dyDescent="0.3">
      <c r="A30" t="s">
        <v>45</v>
      </c>
      <c r="B30" t="s">
        <v>61</v>
      </c>
      <c r="C30" s="26" t="s">
        <v>62</v>
      </c>
      <c r="D30" s="47" t="s">
        <v>63</v>
      </c>
      <c r="E30" s="47" t="s">
        <v>608</v>
      </c>
      <c r="F30">
        <v>44</v>
      </c>
      <c r="G30" t="s">
        <v>761</v>
      </c>
      <c r="H30" s="47">
        <f t="shared" si="0"/>
        <v>0</v>
      </c>
      <c r="I30" s="47">
        <f t="shared" si="1"/>
        <v>0</v>
      </c>
      <c r="J30" s="47">
        <f t="shared" si="2"/>
        <v>0</v>
      </c>
      <c r="K30" s="47" t="str">
        <f t="shared" si="7"/>
        <v/>
      </c>
      <c r="L30" s="4" t="e">
        <f t="shared" si="3"/>
        <v>#N/A</v>
      </c>
      <c r="M30" s="4" t="e">
        <f t="shared" si="4"/>
        <v>#N/A</v>
      </c>
      <c r="N30" s="4" t="e">
        <f t="shared" si="5"/>
        <v>#N/A</v>
      </c>
      <c r="O30" s="4" t="str">
        <f t="shared" si="6"/>
        <v/>
      </c>
    </row>
    <row r="31" spans="1:15" x14ac:dyDescent="0.3">
      <c r="A31" t="s">
        <v>45</v>
      </c>
      <c r="B31" t="s">
        <v>91</v>
      </c>
      <c r="C31" s="26" t="s">
        <v>92</v>
      </c>
      <c r="D31" s="47" t="s">
        <v>93</v>
      </c>
      <c r="E31" s="47" t="s">
        <v>608</v>
      </c>
      <c r="F31">
        <v>50</v>
      </c>
      <c r="G31" t="s">
        <v>610</v>
      </c>
      <c r="H31" s="47">
        <f t="shared" si="0"/>
        <v>0</v>
      </c>
      <c r="I31" s="47">
        <f t="shared" si="1"/>
        <v>0</v>
      </c>
      <c r="J31" s="47">
        <f t="shared" si="2"/>
        <v>0</v>
      </c>
      <c r="K31" s="47" t="str">
        <f t="shared" si="7"/>
        <v/>
      </c>
      <c r="L31" s="4" t="e">
        <f t="shared" si="3"/>
        <v>#N/A</v>
      </c>
      <c r="M31" s="4" t="e">
        <f t="shared" si="4"/>
        <v>#N/A</v>
      </c>
      <c r="N31" s="4" t="e">
        <f t="shared" si="5"/>
        <v>#N/A</v>
      </c>
      <c r="O31" s="4" t="str">
        <f t="shared" si="6"/>
        <v/>
      </c>
    </row>
    <row r="32" spans="1:15" x14ac:dyDescent="0.3">
      <c r="A32" t="s">
        <v>45</v>
      </c>
      <c r="B32" t="s">
        <v>97</v>
      </c>
      <c r="C32" s="26" t="s">
        <v>98</v>
      </c>
      <c r="D32" s="47" t="s">
        <v>99</v>
      </c>
      <c r="E32" s="47" t="s">
        <v>608</v>
      </c>
      <c r="F32">
        <v>50</v>
      </c>
      <c r="G32" t="s">
        <v>769</v>
      </c>
      <c r="H32" s="47">
        <f t="shared" si="0"/>
        <v>0</v>
      </c>
      <c r="I32" s="47">
        <f t="shared" si="1"/>
        <v>0</v>
      </c>
      <c r="J32" s="47">
        <f t="shared" si="2"/>
        <v>0</v>
      </c>
      <c r="K32" s="47" t="str">
        <f t="shared" si="7"/>
        <v/>
      </c>
      <c r="L32" s="4" t="e">
        <f t="shared" si="3"/>
        <v>#N/A</v>
      </c>
      <c r="M32" s="4" t="e">
        <f t="shared" si="4"/>
        <v>#N/A</v>
      </c>
      <c r="N32" s="4" t="e">
        <f t="shared" si="5"/>
        <v>#N/A</v>
      </c>
      <c r="O32" s="4" t="str">
        <f t="shared" si="6"/>
        <v/>
      </c>
    </row>
    <row r="33" spans="1:15" x14ac:dyDescent="0.3">
      <c r="A33" t="s">
        <v>45</v>
      </c>
      <c r="B33" t="s">
        <v>94</v>
      </c>
      <c r="C33" s="26" t="s">
        <v>95</v>
      </c>
      <c r="D33" s="47" t="s">
        <v>96</v>
      </c>
      <c r="E33" s="47" t="s">
        <v>608</v>
      </c>
      <c r="F33">
        <v>64</v>
      </c>
      <c r="G33" t="s">
        <v>771</v>
      </c>
      <c r="H33" s="47">
        <f t="shared" si="0"/>
        <v>0</v>
      </c>
      <c r="I33" s="47">
        <f t="shared" si="1"/>
        <v>0</v>
      </c>
      <c r="J33" s="47">
        <f t="shared" si="2"/>
        <v>0</v>
      </c>
      <c r="K33" s="47" t="str">
        <f t="shared" si="7"/>
        <v/>
      </c>
      <c r="L33" s="4" t="e">
        <f t="shared" si="3"/>
        <v>#N/A</v>
      </c>
      <c r="M33" s="4" t="e">
        <f t="shared" si="4"/>
        <v>#N/A</v>
      </c>
      <c r="N33" s="4" t="e">
        <f t="shared" si="5"/>
        <v>#N/A</v>
      </c>
      <c r="O33" s="4" t="str">
        <f t="shared" si="6"/>
        <v/>
      </c>
    </row>
    <row r="34" spans="1:15" x14ac:dyDescent="0.3">
      <c r="A34" t="s">
        <v>45</v>
      </c>
      <c r="B34" t="s">
        <v>100</v>
      </c>
      <c r="C34" s="26" t="s">
        <v>101</v>
      </c>
      <c r="D34" s="47" t="s">
        <v>102</v>
      </c>
      <c r="E34" s="47" t="s">
        <v>608</v>
      </c>
      <c r="F34">
        <v>50</v>
      </c>
      <c r="G34" t="s">
        <v>769</v>
      </c>
      <c r="H34" s="47">
        <f t="shared" si="0"/>
        <v>0</v>
      </c>
      <c r="I34" s="47">
        <f t="shared" si="1"/>
        <v>0</v>
      </c>
      <c r="J34" s="47">
        <f t="shared" si="2"/>
        <v>0</v>
      </c>
      <c r="K34" s="47" t="str">
        <f t="shared" si="7"/>
        <v/>
      </c>
      <c r="L34" s="4" t="e">
        <f t="shared" si="3"/>
        <v>#N/A</v>
      </c>
      <c r="M34" s="4" t="e">
        <f t="shared" si="4"/>
        <v>#N/A</v>
      </c>
      <c r="N34" s="4" t="e">
        <f t="shared" si="5"/>
        <v>#N/A</v>
      </c>
      <c r="O34" s="4" t="str">
        <f t="shared" ref="O34:O65" si="8">IF(ISBLANK(structure_e6),"",VLOOKUP(K34,elements_lookup,2,0))</f>
        <v/>
      </c>
    </row>
    <row r="35" spans="1:15" x14ac:dyDescent="0.3">
      <c r="A35" t="s">
        <v>45</v>
      </c>
      <c r="B35" t="s">
        <v>85</v>
      </c>
      <c r="C35" s="26" t="s">
        <v>86</v>
      </c>
      <c r="D35" s="47" t="s">
        <v>87</v>
      </c>
      <c r="E35" s="47" t="s">
        <v>608</v>
      </c>
      <c r="F35">
        <v>50</v>
      </c>
      <c r="G35" t="s">
        <v>772</v>
      </c>
      <c r="H35" s="47">
        <f t="shared" si="0"/>
        <v>0</v>
      </c>
      <c r="I35" s="47">
        <f t="shared" si="1"/>
        <v>0</v>
      </c>
      <c r="J35" s="47">
        <f t="shared" si="2"/>
        <v>0</v>
      </c>
      <c r="K35" s="47" t="str">
        <f t="shared" si="7"/>
        <v/>
      </c>
      <c r="L35" s="4" t="e">
        <f t="shared" si="3"/>
        <v>#N/A</v>
      </c>
      <c r="M35" s="4" t="e">
        <f t="shared" si="4"/>
        <v>#N/A</v>
      </c>
      <c r="N35" s="4" t="e">
        <f t="shared" si="5"/>
        <v>#N/A</v>
      </c>
      <c r="O35" s="4" t="str">
        <f t="shared" si="8"/>
        <v/>
      </c>
    </row>
    <row r="36" spans="1:15" x14ac:dyDescent="0.3">
      <c r="A36" t="s">
        <v>45</v>
      </c>
      <c r="B36" t="s">
        <v>88</v>
      </c>
      <c r="C36" s="26" t="s">
        <v>89</v>
      </c>
      <c r="D36" s="47" t="s">
        <v>90</v>
      </c>
      <c r="E36" s="47" t="s">
        <v>608</v>
      </c>
      <c r="F36">
        <v>256</v>
      </c>
      <c r="G36" t="s">
        <v>770</v>
      </c>
      <c r="H36" s="47">
        <f t="shared" si="0"/>
        <v>0</v>
      </c>
      <c r="I36" s="47">
        <f t="shared" si="1"/>
        <v>0</v>
      </c>
      <c r="J36" s="47">
        <f t="shared" si="2"/>
        <v>0</v>
      </c>
      <c r="K36" s="47" t="str">
        <f t="shared" si="7"/>
        <v/>
      </c>
      <c r="L36" s="4" t="e">
        <f t="shared" si="3"/>
        <v>#N/A</v>
      </c>
      <c r="M36" s="4" t="e">
        <f t="shared" si="4"/>
        <v>#N/A</v>
      </c>
      <c r="N36" s="4" t="e">
        <f t="shared" si="5"/>
        <v>#N/A</v>
      </c>
      <c r="O36" s="4" t="str">
        <f t="shared" si="8"/>
        <v/>
      </c>
    </row>
    <row r="37" spans="1:15" x14ac:dyDescent="0.3">
      <c r="A37" t="s">
        <v>45</v>
      </c>
      <c r="B37" t="s">
        <v>103</v>
      </c>
      <c r="C37" s="26" t="s">
        <v>104</v>
      </c>
      <c r="D37" s="47" t="s">
        <v>105</v>
      </c>
      <c r="E37" s="47" t="s">
        <v>608</v>
      </c>
      <c r="F37">
        <v>59</v>
      </c>
      <c r="G37" t="s">
        <v>666</v>
      </c>
      <c r="H37" s="47">
        <f t="shared" si="0"/>
        <v>0</v>
      </c>
      <c r="I37" s="47">
        <f t="shared" si="1"/>
        <v>0</v>
      </c>
      <c r="J37" s="47">
        <f t="shared" si="2"/>
        <v>0</v>
      </c>
      <c r="K37" s="47" t="str">
        <f t="shared" si="7"/>
        <v/>
      </c>
      <c r="L37" s="4" t="e">
        <f t="shared" si="3"/>
        <v>#N/A</v>
      </c>
      <c r="M37" s="4" t="e">
        <f t="shared" si="4"/>
        <v>#N/A</v>
      </c>
      <c r="N37" s="4" t="e">
        <f t="shared" si="5"/>
        <v>#N/A</v>
      </c>
      <c r="O37" s="4" t="str">
        <f t="shared" si="8"/>
        <v/>
      </c>
    </row>
    <row r="38" spans="1:15" x14ac:dyDescent="0.3">
      <c r="A38" t="s">
        <v>45</v>
      </c>
      <c r="B38" t="s">
        <v>106</v>
      </c>
      <c r="C38" s="26" t="s">
        <v>104</v>
      </c>
      <c r="D38" s="47" t="s">
        <v>107</v>
      </c>
      <c r="E38" s="47" t="s">
        <v>608</v>
      </c>
      <c r="F38">
        <v>59</v>
      </c>
      <c r="G38" t="s">
        <v>666</v>
      </c>
      <c r="H38" s="47">
        <f t="shared" si="0"/>
        <v>0</v>
      </c>
      <c r="I38" s="47">
        <f t="shared" si="1"/>
        <v>0</v>
      </c>
      <c r="J38" s="47">
        <f t="shared" si="2"/>
        <v>0</v>
      </c>
      <c r="K38" s="47" t="str">
        <f t="shared" si="7"/>
        <v/>
      </c>
      <c r="L38" s="4" t="e">
        <f t="shared" si="3"/>
        <v>#N/A</v>
      </c>
      <c r="M38" s="4" t="e">
        <f t="shared" si="4"/>
        <v>#N/A</v>
      </c>
      <c r="N38" s="4" t="e">
        <f t="shared" si="5"/>
        <v>#N/A</v>
      </c>
      <c r="O38" s="4" t="str">
        <f t="shared" si="8"/>
        <v/>
      </c>
    </row>
    <row r="39" spans="1:15" x14ac:dyDescent="0.3">
      <c r="A39" t="s">
        <v>45</v>
      </c>
      <c r="B39" t="s">
        <v>108</v>
      </c>
      <c r="C39" s="26" t="s">
        <v>104</v>
      </c>
      <c r="D39" s="47" t="s">
        <v>109</v>
      </c>
      <c r="E39" s="47" t="s">
        <v>608</v>
      </c>
      <c r="F39">
        <v>59</v>
      </c>
      <c r="G39" t="s">
        <v>666</v>
      </c>
      <c r="H39" s="47">
        <f t="shared" si="0"/>
        <v>0</v>
      </c>
      <c r="I39" s="47">
        <f t="shared" si="1"/>
        <v>0</v>
      </c>
      <c r="J39" s="47">
        <f t="shared" si="2"/>
        <v>0</v>
      </c>
      <c r="K39" s="47" t="str">
        <f t="shared" si="7"/>
        <v/>
      </c>
      <c r="L39" s="4" t="e">
        <f t="shared" si="3"/>
        <v>#N/A</v>
      </c>
      <c r="M39" s="4" t="e">
        <f t="shared" si="4"/>
        <v>#N/A</v>
      </c>
      <c r="N39" s="4" t="e">
        <f t="shared" si="5"/>
        <v>#N/A</v>
      </c>
      <c r="O39" s="4" t="str">
        <f t="shared" si="8"/>
        <v/>
      </c>
    </row>
    <row r="40" spans="1:15" x14ac:dyDescent="0.3">
      <c r="A40" t="s">
        <v>45</v>
      </c>
      <c r="B40" t="s">
        <v>110</v>
      </c>
      <c r="C40" s="26" t="s">
        <v>104</v>
      </c>
      <c r="D40" s="47" t="s">
        <v>111</v>
      </c>
      <c r="E40" s="47" t="s">
        <v>608</v>
      </c>
      <c r="F40">
        <v>59</v>
      </c>
      <c r="G40" t="s">
        <v>666</v>
      </c>
      <c r="H40" s="47">
        <f t="shared" si="0"/>
        <v>0</v>
      </c>
      <c r="I40" s="47">
        <f t="shared" si="1"/>
        <v>0</v>
      </c>
      <c r="J40" s="47">
        <f t="shared" si="2"/>
        <v>0</v>
      </c>
      <c r="K40" s="47" t="str">
        <f t="shared" si="7"/>
        <v/>
      </c>
      <c r="L40" s="4" t="e">
        <f t="shared" si="3"/>
        <v>#N/A</v>
      </c>
      <c r="M40" s="4" t="e">
        <f t="shared" si="4"/>
        <v>#N/A</v>
      </c>
      <c r="N40" s="4" t="e">
        <f t="shared" si="5"/>
        <v>#N/A</v>
      </c>
      <c r="O40" s="4" t="str">
        <f t="shared" si="8"/>
        <v/>
      </c>
    </row>
    <row r="41" spans="1:15" x14ac:dyDescent="0.3">
      <c r="A41" t="s">
        <v>45</v>
      </c>
      <c r="B41" t="s">
        <v>112</v>
      </c>
      <c r="C41" s="26" t="s">
        <v>104</v>
      </c>
      <c r="D41" s="47" t="s">
        <v>113</v>
      </c>
      <c r="E41" s="47" t="s">
        <v>608</v>
      </c>
      <c r="F41">
        <v>59</v>
      </c>
      <c r="G41" t="s">
        <v>666</v>
      </c>
      <c r="H41" s="47">
        <f t="shared" si="0"/>
        <v>0</v>
      </c>
      <c r="I41" s="47">
        <f t="shared" si="1"/>
        <v>0</v>
      </c>
      <c r="J41" s="47">
        <f t="shared" si="2"/>
        <v>0</v>
      </c>
      <c r="K41" s="47" t="str">
        <f t="shared" si="7"/>
        <v/>
      </c>
      <c r="L41" s="4" t="e">
        <f t="shared" si="3"/>
        <v>#N/A</v>
      </c>
      <c r="M41" s="4" t="e">
        <f t="shared" si="4"/>
        <v>#N/A</v>
      </c>
      <c r="N41" s="4" t="e">
        <f t="shared" si="5"/>
        <v>#N/A</v>
      </c>
      <c r="O41" s="4" t="str">
        <f t="shared" si="8"/>
        <v/>
      </c>
    </row>
    <row r="42" spans="1:15" x14ac:dyDescent="0.3">
      <c r="A42" t="s">
        <v>45</v>
      </c>
      <c r="B42" t="s">
        <v>114</v>
      </c>
      <c r="C42" s="26" t="s">
        <v>104</v>
      </c>
      <c r="D42" s="47" t="s">
        <v>115</v>
      </c>
      <c r="E42" s="47" t="s">
        <v>608</v>
      </c>
      <c r="F42">
        <v>59</v>
      </c>
      <c r="G42" t="s">
        <v>666</v>
      </c>
      <c r="H42" s="47">
        <f t="shared" si="0"/>
        <v>0</v>
      </c>
      <c r="I42" s="47">
        <f t="shared" si="1"/>
        <v>0</v>
      </c>
      <c r="J42" s="47">
        <f t="shared" si="2"/>
        <v>0</v>
      </c>
      <c r="K42" s="47" t="str">
        <f t="shared" si="7"/>
        <v/>
      </c>
      <c r="L42" s="4" t="e">
        <f t="shared" si="3"/>
        <v>#N/A</v>
      </c>
      <c r="M42" s="4" t="e">
        <f t="shared" si="4"/>
        <v>#N/A</v>
      </c>
      <c r="N42" s="4" t="e">
        <f t="shared" si="5"/>
        <v>#N/A</v>
      </c>
      <c r="O42" s="4" t="str">
        <f t="shared" si="8"/>
        <v/>
      </c>
    </row>
    <row r="43" spans="1:15" x14ac:dyDescent="0.3">
      <c r="A43" t="s">
        <v>45</v>
      </c>
      <c r="B43" t="s">
        <v>52</v>
      </c>
      <c r="C43" s="26" t="s">
        <v>53</v>
      </c>
      <c r="D43" s="47" t="s">
        <v>54</v>
      </c>
      <c r="E43" s="47" t="s">
        <v>613</v>
      </c>
      <c r="F43">
        <v>22</v>
      </c>
      <c r="G43" t="s">
        <v>667</v>
      </c>
      <c r="H43" s="47">
        <f t="shared" si="0"/>
        <v>0</v>
      </c>
      <c r="I43" s="47">
        <f t="shared" si="1"/>
        <v>0</v>
      </c>
      <c r="J43" s="47">
        <f t="shared" si="2"/>
        <v>0</v>
      </c>
      <c r="K43" s="47" t="str">
        <f t="shared" si="7"/>
        <v/>
      </c>
      <c r="L43" s="4" t="e">
        <f t="shared" si="3"/>
        <v>#N/A</v>
      </c>
      <c r="M43" s="4" t="e">
        <f t="shared" si="4"/>
        <v>#N/A</v>
      </c>
      <c r="N43" s="4" t="e">
        <f t="shared" si="5"/>
        <v>#N/A</v>
      </c>
      <c r="O43" s="4" t="str">
        <f t="shared" si="8"/>
        <v/>
      </c>
    </row>
    <row r="44" spans="1:15" x14ac:dyDescent="0.3">
      <c r="A44" t="s">
        <v>45</v>
      </c>
      <c r="B44" t="s">
        <v>55</v>
      </c>
      <c r="C44" s="26" t="s">
        <v>56</v>
      </c>
      <c r="D44" s="47" t="s">
        <v>57</v>
      </c>
      <c r="E44" s="47" t="s">
        <v>608</v>
      </c>
      <c r="F44">
        <v>260</v>
      </c>
      <c r="G44" t="s">
        <v>668</v>
      </c>
      <c r="H44" s="47">
        <f t="shared" si="0"/>
        <v>0</v>
      </c>
      <c r="I44" s="47">
        <f t="shared" si="1"/>
        <v>0</v>
      </c>
      <c r="J44" s="47">
        <f t="shared" si="2"/>
        <v>0</v>
      </c>
      <c r="K44" s="47" t="str">
        <f t="shared" si="7"/>
        <v/>
      </c>
      <c r="L44" s="4" t="e">
        <f t="shared" si="3"/>
        <v>#N/A</v>
      </c>
      <c r="M44" s="4" t="e">
        <f t="shared" si="4"/>
        <v>#N/A</v>
      </c>
      <c r="N44" s="4" t="e">
        <f t="shared" si="5"/>
        <v>#N/A</v>
      </c>
      <c r="O44" s="4" t="str">
        <f t="shared" si="8"/>
        <v/>
      </c>
    </row>
    <row r="45" spans="1:15" x14ac:dyDescent="0.3">
      <c r="A45" t="s">
        <v>45</v>
      </c>
      <c r="B45" t="s">
        <v>125</v>
      </c>
      <c r="C45" s="26" t="s">
        <v>126</v>
      </c>
      <c r="D45" s="47" t="s">
        <v>127</v>
      </c>
      <c r="E45" s="47" t="s">
        <v>613</v>
      </c>
      <c r="F45">
        <v>63</v>
      </c>
      <c r="G45" t="s">
        <v>669</v>
      </c>
      <c r="H45" s="47">
        <f t="shared" si="0"/>
        <v>0</v>
      </c>
      <c r="I45" s="47">
        <f t="shared" si="1"/>
        <v>0</v>
      </c>
      <c r="J45" s="47">
        <f t="shared" si="2"/>
        <v>0</v>
      </c>
      <c r="K45" s="47" t="str">
        <f t="shared" si="7"/>
        <v/>
      </c>
      <c r="L45" s="4" t="e">
        <f t="shared" si="3"/>
        <v>#N/A</v>
      </c>
      <c r="M45" s="4" t="e">
        <f t="shared" si="4"/>
        <v>#N/A</v>
      </c>
      <c r="N45" s="4" t="e">
        <f t="shared" si="5"/>
        <v>#N/A</v>
      </c>
      <c r="O45" s="4" t="str">
        <f t="shared" si="8"/>
        <v/>
      </c>
    </row>
    <row r="46" spans="1:15" x14ac:dyDescent="0.3">
      <c r="A46" t="s">
        <v>45</v>
      </c>
      <c r="B46" t="s">
        <v>64</v>
      </c>
      <c r="C46" s="26" t="s">
        <v>65</v>
      </c>
      <c r="D46" s="47" t="s">
        <v>66</v>
      </c>
      <c r="E46" s="47" t="s">
        <v>608</v>
      </c>
      <c r="F46">
        <v>63</v>
      </c>
      <c r="G46" t="s">
        <v>670</v>
      </c>
      <c r="H46" s="47">
        <f t="shared" si="0"/>
        <v>0</v>
      </c>
      <c r="I46" s="47">
        <f t="shared" si="1"/>
        <v>0</v>
      </c>
      <c r="J46" s="47">
        <f t="shared" si="2"/>
        <v>0</v>
      </c>
      <c r="K46" s="47" t="str">
        <f t="shared" si="7"/>
        <v/>
      </c>
      <c r="L46" s="4" t="e">
        <f t="shared" si="3"/>
        <v>#N/A</v>
      </c>
      <c r="M46" s="4" t="e">
        <f t="shared" si="4"/>
        <v>#N/A</v>
      </c>
      <c r="N46" s="4" t="e">
        <f t="shared" si="5"/>
        <v>#N/A</v>
      </c>
      <c r="O46" s="4" t="str">
        <f t="shared" si="8"/>
        <v/>
      </c>
    </row>
    <row r="47" spans="1:15" x14ac:dyDescent="0.3">
      <c r="A47" t="s">
        <v>45</v>
      </c>
      <c r="B47" t="s">
        <v>67</v>
      </c>
      <c r="C47" s="26" t="s">
        <v>68</v>
      </c>
      <c r="D47" s="47" t="s">
        <v>69</v>
      </c>
      <c r="E47" s="47" t="s">
        <v>613</v>
      </c>
      <c r="F47">
        <v>45</v>
      </c>
      <c r="G47" t="s">
        <v>770</v>
      </c>
      <c r="H47" s="47">
        <f t="shared" si="0"/>
        <v>0</v>
      </c>
      <c r="I47" s="47">
        <f t="shared" si="1"/>
        <v>0</v>
      </c>
      <c r="J47" s="47">
        <f t="shared" si="2"/>
        <v>0</v>
      </c>
      <c r="K47" s="47" t="str">
        <f t="shared" si="7"/>
        <v/>
      </c>
      <c r="L47" s="4" t="e">
        <f t="shared" si="3"/>
        <v>#N/A</v>
      </c>
      <c r="M47" s="4" t="e">
        <f t="shared" si="4"/>
        <v>#N/A</v>
      </c>
      <c r="N47" s="4" t="e">
        <f t="shared" si="5"/>
        <v>#N/A</v>
      </c>
      <c r="O47" s="4" t="str">
        <f t="shared" si="8"/>
        <v/>
      </c>
    </row>
    <row r="48" spans="1:15" x14ac:dyDescent="0.3">
      <c r="A48" t="s">
        <v>45</v>
      </c>
      <c r="B48" t="s">
        <v>76</v>
      </c>
      <c r="C48" s="26" t="s">
        <v>77</v>
      </c>
      <c r="D48" s="47" t="s">
        <v>78</v>
      </c>
      <c r="E48" s="47" t="s">
        <v>608</v>
      </c>
      <c r="F48">
        <v>50</v>
      </c>
      <c r="G48" t="s">
        <v>650</v>
      </c>
      <c r="H48" s="47">
        <f t="shared" si="0"/>
        <v>0</v>
      </c>
      <c r="I48" s="47">
        <f t="shared" si="1"/>
        <v>0</v>
      </c>
      <c r="J48" s="47">
        <f t="shared" si="2"/>
        <v>0</v>
      </c>
      <c r="K48" s="47" t="str">
        <f t="shared" si="7"/>
        <v/>
      </c>
      <c r="L48" s="4" t="e">
        <f t="shared" si="3"/>
        <v>#N/A</v>
      </c>
      <c r="M48" s="4" t="e">
        <f t="shared" si="4"/>
        <v>#N/A</v>
      </c>
      <c r="N48" s="4" t="e">
        <f t="shared" si="5"/>
        <v>#N/A</v>
      </c>
      <c r="O48" s="4" t="str">
        <f t="shared" si="8"/>
        <v/>
      </c>
    </row>
    <row r="49" spans="1:15" x14ac:dyDescent="0.3">
      <c r="A49" t="s">
        <v>45</v>
      </c>
      <c r="B49" t="s">
        <v>73</v>
      </c>
      <c r="C49" s="26" t="s">
        <v>74</v>
      </c>
      <c r="D49" s="47" t="s">
        <v>75</v>
      </c>
      <c r="E49" s="47" t="s">
        <v>613</v>
      </c>
      <c r="F49">
        <v>15</v>
      </c>
      <c r="G49" t="s">
        <v>773</v>
      </c>
      <c r="H49" s="47">
        <f t="shared" si="0"/>
        <v>0</v>
      </c>
      <c r="I49" s="47">
        <f t="shared" si="1"/>
        <v>0</v>
      </c>
      <c r="J49" s="47">
        <f t="shared" si="2"/>
        <v>0</v>
      </c>
      <c r="K49" s="47" t="str">
        <f t="shared" si="7"/>
        <v/>
      </c>
      <c r="L49" s="4" t="e">
        <f t="shared" si="3"/>
        <v>#N/A</v>
      </c>
      <c r="M49" s="4" t="e">
        <f t="shared" si="4"/>
        <v>#N/A</v>
      </c>
      <c r="N49" s="4" t="e">
        <f t="shared" si="5"/>
        <v>#N/A</v>
      </c>
      <c r="O49" s="4" t="str">
        <f t="shared" si="8"/>
        <v/>
      </c>
    </row>
    <row r="50" spans="1:15" x14ac:dyDescent="0.3">
      <c r="A50" t="s">
        <v>45</v>
      </c>
      <c r="B50" t="s">
        <v>70</v>
      </c>
      <c r="C50" s="26" t="s">
        <v>71</v>
      </c>
      <c r="D50" s="47" t="s">
        <v>72</v>
      </c>
      <c r="E50" s="47" t="s">
        <v>613</v>
      </c>
      <c r="F50">
        <v>60</v>
      </c>
      <c r="G50" t="s">
        <v>773</v>
      </c>
      <c r="H50" s="47">
        <f t="shared" si="0"/>
        <v>0</v>
      </c>
      <c r="I50" s="47">
        <f t="shared" si="1"/>
        <v>0</v>
      </c>
      <c r="J50" s="47">
        <f t="shared" si="2"/>
        <v>0</v>
      </c>
      <c r="K50" s="47" t="str">
        <f t="shared" si="7"/>
        <v/>
      </c>
      <c r="L50" s="4" t="e">
        <f t="shared" si="3"/>
        <v>#N/A</v>
      </c>
      <c r="M50" s="4" t="e">
        <f t="shared" si="4"/>
        <v>#N/A</v>
      </c>
      <c r="N50" s="4" t="e">
        <f t="shared" si="5"/>
        <v>#N/A</v>
      </c>
      <c r="O50" s="4" t="str">
        <f t="shared" si="8"/>
        <v/>
      </c>
    </row>
    <row r="51" spans="1:15" x14ac:dyDescent="0.3">
      <c r="A51" t="s">
        <v>45</v>
      </c>
      <c r="B51" t="s">
        <v>128</v>
      </c>
      <c r="C51" s="26" t="s">
        <v>129</v>
      </c>
      <c r="D51" s="47" t="s">
        <v>130</v>
      </c>
      <c r="E51" s="47" t="s">
        <v>608</v>
      </c>
      <c r="F51">
        <v>90</v>
      </c>
      <c r="G51" t="s">
        <v>774</v>
      </c>
      <c r="H51" s="47">
        <f t="shared" si="0"/>
        <v>0</v>
      </c>
      <c r="I51" s="47">
        <f t="shared" si="1"/>
        <v>0</v>
      </c>
      <c r="J51" s="47">
        <f t="shared" si="2"/>
        <v>0</v>
      </c>
      <c r="K51" s="47" t="str">
        <f t="shared" si="7"/>
        <v/>
      </c>
      <c r="L51" s="4" t="e">
        <f t="shared" ref="L51:L57" si="9">VLOOKUP(H51,elements_lookup,2,0)</f>
        <v>#N/A</v>
      </c>
      <c r="M51" s="4" t="e">
        <f t="shared" ref="M51:M57" si="10">VLOOKUP(I51,elements_lookup,2,0)</f>
        <v>#N/A</v>
      </c>
      <c r="N51" s="4" t="e">
        <f t="shared" ref="N51:N57" si="11">VLOOKUP(J51,elements_lookup,2,0)</f>
        <v>#N/A</v>
      </c>
      <c r="O51" s="4" t="str">
        <f t="shared" si="8"/>
        <v/>
      </c>
    </row>
    <row r="52" spans="1:15" x14ac:dyDescent="0.3">
      <c r="A52" t="s">
        <v>957</v>
      </c>
      <c r="B52" t="s">
        <v>958</v>
      </c>
      <c r="C52" s="26" t="s">
        <v>962</v>
      </c>
      <c r="D52" s="47" t="s">
        <v>164</v>
      </c>
      <c r="E52" s="47" t="s">
        <v>608</v>
      </c>
      <c r="F52">
        <v>63</v>
      </c>
      <c r="G52" t="s">
        <v>672</v>
      </c>
      <c r="H52" s="47">
        <f t="shared" ref="H52:H131" si="12">structure_e3</f>
        <v>0</v>
      </c>
      <c r="I52" s="47">
        <f t="shared" ref="I52:I131" si="13">structure_e4</f>
        <v>0</v>
      </c>
      <c r="J52" s="47">
        <f t="shared" ref="J52:J131" si="14">structure_e5</f>
        <v>0</v>
      </c>
      <c r="K52" s="47" t="str">
        <f t="shared" ref="K52:K131" si="15">IF(ISBLANK(structure_e6),"",structure_e6)</f>
        <v/>
      </c>
      <c r="L52" s="4" t="e">
        <f t="shared" si="9"/>
        <v>#N/A</v>
      </c>
      <c r="M52" s="4" t="e">
        <f t="shared" si="10"/>
        <v>#N/A</v>
      </c>
      <c r="N52" s="4" t="e">
        <f t="shared" si="11"/>
        <v>#N/A</v>
      </c>
      <c r="O52" s="4" t="str">
        <f t="shared" si="8"/>
        <v/>
      </c>
    </row>
    <row r="53" spans="1:15" x14ac:dyDescent="0.3">
      <c r="A53" t="s">
        <v>957</v>
      </c>
      <c r="B53" t="s">
        <v>959</v>
      </c>
      <c r="C53" s="26" t="s">
        <v>963</v>
      </c>
      <c r="D53" s="47" t="s">
        <v>960</v>
      </c>
      <c r="E53" s="47" t="s">
        <v>608</v>
      </c>
      <c r="F53">
        <v>63</v>
      </c>
      <c r="G53" t="s">
        <v>961</v>
      </c>
      <c r="H53" s="47">
        <f t="shared" si="12"/>
        <v>0</v>
      </c>
      <c r="I53" s="47">
        <f t="shared" si="13"/>
        <v>0</v>
      </c>
      <c r="J53" s="47">
        <f t="shared" si="14"/>
        <v>0</v>
      </c>
      <c r="K53" s="47" t="str">
        <f t="shared" si="15"/>
        <v/>
      </c>
      <c r="L53" s="4" t="e">
        <f t="shared" si="9"/>
        <v>#N/A</v>
      </c>
      <c r="M53" s="4" t="e">
        <f t="shared" si="10"/>
        <v>#N/A</v>
      </c>
      <c r="N53" s="4" t="e">
        <f t="shared" si="11"/>
        <v>#N/A</v>
      </c>
      <c r="O53" s="4" t="str">
        <f t="shared" si="8"/>
        <v/>
      </c>
    </row>
    <row r="54" spans="1:15" x14ac:dyDescent="0.3">
      <c r="A54" t="s">
        <v>131</v>
      </c>
      <c r="B54" t="s">
        <v>156</v>
      </c>
      <c r="C54" s="26" t="s">
        <v>157</v>
      </c>
      <c r="D54" s="47" t="s">
        <v>158</v>
      </c>
      <c r="E54" s="47" t="s">
        <v>613</v>
      </c>
      <c r="F54">
        <v>24</v>
      </c>
      <c r="G54" t="s">
        <v>671</v>
      </c>
      <c r="H54" s="47">
        <f t="shared" si="0"/>
        <v>0</v>
      </c>
      <c r="I54" s="47">
        <f t="shared" si="1"/>
        <v>0</v>
      </c>
      <c r="J54" s="47">
        <f t="shared" si="2"/>
        <v>0</v>
      </c>
      <c r="K54" s="47" t="str">
        <f t="shared" si="7"/>
        <v/>
      </c>
      <c r="L54" s="4" t="e">
        <f t="shared" si="9"/>
        <v>#N/A</v>
      </c>
      <c r="M54" s="4" t="e">
        <f t="shared" si="10"/>
        <v>#N/A</v>
      </c>
      <c r="N54" s="4" t="e">
        <f t="shared" si="11"/>
        <v>#N/A</v>
      </c>
      <c r="O54" s="4" t="str">
        <f t="shared" si="8"/>
        <v/>
      </c>
    </row>
    <row r="55" spans="1:15" x14ac:dyDescent="0.3">
      <c r="A55" t="s">
        <v>131</v>
      </c>
      <c r="B55" t="s">
        <v>162</v>
      </c>
      <c r="C55" s="26" t="s">
        <v>163</v>
      </c>
      <c r="D55" s="47" t="s">
        <v>164</v>
      </c>
      <c r="E55" s="47" t="s">
        <v>608</v>
      </c>
      <c r="F55">
        <v>63</v>
      </c>
      <c r="G55" t="s">
        <v>672</v>
      </c>
      <c r="H55" s="47">
        <f t="shared" si="0"/>
        <v>0</v>
      </c>
      <c r="I55" s="47">
        <f t="shared" si="1"/>
        <v>0</v>
      </c>
      <c r="J55" s="47">
        <f t="shared" si="2"/>
        <v>0</v>
      </c>
      <c r="K55" s="47" t="str">
        <f t="shared" si="7"/>
        <v/>
      </c>
      <c r="L55" s="4" t="e">
        <f t="shared" si="9"/>
        <v>#N/A</v>
      </c>
      <c r="M55" s="4" t="e">
        <f t="shared" si="10"/>
        <v>#N/A</v>
      </c>
      <c r="N55" s="4" t="e">
        <f t="shared" si="11"/>
        <v>#N/A</v>
      </c>
      <c r="O55" s="4" t="str">
        <f t="shared" si="8"/>
        <v/>
      </c>
    </row>
    <row r="56" spans="1:15" x14ac:dyDescent="0.3">
      <c r="A56" t="s">
        <v>131</v>
      </c>
      <c r="B56" t="s">
        <v>141</v>
      </c>
      <c r="C56" s="26" t="s">
        <v>142</v>
      </c>
      <c r="D56" s="47" t="s">
        <v>143</v>
      </c>
      <c r="E56" s="47" t="s">
        <v>608</v>
      </c>
      <c r="F56">
        <v>80</v>
      </c>
      <c r="G56" t="s">
        <v>673</v>
      </c>
      <c r="H56" s="47">
        <f t="shared" si="0"/>
        <v>0</v>
      </c>
      <c r="I56" s="47">
        <f t="shared" si="1"/>
        <v>0</v>
      </c>
      <c r="J56" s="47">
        <f t="shared" si="2"/>
        <v>0</v>
      </c>
      <c r="K56" s="47" t="str">
        <f t="shared" si="7"/>
        <v/>
      </c>
      <c r="L56" s="4" t="e">
        <f t="shared" si="9"/>
        <v>#N/A</v>
      </c>
      <c r="M56" s="4" t="e">
        <f t="shared" si="10"/>
        <v>#N/A</v>
      </c>
      <c r="N56" s="4" t="e">
        <f t="shared" si="11"/>
        <v>#N/A</v>
      </c>
      <c r="O56" s="4" t="str">
        <f t="shared" si="8"/>
        <v/>
      </c>
    </row>
    <row r="57" spans="1:15" x14ac:dyDescent="0.3">
      <c r="A57" t="s">
        <v>131</v>
      </c>
      <c r="B57" t="s">
        <v>159</v>
      </c>
      <c r="C57" s="26" t="s">
        <v>160</v>
      </c>
      <c r="D57" s="47" t="s">
        <v>161</v>
      </c>
      <c r="E57" s="47" t="s">
        <v>608</v>
      </c>
      <c r="F57">
        <v>15</v>
      </c>
      <c r="G57" t="s">
        <v>764</v>
      </c>
      <c r="H57" s="47">
        <f t="shared" si="0"/>
        <v>0</v>
      </c>
      <c r="I57" s="47">
        <f t="shared" si="1"/>
        <v>0</v>
      </c>
      <c r="J57" s="47">
        <f t="shared" si="2"/>
        <v>0</v>
      </c>
      <c r="K57" s="47" t="str">
        <f t="shared" si="7"/>
        <v/>
      </c>
      <c r="L57" s="4" t="e">
        <f t="shared" si="9"/>
        <v>#N/A</v>
      </c>
      <c r="M57" s="4" t="e">
        <f t="shared" si="10"/>
        <v>#N/A</v>
      </c>
      <c r="N57" s="4" t="e">
        <f t="shared" si="11"/>
        <v>#N/A</v>
      </c>
      <c r="O57" s="4" t="str">
        <f t="shared" si="8"/>
        <v/>
      </c>
    </row>
    <row r="58" spans="1:15" x14ac:dyDescent="0.3">
      <c r="A58" t="s">
        <v>131</v>
      </c>
      <c r="B58" t="s">
        <v>165</v>
      </c>
      <c r="C58" s="26" t="s">
        <v>166</v>
      </c>
      <c r="D58" s="47" t="s">
        <v>167</v>
      </c>
      <c r="E58" s="47" t="s">
        <v>608</v>
      </c>
      <c r="F58">
        <v>80</v>
      </c>
      <c r="G58" t="s">
        <v>775</v>
      </c>
      <c r="H58" s="47">
        <f t="shared" si="0"/>
        <v>0</v>
      </c>
      <c r="I58" s="47">
        <f t="shared" si="1"/>
        <v>0</v>
      </c>
      <c r="J58" s="47">
        <f t="shared" si="2"/>
        <v>0</v>
      </c>
      <c r="K58" s="47" t="str">
        <f t="shared" si="7"/>
        <v/>
      </c>
      <c r="L58" s="4" t="e">
        <f t="shared" si="3"/>
        <v>#N/A</v>
      </c>
      <c r="M58" s="4" t="e">
        <f t="shared" si="4"/>
        <v>#N/A</v>
      </c>
      <c r="N58" s="4" t="e">
        <f t="shared" si="5"/>
        <v>#N/A</v>
      </c>
      <c r="O58" s="4" t="str">
        <f t="shared" si="8"/>
        <v/>
      </c>
    </row>
    <row r="59" spans="1:15" x14ac:dyDescent="0.3">
      <c r="A59" t="s">
        <v>131</v>
      </c>
      <c r="B59" t="s">
        <v>179</v>
      </c>
      <c r="C59" s="26" t="s">
        <v>180</v>
      </c>
      <c r="D59" s="47" t="s">
        <v>181</v>
      </c>
      <c r="E59" s="47" t="s">
        <v>608</v>
      </c>
      <c r="F59">
        <v>80</v>
      </c>
      <c r="G59" t="s">
        <v>674</v>
      </c>
      <c r="H59" s="47">
        <f t="shared" si="0"/>
        <v>0</v>
      </c>
      <c r="I59" s="47">
        <f t="shared" si="1"/>
        <v>0</v>
      </c>
      <c r="J59" s="47">
        <f t="shared" si="2"/>
        <v>0</v>
      </c>
      <c r="K59" s="47" t="str">
        <f t="shared" si="7"/>
        <v/>
      </c>
      <c r="L59" s="4" t="e">
        <f t="shared" si="3"/>
        <v>#N/A</v>
      </c>
      <c r="M59" s="4" t="e">
        <f t="shared" si="4"/>
        <v>#N/A</v>
      </c>
      <c r="N59" s="4" t="e">
        <f t="shared" si="5"/>
        <v>#N/A</v>
      </c>
      <c r="O59" s="4" t="str">
        <f t="shared" si="8"/>
        <v/>
      </c>
    </row>
    <row r="60" spans="1:15" x14ac:dyDescent="0.3">
      <c r="A60" t="s">
        <v>131</v>
      </c>
      <c r="B60" t="s">
        <v>182</v>
      </c>
      <c r="C60" s="26" t="s">
        <v>180</v>
      </c>
      <c r="D60" s="47" t="s">
        <v>183</v>
      </c>
      <c r="E60" s="47" t="s">
        <v>608</v>
      </c>
      <c r="F60">
        <v>80</v>
      </c>
      <c r="G60" t="s">
        <v>674</v>
      </c>
      <c r="H60" s="47">
        <f t="shared" si="0"/>
        <v>0</v>
      </c>
      <c r="I60" s="47">
        <f t="shared" si="1"/>
        <v>0</v>
      </c>
      <c r="J60" s="47">
        <f t="shared" si="2"/>
        <v>0</v>
      </c>
      <c r="K60" s="47" t="str">
        <f t="shared" si="7"/>
        <v/>
      </c>
      <c r="L60" s="4" t="e">
        <f t="shared" si="3"/>
        <v>#N/A</v>
      </c>
      <c r="M60" s="4" t="e">
        <f t="shared" si="4"/>
        <v>#N/A</v>
      </c>
      <c r="N60" s="4" t="e">
        <f t="shared" si="5"/>
        <v>#N/A</v>
      </c>
      <c r="O60" s="4" t="str">
        <f t="shared" si="8"/>
        <v/>
      </c>
    </row>
    <row r="61" spans="1:15" x14ac:dyDescent="0.3">
      <c r="A61" t="s">
        <v>131</v>
      </c>
      <c r="B61" t="s">
        <v>171</v>
      </c>
      <c r="C61" s="26" t="s">
        <v>172</v>
      </c>
      <c r="D61" s="47" t="s">
        <v>173</v>
      </c>
      <c r="E61" s="47" t="s">
        <v>613</v>
      </c>
      <c r="F61">
        <v>80</v>
      </c>
      <c r="G61" t="s">
        <v>776</v>
      </c>
      <c r="H61" s="47">
        <f t="shared" si="0"/>
        <v>0</v>
      </c>
      <c r="I61" s="47">
        <f t="shared" si="1"/>
        <v>0</v>
      </c>
      <c r="J61" s="47">
        <f t="shared" si="2"/>
        <v>0</v>
      </c>
      <c r="K61" s="47" t="str">
        <f t="shared" si="7"/>
        <v/>
      </c>
      <c r="L61" s="4" t="e">
        <f t="shared" si="3"/>
        <v>#N/A</v>
      </c>
      <c r="M61" s="4" t="e">
        <f t="shared" si="4"/>
        <v>#N/A</v>
      </c>
      <c r="N61" s="4" t="e">
        <f t="shared" si="5"/>
        <v>#N/A</v>
      </c>
      <c r="O61" s="4" t="str">
        <f t="shared" si="8"/>
        <v/>
      </c>
    </row>
    <row r="62" spans="1:15" x14ac:dyDescent="0.3">
      <c r="A62" t="s">
        <v>131</v>
      </c>
      <c r="B62" t="s">
        <v>190</v>
      </c>
      <c r="C62" s="26" t="s">
        <v>191</v>
      </c>
      <c r="D62" s="47" t="s">
        <v>192</v>
      </c>
      <c r="E62" s="47" t="s">
        <v>608</v>
      </c>
      <c r="G62" t="s">
        <v>675</v>
      </c>
      <c r="H62" s="47">
        <f t="shared" si="0"/>
        <v>0</v>
      </c>
      <c r="I62" s="47">
        <f t="shared" si="1"/>
        <v>0</v>
      </c>
      <c r="J62" s="47">
        <f t="shared" si="2"/>
        <v>0</v>
      </c>
      <c r="K62" s="47" t="str">
        <f t="shared" si="7"/>
        <v/>
      </c>
      <c r="L62" s="4" t="e">
        <f t="shared" si="3"/>
        <v>#N/A</v>
      </c>
      <c r="M62" s="4" t="e">
        <f t="shared" si="4"/>
        <v>#N/A</v>
      </c>
      <c r="N62" s="4" t="e">
        <f t="shared" si="5"/>
        <v>#N/A</v>
      </c>
      <c r="O62" s="4" t="str">
        <f t="shared" si="8"/>
        <v/>
      </c>
    </row>
    <row r="63" spans="1:15" x14ac:dyDescent="0.3">
      <c r="A63" t="s">
        <v>131</v>
      </c>
      <c r="B63" t="s">
        <v>193</v>
      </c>
      <c r="C63" s="26" t="s">
        <v>194</v>
      </c>
      <c r="D63" s="47" t="s">
        <v>195</v>
      </c>
      <c r="E63" s="47" t="s">
        <v>608</v>
      </c>
      <c r="G63" t="s">
        <v>676</v>
      </c>
      <c r="H63" s="47">
        <f t="shared" si="0"/>
        <v>0</v>
      </c>
      <c r="I63" s="47">
        <f t="shared" si="1"/>
        <v>0</v>
      </c>
      <c r="J63" s="47">
        <f t="shared" si="2"/>
        <v>0</v>
      </c>
      <c r="K63" s="47" t="str">
        <f t="shared" si="7"/>
        <v/>
      </c>
      <c r="L63" s="4" t="e">
        <f t="shared" si="3"/>
        <v>#N/A</v>
      </c>
      <c r="M63" s="4" t="e">
        <f t="shared" si="4"/>
        <v>#N/A</v>
      </c>
      <c r="N63" s="4" t="e">
        <f t="shared" si="5"/>
        <v>#N/A</v>
      </c>
      <c r="O63" s="4" t="str">
        <f t="shared" si="8"/>
        <v/>
      </c>
    </row>
    <row r="64" spans="1:15" x14ac:dyDescent="0.3">
      <c r="A64" t="s">
        <v>131</v>
      </c>
      <c r="B64" t="s">
        <v>196</v>
      </c>
      <c r="C64" s="26" t="s">
        <v>197</v>
      </c>
      <c r="D64" s="47" t="s">
        <v>198</v>
      </c>
      <c r="E64" s="47" t="s">
        <v>608</v>
      </c>
      <c r="F64">
        <v>80</v>
      </c>
      <c r="G64" t="s">
        <v>677</v>
      </c>
      <c r="H64" s="47">
        <f t="shared" si="0"/>
        <v>0</v>
      </c>
      <c r="I64" s="47">
        <f t="shared" si="1"/>
        <v>0</v>
      </c>
      <c r="J64" s="47">
        <f t="shared" si="2"/>
        <v>0</v>
      </c>
      <c r="K64" s="47" t="str">
        <f t="shared" si="7"/>
        <v/>
      </c>
      <c r="L64" s="4" t="e">
        <f t="shared" si="3"/>
        <v>#N/A</v>
      </c>
      <c r="M64" s="4" t="e">
        <f t="shared" si="4"/>
        <v>#N/A</v>
      </c>
      <c r="N64" s="4" t="e">
        <f t="shared" si="5"/>
        <v>#N/A</v>
      </c>
      <c r="O64" s="4" t="str">
        <f t="shared" si="8"/>
        <v/>
      </c>
    </row>
    <row r="65" spans="1:15" x14ac:dyDescent="0.3">
      <c r="A65" t="s">
        <v>131</v>
      </c>
      <c r="B65" t="s">
        <v>202</v>
      </c>
      <c r="C65" s="26" t="s">
        <v>203</v>
      </c>
      <c r="D65" s="47" t="s">
        <v>204</v>
      </c>
      <c r="E65" s="47" t="s">
        <v>608</v>
      </c>
      <c r="F65">
        <v>64</v>
      </c>
      <c r="G65" t="s">
        <v>679</v>
      </c>
      <c r="H65" s="47">
        <f t="shared" si="0"/>
        <v>0</v>
      </c>
      <c r="I65" s="47">
        <f t="shared" si="1"/>
        <v>0</v>
      </c>
      <c r="J65" s="47">
        <f t="shared" si="2"/>
        <v>0</v>
      </c>
      <c r="K65" s="47" t="str">
        <f t="shared" si="7"/>
        <v/>
      </c>
      <c r="L65" s="4" t="e">
        <f t="shared" si="3"/>
        <v>#N/A</v>
      </c>
      <c r="M65" s="4" t="e">
        <f t="shared" si="4"/>
        <v>#N/A</v>
      </c>
      <c r="N65" s="4" t="e">
        <f t="shared" si="5"/>
        <v>#N/A</v>
      </c>
      <c r="O65" s="4" t="str">
        <f t="shared" si="8"/>
        <v/>
      </c>
    </row>
    <row r="66" spans="1:15" x14ac:dyDescent="0.3">
      <c r="A66" t="s">
        <v>131</v>
      </c>
      <c r="B66" t="s">
        <v>205</v>
      </c>
      <c r="C66" s="26" t="s">
        <v>206</v>
      </c>
      <c r="D66" s="47" t="s">
        <v>207</v>
      </c>
      <c r="E66" s="47" t="s">
        <v>608</v>
      </c>
      <c r="F66">
        <v>64</v>
      </c>
      <c r="G66" t="s">
        <v>678</v>
      </c>
      <c r="H66" s="47">
        <f t="shared" si="0"/>
        <v>0</v>
      </c>
      <c r="I66" s="47">
        <f t="shared" si="1"/>
        <v>0</v>
      </c>
      <c r="J66" s="47">
        <f t="shared" si="2"/>
        <v>0</v>
      </c>
      <c r="K66" s="47" t="str">
        <f t="shared" si="7"/>
        <v/>
      </c>
      <c r="L66" s="4" t="e">
        <f t="shared" si="3"/>
        <v>#N/A</v>
      </c>
      <c r="M66" s="4" t="e">
        <f t="shared" si="4"/>
        <v>#N/A</v>
      </c>
      <c r="N66" s="4" t="e">
        <f t="shared" si="5"/>
        <v>#N/A</v>
      </c>
      <c r="O66" s="4" t="str">
        <f t="shared" ref="O66:O97" si="16">IF(ISBLANK(structure_e6),"",VLOOKUP(K66,elements_lookup,2,0))</f>
        <v/>
      </c>
    </row>
    <row r="67" spans="1:15" x14ac:dyDescent="0.3">
      <c r="A67" t="s">
        <v>131</v>
      </c>
      <c r="B67" t="s">
        <v>153</v>
      </c>
      <c r="C67" s="26" t="s">
        <v>154</v>
      </c>
      <c r="D67" s="47" t="s">
        <v>155</v>
      </c>
      <c r="E67" s="47" t="s">
        <v>608</v>
      </c>
      <c r="G67" t="s">
        <v>718</v>
      </c>
      <c r="H67" s="47">
        <f t="shared" si="0"/>
        <v>0</v>
      </c>
      <c r="I67" s="47">
        <f t="shared" si="1"/>
        <v>0</v>
      </c>
      <c r="J67" s="47">
        <f t="shared" si="2"/>
        <v>0</v>
      </c>
      <c r="K67" s="47" t="str">
        <f t="shared" si="7"/>
        <v/>
      </c>
      <c r="L67" s="4" t="e">
        <f t="shared" si="3"/>
        <v>#N/A</v>
      </c>
      <c r="M67" s="4" t="e">
        <f t="shared" si="4"/>
        <v>#N/A</v>
      </c>
      <c r="N67" s="4" t="e">
        <f t="shared" si="5"/>
        <v>#N/A</v>
      </c>
      <c r="O67" s="4" t="str">
        <f t="shared" si="16"/>
        <v/>
      </c>
    </row>
    <row r="68" spans="1:15" x14ac:dyDescent="0.3">
      <c r="A68" t="s">
        <v>131</v>
      </c>
      <c r="B68" t="s">
        <v>144</v>
      </c>
      <c r="C68" s="26" t="s">
        <v>145</v>
      </c>
      <c r="D68" s="47" t="s">
        <v>146</v>
      </c>
      <c r="E68" s="47" t="s">
        <v>608</v>
      </c>
      <c r="G68" t="s">
        <v>777</v>
      </c>
      <c r="H68" s="47">
        <f t="shared" si="12"/>
        <v>0</v>
      </c>
      <c r="I68" s="47">
        <f t="shared" si="13"/>
        <v>0</v>
      </c>
      <c r="J68" s="47">
        <f t="shared" si="14"/>
        <v>0</v>
      </c>
      <c r="K68" s="47" t="str">
        <f t="shared" si="15"/>
        <v/>
      </c>
      <c r="L68" s="4" t="e">
        <f t="shared" ref="L68:L131" si="17">VLOOKUP(H68,elements_lookup,2,0)</f>
        <v>#N/A</v>
      </c>
      <c r="M68" s="4" t="e">
        <f t="shared" ref="M68:M131" si="18">VLOOKUP(I68,elements_lookup,2,0)</f>
        <v>#N/A</v>
      </c>
      <c r="N68" s="4" t="e">
        <f t="shared" ref="N68:N131" si="19">VLOOKUP(J68,elements_lookup,2,0)</f>
        <v>#N/A</v>
      </c>
      <c r="O68" s="4" t="str">
        <f t="shared" si="16"/>
        <v/>
      </c>
    </row>
    <row r="69" spans="1:15" x14ac:dyDescent="0.3">
      <c r="A69" t="s">
        <v>131</v>
      </c>
      <c r="B69" t="s">
        <v>150</v>
      </c>
      <c r="C69" s="26" t="s">
        <v>151</v>
      </c>
      <c r="D69" s="47" t="s">
        <v>152</v>
      </c>
      <c r="E69" s="47" t="s">
        <v>608</v>
      </c>
      <c r="G69" t="s">
        <v>778</v>
      </c>
      <c r="H69" s="47">
        <f t="shared" si="12"/>
        <v>0</v>
      </c>
      <c r="I69" s="47">
        <f t="shared" si="13"/>
        <v>0</v>
      </c>
      <c r="J69" s="47">
        <f t="shared" si="14"/>
        <v>0</v>
      </c>
      <c r="K69" s="47" t="str">
        <f t="shared" si="15"/>
        <v/>
      </c>
      <c r="L69" s="4" t="e">
        <f t="shared" si="17"/>
        <v>#N/A</v>
      </c>
      <c r="M69" s="4" t="e">
        <f t="shared" si="18"/>
        <v>#N/A</v>
      </c>
      <c r="N69" s="4" t="e">
        <f t="shared" si="19"/>
        <v>#N/A</v>
      </c>
      <c r="O69" s="4" t="str">
        <f t="shared" si="16"/>
        <v/>
      </c>
    </row>
    <row r="70" spans="1:15" x14ac:dyDescent="0.3">
      <c r="A70" t="s">
        <v>131</v>
      </c>
      <c r="B70" t="s">
        <v>147</v>
      </c>
      <c r="C70" s="26" t="s">
        <v>148</v>
      </c>
      <c r="D70" s="47" t="s">
        <v>149</v>
      </c>
      <c r="E70" s="47" t="s">
        <v>608</v>
      </c>
      <c r="G70" t="s">
        <v>779</v>
      </c>
      <c r="H70" s="47">
        <f t="shared" si="12"/>
        <v>0</v>
      </c>
      <c r="I70" s="47">
        <f t="shared" si="13"/>
        <v>0</v>
      </c>
      <c r="J70" s="47">
        <f t="shared" si="14"/>
        <v>0</v>
      </c>
      <c r="K70" s="47" t="str">
        <f t="shared" si="15"/>
        <v/>
      </c>
      <c r="L70" s="4" t="e">
        <f t="shared" si="17"/>
        <v>#N/A</v>
      </c>
      <c r="M70" s="4" t="e">
        <f t="shared" si="18"/>
        <v>#N/A</v>
      </c>
      <c r="N70" s="4" t="e">
        <f t="shared" si="19"/>
        <v>#N/A</v>
      </c>
      <c r="O70" s="4" t="str">
        <f t="shared" si="16"/>
        <v/>
      </c>
    </row>
    <row r="71" spans="1:15" x14ac:dyDescent="0.3">
      <c r="A71" t="s">
        <v>131</v>
      </c>
      <c r="B71" t="s">
        <v>138</v>
      </c>
      <c r="C71" s="26" t="s">
        <v>139</v>
      </c>
      <c r="D71" s="47" t="s">
        <v>140</v>
      </c>
      <c r="E71" s="47" t="s">
        <v>608</v>
      </c>
      <c r="F71">
        <v>64</v>
      </c>
      <c r="G71" t="s">
        <v>680</v>
      </c>
      <c r="H71" s="47">
        <f t="shared" si="12"/>
        <v>0</v>
      </c>
      <c r="I71" s="47">
        <f t="shared" si="13"/>
        <v>0</v>
      </c>
      <c r="J71" s="47">
        <f t="shared" si="14"/>
        <v>0</v>
      </c>
      <c r="K71" s="47" t="str">
        <f t="shared" si="15"/>
        <v/>
      </c>
      <c r="L71" s="4" t="e">
        <f t="shared" si="17"/>
        <v>#N/A</v>
      </c>
      <c r="M71" s="4" t="e">
        <f t="shared" si="18"/>
        <v>#N/A</v>
      </c>
      <c r="N71" s="4" t="e">
        <f t="shared" si="19"/>
        <v>#N/A</v>
      </c>
      <c r="O71" s="4" t="str">
        <f t="shared" si="16"/>
        <v/>
      </c>
    </row>
    <row r="72" spans="1:15" x14ac:dyDescent="0.3">
      <c r="A72" t="s">
        <v>131</v>
      </c>
      <c r="B72" t="s">
        <v>208</v>
      </c>
      <c r="C72" s="26" t="s">
        <v>209</v>
      </c>
      <c r="D72" s="47" t="s">
        <v>210</v>
      </c>
      <c r="E72" s="47" t="s">
        <v>608</v>
      </c>
      <c r="G72" t="s">
        <v>780</v>
      </c>
      <c r="H72" s="47">
        <f t="shared" si="12"/>
        <v>0</v>
      </c>
      <c r="I72" s="47">
        <f t="shared" si="13"/>
        <v>0</v>
      </c>
      <c r="J72" s="47">
        <f t="shared" si="14"/>
        <v>0</v>
      </c>
      <c r="K72" s="47" t="str">
        <f t="shared" si="15"/>
        <v/>
      </c>
      <c r="L72" s="4" t="e">
        <f t="shared" si="17"/>
        <v>#N/A</v>
      </c>
      <c r="M72" s="4" t="e">
        <f t="shared" si="18"/>
        <v>#N/A</v>
      </c>
      <c r="N72" s="4" t="e">
        <f t="shared" si="19"/>
        <v>#N/A</v>
      </c>
      <c r="O72" s="4" t="str">
        <f t="shared" si="16"/>
        <v/>
      </c>
    </row>
    <row r="73" spans="1:15" x14ac:dyDescent="0.3">
      <c r="A73" t="s">
        <v>131</v>
      </c>
      <c r="B73" t="s">
        <v>187</v>
      </c>
      <c r="C73" s="26" t="s">
        <v>188</v>
      </c>
      <c r="D73" s="47" t="s">
        <v>189</v>
      </c>
      <c r="E73" s="47" t="s">
        <v>608</v>
      </c>
      <c r="F73">
        <v>50</v>
      </c>
      <c r="G73" t="s">
        <v>772</v>
      </c>
      <c r="H73" s="47">
        <f t="shared" si="12"/>
        <v>0</v>
      </c>
      <c r="I73" s="47">
        <f t="shared" si="13"/>
        <v>0</v>
      </c>
      <c r="J73" s="47">
        <f t="shared" si="14"/>
        <v>0</v>
      </c>
      <c r="K73" s="47" t="str">
        <f t="shared" si="15"/>
        <v/>
      </c>
      <c r="L73" s="4" t="e">
        <f t="shared" si="17"/>
        <v>#N/A</v>
      </c>
      <c r="M73" s="4" t="e">
        <f t="shared" si="18"/>
        <v>#N/A</v>
      </c>
      <c r="N73" s="4" t="e">
        <f t="shared" si="19"/>
        <v>#N/A</v>
      </c>
      <c r="O73" s="4" t="str">
        <f t="shared" si="16"/>
        <v/>
      </c>
    </row>
    <row r="74" spans="1:15" x14ac:dyDescent="0.3">
      <c r="A74" t="s">
        <v>131</v>
      </c>
      <c r="B74" t="s">
        <v>184</v>
      </c>
      <c r="C74" s="26" t="s">
        <v>185</v>
      </c>
      <c r="D74" s="47" t="s">
        <v>186</v>
      </c>
      <c r="E74" s="47" t="s">
        <v>608</v>
      </c>
      <c r="F74">
        <v>260</v>
      </c>
      <c r="G74" t="s">
        <v>729</v>
      </c>
      <c r="H74" s="47">
        <f t="shared" si="12"/>
        <v>0</v>
      </c>
      <c r="I74" s="47">
        <f t="shared" si="13"/>
        <v>0</v>
      </c>
      <c r="J74" s="47">
        <f t="shared" si="14"/>
        <v>0</v>
      </c>
      <c r="K74" s="47" t="str">
        <f t="shared" si="15"/>
        <v/>
      </c>
      <c r="L74" s="4" t="e">
        <f t="shared" si="17"/>
        <v>#N/A</v>
      </c>
      <c r="M74" s="4" t="e">
        <f t="shared" si="18"/>
        <v>#N/A</v>
      </c>
      <c r="N74" s="4" t="e">
        <f t="shared" si="19"/>
        <v>#N/A</v>
      </c>
      <c r="O74" s="4" t="str">
        <f t="shared" si="16"/>
        <v/>
      </c>
    </row>
    <row r="75" spans="1:15" x14ac:dyDescent="0.3">
      <c r="A75" t="s">
        <v>131</v>
      </c>
      <c r="B75" t="s">
        <v>211</v>
      </c>
      <c r="C75" s="26" t="s">
        <v>212</v>
      </c>
      <c r="D75" s="47" t="s">
        <v>213</v>
      </c>
      <c r="E75" s="47" t="s">
        <v>608</v>
      </c>
      <c r="F75">
        <v>24</v>
      </c>
      <c r="G75" t="s">
        <v>681</v>
      </c>
      <c r="H75" s="47">
        <f t="shared" si="12"/>
        <v>0</v>
      </c>
      <c r="I75" s="47">
        <f t="shared" si="13"/>
        <v>0</v>
      </c>
      <c r="J75" s="47">
        <f t="shared" si="14"/>
        <v>0</v>
      </c>
      <c r="K75" s="47" t="str">
        <f t="shared" si="15"/>
        <v/>
      </c>
      <c r="L75" s="4" t="e">
        <f t="shared" si="17"/>
        <v>#N/A</v>
      </c>
      <c r="M75" s="4" t="e">
        <f t="shared" si="18"/>
        <v>#N/A</v>
      </c>
      <c r="N75" s="4" t="e">
        <f t="shared" si="19"/>
        <v>#N/A</v>
      </c>
      <c r="O75" s="4" t="str">
        <f t="shared" si="16"/>
        <v/>
      </c>
    </row>
    <row r="76" spans="1:15" x14ac:dyDescent="0.3">
      <c r="A76" t="s">
        <v>131</v>
      </c>
      <c r="B76" t="s">
        <v>176</v>
      </c>
      <c r="C76" s="26" t="s">
        <v>177</v>
      </c>
      <c r="D76" s="47" t="s">
        <v>178</v>
      </c>
      <c r="E76" s="47" t="s">
        <v>608</v>
      </c>
      <c r="G76" t="s">
        <v>757</v>
      </c>
      <c r="H76" s="47">
        <f t="shared" si="12"/>
        <v>0</v>
      </c>
      <c r="I76" s="47">
        <f t="shared" si="13"/>
        <v>0</v>
      </c>
      <c r="J76" s="47">
        <f t="shared" si="14"/>
        <v>0</v>
      </c>
      <c r="K76" s="47" t="str">
        <f t="shared" si="15"/>
        <v/>
      </c>
      <c r="L76" s="4" t="e">
        <f t="shared" si="17"/>
        <v>#N/A</v>
      </c>
      <c r="M76" s="4" t="e">
        <f t="shared" si="18"/>
        <v>#N/A</v>
      </c>
      <c r="N76" s="4" t="e">
        <f t="shared" si="19"/>
        <v>#N/A</v>
      </c>
      <c r="O76" s="4" t="str">
        <f t="shared" si="16"/>
        <v/>
      </c>
    </row>
    <row r="77" spans="1:15" x14ac:dyDescent="0.3">
      <c r="A77" t="s">
        <v>131</v>
      </c>
      <c r="B77" t="s">
        <v>132</v>
      </c>
      <c r="C77" s="26" t="s">
        <v>133</v>
      </c>
      <c r="D77" s="47" t="s">
        <v>134</v>
      </c>
      <c r="E77" s="47" t="s">
        <v>608</v>
      </c>
      <c r="G77" t="s">
        <v>774</v>
      </c>
      <c r="H77" s="47">
        <f t="shared" si="12"/>
        <v>0</v>
      </c>
      <c r="I77" s="47">
        <f t="shared" si="13"/>
        <v>0</v>
      </c>
      <c r="J77" s="47">
        <f t="shared" si="14"/>
        <v>0</v>
      </c>
      <c r="K77" s="47" t="str">
        <f t="shared" si="15"/>
        <v/>
      </c>
      <c r="L77" s="4" t="e">
        <f t="shared" si="17"/>
        <v>#N/A</v>
      </c>
      <c r="M77" s="4" t="e">
        <f t="shared" si="18"/>
        <v>#N/A</v>
      </c>
      <c r="N77" s="4" t="e">
        <f t="shared" si="19"/>
        <v>#N/A</v>
      </c>
      <c r="O77" s="4" t="str">
        <f t="shared" si="16"/>
        <v/>
      </c>
    </row>
    <row r="78" spans="1:15" x14ac:dyDescent="0.3">
      <c r="A78" t="s">
        <v>131</v>
      </c>
      <c r="B78" t="s">
        <v>174</v>
      </c>
      <c r="C78" s="26" t="s">
        <v>133</v>
      </c>
      <c r="D78" s="47" t="s">
        <v>175</v>
      </c>
      <c r="E78" s="47" t="s">
        <v>608</v>
      </c>
      <c r="G78" t="s">
        <v>774</v>
      </c>
      <c r="H78" s="47">
        <f t="shared" si="12"/>
        <v>0</v>
      </c>
      <c r="I78" s="47">
        <f t="shared" si="13"/>
        <v>0</v>
      </c>
      <c r="J78" s="47">
        <f t="shared" si="14"/>
        <v>0</v>
      </c>
      <c r="K78" s="47" t="str">
        <f t="shared" si="15"/>
        <v/>
      </c>
      <c r="L78" s="4" t="e">
        <f t="shared" si="17"/>
        <v>#N/A</v>
      </c>
      <c r="M78" s="4" t="e">
        <f t="shared" si="18"/>
        <v>#N/A</v>
      </c>
      <c r="N78" s="4" t="e">
        <f t="shared" si="19"/>
        <v>#N/A</v>
      </c>
      <c r="O78" s="4" t="str">
        <f t="shared" si="16"/>
        <v/>
      </c>
    </row>
    <row r="79" spans="1:15" x14ac:dyDescent="0.3">
      <c r="A79" t="s">
        <v>131</v>
      </c>
      <c r="B79" t="s">
        <v>135</v>
      </c>
      <c r="C79" s="26" t="s">
        <v>136</v>
      </c>
      <c r="D79" s="47" t="s">
        <v>137</v>
      </c>
      <c r="E79" s="47" t="s">
        <v>608</v>
      </c>
      <c r="F79">
        <v>60</v>
      </c>
      <c r="G79" t="s">
        <v>781</v>
      </c>
      <c r="H79" s="47">
        <f t="shared" si="12"/>
        <v>0</v>
      </c>
      <c r="I79" s="47">
        <f t="shared" si="13"/>
        <v>0</v>
      </c>
      <c r="J79" s="47">
        <f t="shared" si="14"/>
        <v>0</v>
      </c>
      <c r="K79" s="47" t="str">
        <f t="shared" si="15"/>
        <v/>
      </c>
      <c r="L79" s="4" t="e">
        <f t="shared" si="17"/>
        <v>#N/A</v>
      </c>
      <c r="M79" s="4" t="e">
        <f t="shared" si="18"/>
        <v>#N/A</v>
      </c>
      <c r="N79" s="4" t="e">
        <f t="shared" si="19"/>
        <v>#N/A</v>
      </c>
      <c r="O79" s="4" t="str">
        <f t="shared" si="16"/>
        <v/>
      </c>
    </row>
    <row r="80" spans="1:15" x14ac:dyDescent="0.3">
      <c r="A80" t="s">
        <v>131</v>
      </c>
      <c r="B80" t="s">
        <v>168</v>
      </c>
      <c r="C80" s="26" t="s">
        <v>169</v>
      </c>
      <c r="D80" s="47" t="s">
        <v>170</v>
      </c>
      <c r="E80" s="47" t="s">
        <v>608</v>
      </c>
      <c r="F80">
        <v>60</v>
      </c>
      <c r="G80" t="s">
        <v>621</v>
      </c>
      <c r="H80" s="47">
        <f t="shared" si="12"/>
        <v>0</v>
      </c>
      <c r="I80" s="47">
        <f t="shared" si="13"/>
        <v>0</v>
      </c>
      <c r="J80" s="47">
        <f t="shared" si="14"/>
        <v>0</v>
      </c>
      <c r="K80" s="47" t="str">
        <f t="shared" si="15"/>
        <v/>
      </c>
      <c r="L80" s="4" t="e">
        <f t="shared" si="17"/>
        <v>#N/A</v>
      </c>
      <c r="M80" s="4" t="e">
        <f t="shared" si="18"/>
        <v>#N/A</v>
      </c>
      <c r="N80" s="4" t="e">
        <f t="shared" si="19"/>
        <v>#N/A</v>
      </c>
      <c r="O80" s="4" t="str">
        <f t="shared" si="16"/>
        <v/>
      </c>
    </row>
    <row r="81" spans="1:15" x14ac:dyDescent="0.3">
      <c r="A81" t="s">
        <v>131</v>
      </c>
      <c r="B81" t="s">
        <v>214</v>
      </c>
      <c r="C81" s="26" t="s">
        <v>169</v>
      </c>
      <c r="D81" s="47" t="s">
        <v>215</v>
      </c>
      <c r="E81" s="47" t="s">
        <v>608</v>
      </c>
      <c r="F81">
        <v>60</v>
      </c>
      <c r="G81" t="s">
        <v>740</v>
      </c>
      <c r="H81" s="47">
        <f t="shared" si="12"/>
        <v>0</v>
      </c>
      <c r="I81" s="47">
        <f t="shared" si="13"/>
        <v>0</v>
      </c>
      <c r="J81" s="47">
        <f t="shared" si="14"/>
        <v>0</v>
      </c>
      <c r="K81" s="47" t="str">
        <f t="shared" si="15"/>
        <v/>
      </c>
      <c r="L81" s="4" t="e">
        <f t="shared" si="17"/>
        <v>#N/A</v>
      </c>
      <c r="M81" s="4" t="e">
        <f t="shared" si="18"/>
        <v>#N/A</v>
      </c>
      <c r="N81" s="4" t="e">
        <f t="shared" si="19"/>
        <v>#N/A</v>
      </c>
      <c r="O81" s="4" t="str">
        <f t="shared" si="16"/>
        <v/>
      </c>
    </row>
    <row r="82" spans="1:15" x14ac:dyDescent="0.3">
      <c r="A82" t="s">
        <v>131</v>
      </c>
      <c r="B82" t="s">
        <v>199</v>
      </c>
      <c r="C82" s="26" t="s">
        <v>200</v>
      </c>
      <c r="D82" s="47" t="s">
        <v>201</v>
      </c>
      <c r="E82" s="47" t="s">
        <v>608</v>
      </c>
      <c r="F82">
        <v>60</v>
      </c>
      <c r="G82" t="s">
        <v>740</v>
      </c>
      <c r="H82" s="47">
        <f t="shared" si="12"/>
        <v>0</v>
      </c>
      <c r="I82" s="47">
        <f t="shared" si="13"/>
        <v>0</v>
      </c>
      <c r="J82" s="47">
        <f t="shared" si="14"/>
        <v>0</v>
      </c>
      <c r="K82" s="47" t="str">
        <f t="shared" si="15"/>
        <v/>
      </c>
      <c r="L82" s="4" t="e">
        <f t="shared" si="17"/>
        <v>#N/A</v>
      </c>
      <c r="M82" s="4" t="e">
        <f t="shared" si="18"/>
        <v>#N/A</v>
      </c>
      <c r="N82" s="4" t="e">
        <f t="shared" si="19"/>
        <v>#N/A</v>
      </c>
      <c r="O82" s="4" t="str">
        <f t="shared" si="16"/>
        <v/>
      </c>
    </row>
    <row r="83" spans="1:15" x14ac:dyDescent="0.3">
      <c r="A83" t="s">
        <v>216</v>
      </c>
      <c r="B83" t="s">
        <v>224</v>
      </c>
      <c r="C83" s="26" t="s">
        <v>225</v>
      </c>
      <c r="D83" s="47" t="s">
        <v>226</v>
      </c>
      <c r="E83" s="47" t="s">
        <v>608</v>
      </c>
      <c r="F83">
        <v>32</v>
      </c>
      <c r="G83" t="s">
        <v>621</v>
      </c>
      <c r="H83" s="47">
        <f t="shared" si="12"/>
        <v>0</v>
      </c>
      <c r="I83" s="47">
        <f t="shared" si="13"/>
        <v>0</v>
      </c>
      <c r="J83" s="47">
        <f t="shared" si="14"/>
        <v>0</v>
      </c>
      <c r="K83" s="47" t="str">
        <f t="shared" si="15"/>
        <v/>
      </c>
      <c r="L83" s="4" t="e">
        <f t="shared" si="17"/>
        <v>#N/A</v>
      </c>
      <c r="M83" s="4" t="e">
        <f t="shared" si="18"/>
        <v>#N/A</v>
      </c>
      <c r="N83" s="4" t="e">
        <f t="shared" si="19"/>
        <v>#N/A</v>
      </c>
      <c r="O83" s="4" t="str">
        <f t="shared" si="16"/>
        <v/>
      </c>
    </row>
    <row r="84" spans="1:15" x14ac:dyDescent="0.3">
      <c r="A84" t="s">
        <v>216</v>
      </c>
      <c r="B84" t="s">
        <v>227</v>
      </c>
      <c r="C84" s="26" t="s">
        <v>228</v>
      </c>
      <c r="D84" s="47" t="s">
        <v>229</v>
      </c>
      <c r="E84" s="47" t="s">
        <v>608</v>
      </c>
      <c r="G84" t="s">
        <v>749</v>
      </c>
      <c r="H84" s="47">
        <f t="shared" si="12"/>
        <v>0</v>
      </c>
      <c r="I84" s="47">
        <f t="shared" si="13"/>
        <v>0</v>
      </c>
      <c r="J84" s="47">
        <f t="shared" si="14"/>
        <v>0</v>
      </c>
      <c r="K84" s="47" t="str">
        <f t="shared" si="15"/>
        <v/>
      </c>
      <c r="L84" s="4" t="e">
        <f t="shared" si="17"/>
        <v>#N/A</v>
      </c>
      <c r="M84" s="4" t="e">
        <f t="shared" si="18"/>
        <v>#N/A</v>
      </c>
      <c r="N84" s="4" t="e">
        <f t="shared" si="19"/>
        <v>#N/A</v>
      </c>
      <c r="O84" s="4" t="str">
        <f t="shared" si="16"/>
        <v/>
      </c>
    </row>
    <row r="85" spans="1:15" x14ac:dyDescent="0.3">
      <c r="A85" t="s">
        <v>216</v>
      </c>
      <c r="B85" t="s">
        <v>233</v>
      </c>
      <c r="C85" s="26" t="s">
        <v>234</v>
      </c>
      <c r="D85" s="47" t="s">
        <v>235</v>
      </c>
      <c r="E85" s="47" t="s">
        <v>608</v>
      </c>
      <c r="F85">
        <v>63</v>
      </c>
      <c r="G85" t="s">
        <v>751</v>
      </c>
      <c r="H85" s="47">
        <f t="shared" si="12"/>
        <v>0</v>
      </c>
      <c r="I85" s="47">
        <f t="shared" si="13"/>
        <v>0</v>
      </c>
      <c r="J85" s="47">
        <f t="shared" si="14"/>
        <v>0</v>
      </c>
      <c r="K85" s="47" t="str">
        <f t="shared" si="15"/>
        <v/>
      </c>
      <c r="L85" s="4" t="e">
        <f t="shared" si="17"/>
        <v>#N/A</v>
      </c>
      <c r="M85" s="4" t="e">
        <f t="shared" si="18"/>
        <v>#N/A</v>
      </c>
      <c r="N85" s="4" t="e">
        <f t="shared" si="19"/>
        <v>#N/A</v>
      </c>
      <c r="O85" s="4" t="str">
        <f t="shared" si="16"/>
        <v/>
      </c>
    </row>
    <row r="86" spans="1:15" x14ac:dyDescent="0.3">
      <c r="A86" t="s">
        <v>216</v>
      </c>
      <c r="B86" t="s">
        <v>230</v>
      </c>
      <c r="C86" s="26" t="s">
        <v>231</v>
      </c>
      <c r="D86" s="47" t="s">
        <v>232</v>
      </c>
      <c r="E86" s="47" t="s">
        <v>613</v>
      </c>
      <c r="F86">
        <v>50</v>
      </c>
      <c r="G86" t="s">
        <v>750</v>
      </c>
      <c r="H86" s="47">
        <f t="shared" si="12"/>
        <v>0</v>
      </c>
      <c r="I86" s="47">
        <f t="shared" si="13"/>
        <v>0</v>
      </c>
      <c r="J86" s="47">
        <f t="shared" si="14"/>
        <v>0</v>
      </c>
      <c r="K86" s="47" t="str">
        <f t="shared" si="15"/>
        <v/>
      </c>
      <c r="L86" s="4" t="e">
        <f t="shared" si="17"/>
        <v>#N/A</v>
      </c>
      <c r="M86" s="4" t="e">
        <f t="shared" si="18"/>
        <v>#N/A</v>
      </c>
      <c r="N86" s="4" t="e">
        <f t="shared" si="19"/>
        <v>#N/A</v>
      </c>
      <c r="O86" s="4" t="str">
        <f t="shared" si="16"/>
        <v/>
      </c>
    </row>
    <row r="87" spans="1:15" x14ac:dyDescent="0.3">
      <c r="A87" t="s">
        <v>216</v>
      </c>
      <c r="B87" t="s">
        <v>217</v>
      </c>
      <c r="C87" s="26" t="s">
        <v>218</v>
      </c>
      <c r="D87" s="47" t="s">
        <v>219</v>
      </c>
      <c r="E87" s="47" t="s">
        <v>608</v>
      </c>
      <c r="F87">
        <v>63</v>
      </c>
      <c r="G87" t="s">
        <v>682</v>
      </c>
      <c r="H87" s="47">
        <f t="shared" si="12"/>
        <v>0</v>
      </c>
      <c r="I87" s="47">
        <f t="shared" si="13"/>
        <v>0</v>
      </c>
      <c r="J87" s="47">
        <f t="shared" si="14"/>
        <v>0</v>
      </c>
      <c r="K87" s="47" t="str">
        <f t="shared" si="15"/>
        <v/>
      </c>
      <c r="L87" s="4" t="e">
        <f t="shared" si="17"/>
        <v>#N/A</v>
      </c>
      <c r="M87" s="4" t="e">
        <f t="shared" si="18"/>
        <v>#N/A</v>
      </c>
      <c r="N87" s="4" t="e">
        <f t="shared" si="19"/>
        <v>#N/A</v>
      </c>
      <c r="O87" s="4" t="str">
        <f t="shared" si="16"/>
        <v/>
      </c>
    </row>
    <row r="88" spans="1:15" x14ac:dyDescent="0.3">
      <c r="A88" t="s">
        <v>216</v>
      </c>
      <c r="B88" t="s">
        <v>220</v>
      </c>
      <c r="C88" s="26" t="s">
        <v>598</v>
      </c>
      <c r="D88" s="47" t="s">
        <v>221</v>
      </c>
      <c r="E88" s="47" t="s">
        <v>613</v>
      </c>
      <c r="F88">
        <v>12</v>
      </c>
      <c r="G88" t="s">
        <v>683</v>
      </c>
      <c r="H88" s="47">
        <f t="shared" si="12"/>
        <v>0</v>
      </c>
      <c r="I88" s="47">
        <f t="shared" si="13"/>
        <v>0</v>
      </c>
      <c r="J88" s="47">
        <f t="shared" si="14"/>
        <v>0</v>
      </c>
      <c r="K88" s="47" t="str">
        <f t="shared" si="15"/>
        <v/>
      </c>
      <c r="L88" s="4" t="e">
        <f t="shared" si="17"/>
        <v>#N/A</v>
      </c>
      <c r="M88" s="4" t="e">
        <f t="shared" si="18"/>
        <v>#N/A</v>
      </c>
      <c r="N88" s="4" t="e">
        <f t="shared" si="19"/>
        <v>#N/A</v>
      </c>
      <c r="O88" s="4" t="str">
        <f t="shared" si="16"/>
        <v/>
      </c>
    </row>
    <row r="89" spans="1:15" x14ac:dyDescent="0.3">
      <c r="A89" t="s">
        <v>216</v>
      </c>
      <c r="B89" t="s">
        <v>222</v>
      </c>
      <c r="C89" s="26" t="s">
        <v>599</v>
      </c>
      <c r="D89" s="47" t="s">
        <v>223</v>
      </c>
      <c r="E89" s="47" t="s">
        <v>613</v>
      </c>
      <c r="F89">
        <v>12</v>
      </c>
      <c r="G89" t="s">
        <v>683</v>
      </c>
      <c r="H89" s="47">
        <f t="shared" si="12"/>
        <v>0</v>
      </c>
      <c r="I89" s="47">
        <f t="shared" si="13"/>
        <v>0</v>
      </c>
      <c r="J89" s="47">
        <f t="shared" si="14"/>
        <v>0</v>
      </c>
      <c r="K89" s="47" t="str">
        <f t="shared" si="15"/>
        <v/>
      </c>
      <c r="L89" s="4" t="e">
        <f t="shared" si="17"/>
        <v>#N/A</v>
      </c>
      <c r="M89" s="4" t="e">
        <f t="shared" si="18"/>
        <v>#N/A</v>
      </c>
      <c r="N89" s="4" t="e">
        <f t="shared" si="19"/>
        <v>#N/A</v>
      </c>
      <c r="O89" s="4" t="str">
        <f t="shared" si="16"/>
        <v/>
      </c>
    </row>
    <row r="90" spans="1:15" x14ac:dyDescent="0.3">
      <c r="A90" t="s">
        <v>216</v>
      </c>
      <c r="B90" t="s">
        <v>236</v>
      </c>
      <c r="C90" s="26" t="s">
        <v>237</v>
      </c>
      <c r="D90" s="47" t="s">
        <v>238</v>
      </c>
      <c r="E90" s="47" t="s">
        <v>608</v>
      </c>
      <c r="F90">
        <v>23</v>
      </c>
      <c r="G90" t="s">
        <v>684</v>
      </c>
      <c r="H90" s="47">
        <f t="shared" si="12"/>
        <v>0</v>
      </c>
      <c r="I90" s="47">
        <f t="shared" si="13"/>
        <v>0</v>
      </c>
      <c r="J90" s="47">
        <f t="shared" si="14"/>
        <v>0</v>
      </c>
      <c r="K90" s="47" t="str">
        <f t="shared" si="15"/>
        <v/>
      </c>
      <c r="L90" s="4" t="e">
        <f t="shared" si="17"/>
        <v>#N/A</v>
      </c>
      <c r="M90" s="4" t="e">
        <f t="shared" si="18"/>
        <v>#N/A</v>
      </c>
      <c r="N90" s="4" t="e">
        <f t="shared" si="19"/>
        <v>#N/A</v>
      </c>
      <c r="O90" s="4" t="str">
        <f t="shared" si="16"/>
        <v/>
      </c>
    </row>
    <row r="91" spans="1:15" x14ac:dyDescent="0.3">
      <c r="A91" t="s">
        <v>216</v>
      </c>
      <c r="B91" t="s">
        <v>239</v>
      </c>
      <c r="C91" s="26" t="s">
        <v>240</v>
      </c>
      <c r="D91" s="47" t="s">
        <v>241</v>
      </c>
      <c r="E91" s="47" t="s">
        <v>608</v>
      </c>
      <c r="F91">
        <v>23</v>
      </c>
      <c r="G91" t="s">
        <v>684</v>
      </c>
      <c r="H91" s="47">
        <f t="shared" si="12"/>
        <v>0</v>
      </c>
      <c r="I91" s="47">
        <f t="shared" si="13"/>
        <v>0</v>
      </c>
      <c r="J91" s="47">
        <f t="shared" si="14"/>
        <v>0</v>
      </c>
      <c r="K91" s="47" t="str">
        <f t="shared" si="15"/>
        <v/>
      </c>
      <c r="L91" s="4" t="e">
        <f t="shared" si="17"/>
        <v>#N/A</v>
      </c>
      <c r="M91" s="4" t="e">
        <f t="shared" si="18"/>
        <v>#N/A</v>
      </c>
      <c r="N91" s="4" t="e">
        <f t="shared" si="19"/>
        <v>#N/A</v>
      </c>
      <c r="O91" s="4" t="str">
        <f t="shared" si="16"/>
        <v/>
      </c>
    </row>
    <row r="92" spans="1:15" x14ac:dyDescent="0.3">
      <c r="A92" t="s">
        <v>242</v>
      </c>
      <c r="B92" t="s">
        <v>261</v>
      </c>
      <c r="C92" s="26" t="s">
        <v>262</v>
      </c>
      <c r="D92" s="47" t="s">
        <v>263</v>
      </c>
      <c r="E92" s="47" t="s">
        <v>608</v>
      </c>
      <c r="F92">
        <v>63</v>
      </c>
      <c r="G92" t="s">
        <v>687</v>
      </c>
      <c r="H92" s="47">
        <f t="shared" si="12"/>
        <v>0</v>
      </c>
      <c r="I92" s="47">
        <f t="shared" si="13"/>
        <v>0</v>
      </c>
      <c r="J92" s="47">
        <f t="shared" si="14"/>
        <v>0</v>
      </c>
      <c r="K92" s="47" t="str">
        <f t="shared" si="15"/>
        <v/>
      </c>
      <c r="L92" s="4" t="e">
        <f t="shared" si="17"/>
        <v>#N/A</v>
      </c>
      <c r="M92" s="4" t="e">
        <f t="shared" si="18"/>
        <v>#N/A</v>
      </c>
      <c r="N92" s="4" t="e">
        <f t="shared" si="19"/>
        <v>#N/A</v>
      </c>
      <c r="O92" s="4" t="str">
        <f t="shared" si="16"/>
        <v/>
      </c>
    </row>
    <row r="93" spans="1:15" x14ac:dyDescent="0.3">
      <c r="A93" t="s">
        <v>242</v>
      </c>
      <c r="B93" t="s">
        <v>276</v>
      </c>
      <c r="C93" s="26" t="s">
        <v>277</v>
      </c>
      <c r="D93" s="47" t="s">
        <v>278</v>
      </c>
      <c r="E93" s="47" t="s">
        <v>608</v>
      </c>
      <c r="F93">
        <v>63</v>
      </c>
      <c r="G93" t="s">
        <v>685</v>
      </c>
      <c r="H93" s="47">
        <f t="shared" si="12"/>
        <v>0</v>
      </c>
      <c r="I93" s="47">
        <f t="shared" si="13"/>
        <v>0</v>
      </c>
      <c r="J93" s="47">
        <f t="shared" si="14"/>
        <v>0</v>
      </c>
      <c r="K93" s="47" t="str">
        <f t="shared" si="15"/>
        <v/>
      </c>
      <c r="L93" s="4" t="e">
        <f t="shared" si="17"/>
        <v>#N/A</v>
      </c>
      <c r="M93" s="4" t="e">
        <f t="shared" si="18"/>
        <v>#N/A</v>
      </c>
      <c r="N93" s="4" t="e">
        <f t="shared" si="19"/>
        <v>#N/A</v>
      </c>
      <c r="O93" s="4" t="str">
        <f t="shared" si="16"/>
        <v/>
      </c>
    </row>
    <row r="94" spans="1:15" x14ac:dyDescent="0.3">
      <c r="A94" t="s">
        <v>242</v>
      </c>
      <c r="B94" t="s">
        <v>279</v>
      </c>
      <c r="C94" s="26" t="s">
        <v>280</v>
      </c>
      <c r="D94" s="47" t="s">
        <v>281</v>
      </c>
      <c r="E94" s="47" t="s">
        <v>608</v>
      </c>
      <c r="F94">
        <v>63</v>
      </c>
      <c r="G94" t="s">
        <v>686</v>
      </c>
      <c r="H94" s="47">
        <f t="shared" si="12"/>
        <v>0</v>
      </c>
      <c r="I94" s="47">
        <f t="shared" si="13"/>
        <v>0</v>
      </c>
      <c r="J94" s="47">
        <f t="shared" si="14"/>
        <v>0</v>
      </c>
      <c r="K94" s="47" t="str">
        <f t="shared" si="15"/>
        <v/>
      </c>
      <c r="L94" s="4" t="e">
        <f t="shared" si="17"/>
        <v>#N/A</v>
      </c>
      <c r="M94" s="4" t="e">
        <f t="shared" si="18"/>
        <v>#N/A</v>
      </c>
      <c r="N94" s="4" t="e">
        <f t="shared" si="19"/>
        <v>#N/A</v>
      </c>
      <c r="O94" s="4" t="str">
        <f t="shared" si="16"/>
        <v/>
      </c>
    </row>
    <row r="95" spans="1:15" x14ac:dyDescent="0.3">
      <c r="A95" t="s">
        <v>242</v>
      </c>
      <c r="B95" t="s">
        <v>282</v>
      </c>
      <c r="C95" s="26" t="s">
        <v>283</v>
      </c>
      <c r="D95" s="47" t="s">
        <v>284</v>
      </c>
      <c r="E95" s="47" t="s">
        <v>608</v>
      </c>
      <c r="F95">
        <v>63</v>
      </c>
      <c r="G95" t="s">
        <v>685</v>
      </c>
      <c r="H95" s="47">
        <f t="shared" si="12"/>
        <v>0</v>
      </c>
      <c r="I95" s="47">
        <f t="shared" si="13"/>
        <v>0</v>
      </c>
      <c r="J95" s="47">
        <f t="shared" si="14"/>
        <v>0</v>
      </c>
      <c r="K95" s="47" t="str">
        <f t="shared" si="15"/>
        <v/>
      </c>
      <c r="L95" s="4" t="e">
        <f t="shared" si="17"/>
        <v>#N/A</v>
      </c>
      <c r="M95" s="4" t="e">
        <f t="shared" si="18"/>
        <v>#N/A</v>
      </c>
      <c r="N95" s="4" t="e">
        <f t="shared" si="19"/>
        <v>#N/A</v>
      </c>
      <c r="O95" s="4" t="str">
        <f t="shared" si="16"/>
        <v/>
      </c>
    </row>
    <row r="96" spans="1:15" x14ac:dyDescent="0.3">
      <c r="A96" t="s">
        <v>242</v>
      </c>
      <c r="B96" t="s">
        <v>258</v>
      </c>
      <c r="C96" s="26" t="s">
        <v>259</v>
      </c>
      <c r="D96" s="47" t="s">
        <v>260</v>
      </c>
      <c r="E96" s="47" t="s">
        <v>608</v>
      </c>
      <c r="F96">
        <v>63</v>
      </c>
      <c r="G96" t="s">
        <v>752</v>
      </c>
      <c r="H96" s="47">
        <f t="shared" si="12"/>
        <v>0</v>
      </c>
      <c r="I96" s="47">
        <f t="shared" si="13"/>
        <v>0</v>
      </c>
      <c r="J96" s="47">
        <f t="shared" si="14"/>
        <v>0</v>
      </c>
      <c r="K96" s="47" t="str">
        <f t="shared" si="15"/>
        <v/>
      </c>
      <c r="L96" s="4" t="e">
        <f t="shared" si="17"/>
        <v>#N/A</v>
      </c>
      <c r="M96" s="4" t="e">
        <f t="shared" si="18"/>
        <v>#N/A</v>
      </c>
      <c r="N96" s="4" t="e">
        <f t="shared" si="19"/>
        <v>#N/A</v>
      </c>
      <c r="O96" s="4" t="str">
        <f t="shared" si="16"/>
        <v/>
      </c>
    </row>
    <row r="97" spans="1:15" x14ac:dyDescent="0.3">
      <c r="A97" t="s">
        <v>242</v>
      </c>
      <c r="B97" t="s">
        <v>285</v>
      </c>
      <c r="C97" s="26" t="s">
        <v>286</v>
      </c>
      <c r="D97" s="47" t="s">
        <v>287</v>
      </c>
      <c r="E97" s="47" t="s">
        <v>608</v>
      </c>
      <c r="F97">
        <v>63</v>
      </c>
      <c r="G97" t="s">
        <v>685</v>
      </c>
      <c r="H97" s="47">
        <f t="shared" si="12"/>
        <v>0</v>
      </c>
      <c r="I97" s="47">
        <f t="shared" si="13"/>
        <v>0</v>
      </c>
      <c r="J97" s="47">
        <f t="shared" si="14"/>
        <v>0</v>
      </c>
      <c r="K97" s="47" t="str">
        <f t="shared" si="15"/>
        <v/>
      </c>
      <c r="L97" s="4" t="e">
        <f t="shared" si="17"/>
        <v>#N/A</v>
      </c>
      <c r="M97" s="4" t="e">
        <f t="shared" si="18"/>
        <v>#N/A</v>
      </c>
      <c r="N97" s="4" t="e">
        <f t="shared" si="19"/>
        <v>#N/A</v>
      </c>
      <c r="O97" s="4" t="str">
        <f t="shared" si="16"/>
        <v/>
      </c>
    </row>
    <row r="98" spans="1:15" x14ac:dyDescent="0.3">
      <c r="A98" t="s">
        <v>242</v>
      </c>
      <c r="B98" t="s">
        <v>246</v>
      </c>
      <c r="C98" s="26" t="s">
        <v>247</v>
      </c>
      <c r="D98" s="47" t="s">
        <v>248</v>
      </c>
      <c r="E98" s="47" t="s">
        <v>608</v>
      </c>
      <c r="F98">
        <v>44</v>
      </c>
      <c r="G98" t="s">
        <v>753</v>
      </c>
      <c r="H98" s="47">
        <f t="shared" si="12"/>
        <v>0</v>
      </c>
      <c r="I98" s="47">
        <f t="shared" si="13"/>
        <v>0</v>
      </c>
      <c r="J98" s="47">
        <f t="shared" si="14"/>
        <v>0</v>
      </c>
      <c r="K98" s="47" t="str">
        <f t="shared" si="15"/>
        <v/>
      </c>
      <c r="L98" s="4" t="e">
        <f t="shared" si="17"/>
        <v>#N/A</v>
      </c>
      <c r="M98" s="4" t="e">
        <f t="shared" si="18"/>
        <v>#N/A</v>
      </c>
      <c r="N98" s="4" t="e">
        <f t="shared" si="19"/>
        <v>#N/A</v>
      </c>
      <c r="O98" s="4" t="str">
        <f t="shared" ref="O98:O129" si="20">IF(ISBLANK(structure_e6),"",VLOOKUP(K98,elements_lookup,2,0))</f>
        <v/>
      </c>
    </row>
    <row r="99" spans="1:15" x14ac:dyDescent="0.3">
      <c r="A99" t="s">
        <v>242</v>
      </c>
      <c r="B99" t="s">
        <v>249</v>
      </c>
      <c r="C99" s="26" t="s">
        <v>247</v>
      </c>
      <c r="D99" s="47" t="s">
        <v>250</v>
      </c>
      <c r="E99" s="47" t="s">
        <v>608</v>
      </c>
      <c r="F99">
        <v>44</v>
      </c>
      <c r="G99" t="s">
        <v>753</v>
      </c>
      <c r="H99" s="47">
        <f t="shared" si="12"/>
        <v>0</v>
      </c>
      <c r="I99" s="47">
        <f t="shared" si="13"/>
        <v>0</v>
      </c>
      <c r="J99" s="47">
        <f t="shared" si="14"/>
        <v>0</v>
      </c>
      <c r="K99" s="47" t="str">
        <f t="shared" si="15"/>
        <v/>
      </c>
      <c r="L99" s="4" t="e">
        <f t="shared" si="17"/>
        <v>#N/A</v>
      </c>
      <c r="M99" s="4" t="e">
        <f t="shared" si="18"/>
        <v>#N/A</v>
      </c>
      <c r="N99" s="4" t="e">
        <f t="shared" si="19"/>
        <v>#N/A</v>
      </c>
      <c r="O99" s="4" t="str">
        <f t="shared" si="20"/>
        <v/>
      </c>
    </row>
    <row r="100" spans="1:15" x14ac:dyDescent="0.3">
      <c r="A100" t="s">
        <v>242</v>
      </c>
      <c r="B100" t="s">
        <v>251</v>
      </c>
      <c r="C100" s="26" t="s">
        <v>252</v>
      </c>
      <c r="D100" s="47" t="s">
        <v>253</v>
      </c>
      <c r="E100" s="47" t="s">
        <v>608</v>
      </c>
      <c r="F100">
        <v>44</v>
      </c>
      <c r="G100" t="s">
        <v>753</v>
      </c>
      <c r="H100" s="47">
        <f t="shared" si="12"/>
        <v>0</v>
      </c>
      <c r="I100" s="47">
        <f t="shared" si="13"/>
        <v>0</v>
      </c>
      <c r="J100" s="47">
        <f t="shared" si="14"/>
        <v>0</v>
      </c>
      <c r="K100" s="47" t="str">
        <f t="shared" si="15"/>
        <v/>
      </c>
      <c r="L100" s="4" t="e">
        <f t="shared" si="17"/>
        <v>#N/A</v>
      </c>
      <c r="M100" s="4" t="e">
        <f t="shared" si="18"/>
        <v>#N/A</v>
      </c>
      <c r="N100" s="4" t="e">
        <f t="shared" si="19"/>
        <v>#N/A</v>
      </c>
      <c r="O100" s="4" t="str">
        <f t="shared" si="20"/>
        <v/>
      </c>
    </row>
    <row r="101" spans="1:15" x14ac:dyDescent="0.3">
      <c r="A101" t="s">
        <v>242</v>
      </c>
      <c r="B101" t="s">
        <v>254</v>
      </c>
      <c r="C101" s="26" t="s">
        <v>252</v>
      </c>
      <c r="D101" s="47" t="s">
        <v>255</v>
      </c>
      <c r="E101" s="47" t="s">
        <v>608</v>
      </c>
      <c r="F101">
        <v>44</v>
      </c>
      <c r="G101" t="s">
        <v>753</v>
      </c>
      <c r="H101" s="47">
        <f t="shared" si="12"/>
        <v>0</v>
      </c>
      <c r="I101" s="47">
        <f t="shared" si="13"/>
        <v>0</v>
      </c>
      <c r="J101" s="47">
        <f t="shared" si="14"/>
        <v>0</v>
      </c>
      <c r="K101" s="47" t="str">
        <f t="shared" si="15"/>
        <v/>
      </c>
      <c r="L101" s="4" t="e">
        <f t="shared" si="17"/>
        <v>#N/A</v>
      </c>
      <c r="M101" s="4" t="e">
        <f t="shared" si="18"/>
        <v>#N/A</v>
      </c>
      <c r="N101" s="4" t="e">
        <f t="shared" si="19"/>
        <v>#N/A</v>
      </c>
      <c r="O101" s="4" t="str">
        <f t="shared" si="20"/>
        <v/>
      </c>
    </row>
    <row r="102" spans="1:15" x14ac:dyDescent="0.3">
      <c r="A102" t="s">
        <v>242</v>
      </c>
      <c r="B102" t="s">
        <v>256</v>
      </c>
      <c r="C102" s="26" t="s">
        <v>252</v>
      </c>
      <c r="D102" s="47" t="s">
        <v>257</v>
      </c>
      <c r="E102" s="47" t="s">
        <v>608</v>
      </c>
      <c r="F102">
        <v>44</v>
      </c>
      <c r="G102" t="s">
        <v>753</v>
      </c>
      <c r="H102" s="47">
        <f t="shared" si="12"/>
        <v>0</v>
      </c>
      <c r="I102" s="47">
        <f t="shared" si="13"/>
        <v>0</v>
      </c>
      <c r="J102" s="47">
        <f t="shared" si="14"/>
        <v>0</v>
      </c>
      <c r="K102" s="47" t="str">
        <f t="shared" si="15"/>
        <v/>
      </c>
      <c r="L102" s="4" t="e">
        <f t="shared" si="17"/>
        <v>#N/A</v>
      </c>
      <c r="M102" s="4" t="e">
        <f t="shared" si="18"/>
        <v>#N/A</v>
      </c>
      <c r="N102" s="4" t="e">
        <f t="shared" si="19"/>
        <v>#N/A</v>
      </c>
      <c r="O102" s="4" t="str">
        <f t="shared" si="20"/>
        <v/>
      </c>
    </row>
    <row r="103" spans="1:15" x14ac:dyDescent="0.3">
      <c r="A103" t="s">
        <v>242</v>
      </c>
      <c r="B103" t="s">
        <v>243</v>
      </c>
      <c r="C103" s="26" t="s">
        <v>244</v>
      </c>
      <c r="D103" s="47" t="s">
        <v>245</v>
      </c>
      <c r="E103" s="47" t="s">
        <v>608</v>
      </c>
      <c r="F103">
        <v>44</v>
      </c>
      <c r="G103" t="s">
        <v>753</v>
      </c>
      <c r="H103" s="47">
        <f t="shared" si="12"/>
        <v>0</v>
      </c>
      <c r="I103" s="47">
        <f t="shared" si="13"/>
        <v>0</v>
      </c>
      <c r="J103" s="47">
        <f t="shared" si="14"/>
        <v>0</v>
      </c>
      <c r="K103" s="47" t="str">
        <f t="shared" si="15"/>
        <v/>
      </c>
      <c r="L103" s="4" t="e">
        <f t="shared" si="17"/>
        <v>#N/A</v>
      </c>
      <c r="M103" s="4" t="e">
        <f t="shared" si="18"/>
        <v>#N/A</v>
      </c>
      <c r="N103" s="4" t="e">
        <f t="shared" si="19"/>
        <v>#N/A</v>
      </c>
      <c r="O103" s="4" t="str">
        <f t="shared" si="20"/>
        <v/>
      </c>
    </row>
    <row r="104" spans="1:15" x14ac:dyDescent="0.3">
      <c r="A104" t="s">
        <v>242</v>
      </c>
      <c r="B104" t="s">
        <v>290</v>
      </c>
      <c r="C104" s="26" t="s">
        <v>291</v>
      </c>
      <c r="D104" s="47" t="s">
        <v>292</v>
      </c>
      <c r="E104" s="47" t="s">
        <v>608</v>
      </c>
      <c r="F104">
        <v>63</v>
      </c>
      <c r="G104" t="s">
        <v>688</v>
      </c>
      <c r="H104" s="47">
        <f t="shared" si="12"/>
        <v>0</v>
      </c>
      <c r="I104" s="47">
        <f t="shared" si="13"/>
        <v>0</v>
      </c>
      <c r="J104" s="47">
        <f t="shared" si="14"/>
        <v>0</v>
      </c>
      <c r="K104" s="47" t="str">
        <f t="shared" si="15"/>
        <v/>
      </c>
      <c r="L104" s="4" t="e">
        <f t="shared" si="17"/>
        <v>#N/A</v>
      </c>
      <c r="M104" s="4" t="e">
        <f t="shared" si="18"/>
        <v>#N/A</v>
      </c>
      <c r="N104" s="4" t="e">
        <f t="shared" si="19"/>
        <v>#N/A</v>
      </c>
      <c r="O104" s="4" t="str">
        <f t="shared" si="20"/>
        <v/>
      </c>
    </row>
    <row r="105" spans="1:15" x14ac:dyDescent="0.3">
      <c r="A105" t="s">
        <v>242</v>
      </c>
      <c r="B105" t="s">
        <v>264</v>
      </c>
      <c r="C105" s="26" t="s">
        <v>265</v>
      </c>
      <c r="D105" s="47" t="s">
        <v>266</v>
      </c>
      <c r="E105" s="47" t="s">
        <v>608</v>
      </c>
      <c r="F105">
        <v>63</v>
      </c>
      <c r="G105" t="s">
        <v>685</v>
      </c>
      <c r="H105" s="47">
        <f t="shared" si="12"/>
        <v>0</v>
      </c>
      <c r="I105" s="47">
        <f t="shared" si="13"/>
        <v>0</v>
      </c>
      <c r="J105" s="47">
        <f t="shared" si="14"/>
        <v>0</v>
      </c>
      <c r="K105" s="47" t="str">
        <f t="shared" si="15"/>
        <v/>
      </c>
      <c r="L105" s="4" t="e">
        <f t="shared" si="17"/>
        <v>#N/A</v>
      </c>
      <c r="M105" s="4" t="e">
        <f t="shared" si="18"/>
        <v>#N/A</v>
      </c>
      <c r="N105" s="4" t="e">
        <f t="shared" si="19"/>
        <v>#N/A</v>
      </c>
      <c r="O105" s="4" t="str">
        <f t="shared" si="20"/>
        <v/>
      </c>
    </row>
    <row r="106" spans="1:15" x14ac:dyDescent="0.3">
      <c r="A106" t="s">
        <v>242</v>
      </c>
      <c r="B106" t="s">
        <v>267</v>
      </c>
      <c r="C106" s="26" t="s">
        <v>268</v>
      </c>
      <c r="D106" s="47" t="s">
        <v>269</v>
      </c>
      <c r="E106" s="47" t="s">
        <v>608</v>
      </c>
      <c r="F106">
        <v>128</v>
      </c>
      <c r="G106" t="s">
        <v>686</v>
      </c>
      <c r="H106" s="47">
        <f t="shared" si="12"/>
        <v>0</v>
      </c>
      <c r="I106" s="47">
        <f t="shared" si="13"/>
        <v>0</v>
      </c>
      <c r="J106" s="47">
        <f t="shared" si="14"/>
        <v>0</v>
      </c>
      <c r="K106" s="47" t="str">
        <f t="shared" si="15"/>
        <v/>
      </c>
      <c r="L106" s="4" t="e">
        <f t="shared" si="17"/>
        <v>#N/A</v>
      </c>
      <c r="M106" s="4" t="e">
        <f t="shared" si="18"/>
        <v>#N/A</v>
      </c>
      <c r="N106" s="4" t="e">
        <f t="shared" si="19"/>
        <v>#N/A</v>
      </c>
      <c r="O106" s="4" t="str">
        <f t="shared" si="20"/>
        <v/>
      </c>
    </row>
    <row r="107" spans="1:15" x14ac:dyDescent="0.3">
      <c r="A107" t="s">
        <v>242</v>
      </c>
      <c r="B107" t="s">
        <v>288</v>
      </c>
      <c r="C107" s="26" t="s">
        <v>268</v>
      </c>
      <c r="D107" s="47" t="s">
        <v>289</v>
      </c>
      <c r="E107" s="47" t="s">
        <v>608</v>
      </c>
      <c r="F107">
        <v>128</v>
      </c>
      <c r="G107" t="s">
        <v>686</v>
      </c>
      <c r="H107" s="47">
        <f t="shared" si="12"/>
        <v>0</v>
      </c>
      <c r="I107" s="47">
        <f t="shared" si="13"/>
        <v>0</v>
      </c>
      <c r="J107" s="47">
        <f t="shared" si="14"/>
        <v>0</v>
      </c>
      <c r="K107" s="47" t="str">
        <f t="shared" si="15"/>
        <v/>
      </c>
      <c r="L107" s="4" t="e">
        <f t="shared" si="17"/>
        <v>#N/A</v>
      </c>
      <c r="M107" s="4" t="e">
        <f t="shared" si="18"/>
        <v>#N/A</v>
      </c>
      <c r="N107" s="4" t="e">
        <f t="shared" si="19"/>
        <v>#N/A</v>
      </c>
      <c r="O107" s="4" t="str">
        <f t="shared" si="20"/>
        <v/>
      </c>
    </row>
    <row r="108" spans="1:15" x14ac:dyDescent="0.3">
      <c r="A108" t="s">
        <v>242</v>
      </c>
      <c r="B108" t="s">
        <v>273</v>
      </c>
      <c r="C108" s="26" t="s">
        <v>274</v>
      </c>
      <c r="D108" s="47" t="s">
        <v>275</v>
      </c>
      <c r="E108" s="47" t="s">
        <v>608</v>
      </c>
      <c r="F108">
        <v>128</v>
      </c>
      <c r="G108" t="s">
        <v>690</v>
      </c>
      <c r="H108" s="47">
        <f t="shared" si="12"/>
        <v>0</v>
      </c>
      <c r="I108" s="47">
        <f t="shared" si="13"/>
        <v>0</v>
      </c>
      <c r="J108" s="47">
        <f t="shared" si="14"/>
        <v>0</v>
      </c>
      <c r="K108" s="47" t="str">
        <f t="shared" si="15"/>
        <v/>
      </c>
      <c r="L108" s="4" t="e">
        <f t="shared" si="17"/>
        <v>#N/A</v>
      </c>
      <c r="M108" s="4" t="e">
        <f t="shared" si="18"/>
        <v>#N/A</v>
      </c>
      <c r="N108" s="4" t="e">
        <f t="shared" si="19"/>
        <v>#N/A</v>
      </c>
      <c r="O108" s="4" t="str">
        <f t="shared" si="20"/>
        <v/>
      </c>
    </row>
    <row r="109" spans="1:15" x14ac:dyDescent="0.3">
      <c r="A109" t="s">
        <v>242</v>
      </c>
      <c r="B109" t="s">
        <v>270</v>
      </c>
      <c r="C109" s="26" t="s">
        <v>271</v>
      </c>
      <c r="D109" s="47" t="s">
        <v>272</v>
      </c>
      <c r="E109" s="47" t="s">
        <v>608</v>
      </c>
      <c r="G109" t="s">
        <v>691</v>
      </c>
      <c r="H109" s="47">
        <f t="shared" si="12"/>
        <v>0</v>
      </c>
      <c r="I109" s="47">
        <f t="shared" si="13"/>
        <v>0</v>
      </c>
      <c r="J109" s="47">
        <f t="shared" si="14"/>
        <v>0</v>
      </c>
      <c r="K109" s="47" t="str">
        <f t="shared" si="15"/>
        <v/>
      </c>
      <c r="L109" s="4" t="e">
        <f t="shared" si="17"/>
        <v>#N/A</v>
      </c>
      <c r="M109" s="4" t="e">
        <f t="shared" si="18"/>
        <v>#N/A</v>
      </c>
      <c r="N109" s="4" t="e">
        <f t="shared" si="19"/>
        <v>#N/A</v>
      </c>
      <c r="O109" s="4" t="str">
        <f t="shared" si="20"/>
        <v/>
      </c>
    </row>
    <row r="110" spans="1:15" x14ac:dyDescent="0.3">
      <c r="A110" t="s">
        <v>293</v>
      </c>
      <c r="B110" t="s">
        <v>294</v>
      </c>
      <c r="C110" s="26" t="s">
        <v>295</v>
      </c>
      <c r="D110" s="47" t="s">
        <v>296</v>
      </c>
      <c r="E110" s="47" t="s">
        <v>608</v>
      </c>
      <c r="F110">
        <v>50</v>
      </c>
      <c r="G110" t="s">
        <v>755</v>
      </c>
      <c r="H110" s="47">
        <f t="shared" si="12"/>
        <v>0</v>
      </c>
      <c r="I110" s="47">
        <f t="shared" si="13"/>
        <v>0</v>
      </c>
      <c r="J110" s="47">
        <f t="shared" si="14"/>
        <v>0</v>
      </c>
      <c r="K110" s="47" t="str">
        <f t="shared" si="15"/>
        <v/>
      </c>
      <c r="L110" s="4" t="e">
        <f t="shared" si="17"/>
        <v>#N/A</v>
      </c>
      <c r="M110" s="4" t="e">
        <f t="shared" si="18"/>
        <v>#N/A</v>
      </c>
      <c r="N110" s="4" t="e">
        <f t="shared" si="19"/>
        <v>#N/A</v>
      </c>
      <c r="O110" s="4" t="str">
        <f t="shared" si="20"/>
        <v/>
      </c>
    </row>
    <row r="111" spans="1:15" x14ac:dyDescent="0.3">
      <c r="A111" t="s">
        <v>293</v>
      </c>
      <c r="B111" t="s">
        <v>297</v>
      </c>
      <c r="C111" s="26" t="s">
        <v>298</v>
      </c>
      <c r="D111" s="47" t="s">
        <v>299</v>
      </c>
      <c r="E111" s="47" t="s">
        <v>608</v>
      </c>
      <c r="F111">
        <v>98</v>
      </c>
      <c r="G111" t="s">
        <v>689</v>
      </c>
      <c r="H111" s="47">
        <f t="shared" si="12"/>
        <v>0</v>
      </c>
      <c r="I111" s="47">
        <f t="shared" si="13"/>
        <v>0</v>
      </c>
      <c r="J111" s="47">
        <f t="shared" si="14"/>
        <v>0</v>
      </c>
      <c r="K111" s="47" t="str">
        <f t="shared" si="15"/>
        <v/>
      </c>
      <c r="L111" s="4" t="e">
        <f t="shared" si="17"/>
        <v>#N/A</v>
      </c>
      <c r="M111" s="4" t="e">
        <f t="shared" si="18"/>
        <v>#N/A</v>
      </c>
      <c r="N111" s="4" t="e">
        <f t="shared" si="19"/>
        <v>#N/A</v>
      </c>
      <c r="O111" s="4" t="str">
        <f t="shared" si="20"/>
        <v/>
      </c>
    </row>
    <row r="112" spans="1:15" x14ac:dyDescent="0.3">
      <c r="A112" t="s">
        <v>293</v>
      </c>
      <c r="B112" t="s">
        <v>300</v>
      </c>
      <c r="C112" s="26" t="s">
        <v>301</v>
      </c>
      <c r="D112" s="47" t="s">
        <v>302</v>
      </c>
      <c r="E112" s="47" t="s">
        <v>608</v>
      </c>
      <c r="F112">
        <v>63</v>
      </c>
      <c r="G112" t="s">
        <v>754</v>
      </c>
      <c r="H112" s="47">
        <f t="shared" si="12"/>
        <v>0</v>
      </c>
      <c r="I112" s="47">
        <f t="shared" si="13"/>
        <v>0</v>
      </c>
      <c r="J112" s="47">
        <f t="shared" si="14"/>
        <v>0</v>
      </c>
      <c r="K112" s="47" t="str">
        <f t="shared" si="15"/>
        <v/>
      </c>
      <c r="L112" s="4" t="e">
        <f t="shared" si="17"/>
        <v>#N/A</v>
      </c>
      <c r="M112" s="4" t="e">
        <f t="shared" si="18"/>
        <v>#N/A</v>
      </c>
      <c r="N112" s="4" t="e">
        <f t="shared" si="19"/>
        <v>#N/A</v>
      </c>
      <c r="O112" s="4" t="str">
        <f t="shared" si="20"/>
        <v/>
      </c>
    </row>
    <row r="113" spans="1:15" x14ac:dyDescent="0.3">
      <c r="A113" t="s">
        <v>293</v>
      </c>
      <c r="B113" t="s">
        <v>303</v>
      </c>
      <c r="C113" s="26" t="s">
        <v>304</v>
      </c>
      <c r="D113" s="47" t="s">
        <v>305</v>
      </c>
      <c r="E113" s="47" t="s">
        <v>608</v>
      </c>
      <c r="F113">
        <v>63</v>
      </c>
      <c r="G113" t="s">
        <v>754</v>
      </c>
      <c r="H113" s="47">
        <f t="shared" si="12"/>
        <v>0</v>
      </c>
      <c r="I113" s="47">
        <f t="shared" si="13"/>
        <v>0</v>
      </c>
      <c r="J113" s="47">
        <f t="shared" si="14"/>
        <v>0</v>
      </c>
      <c r="K113" s="47" t="str">
        <f t="shared" si="15"/>
        <v/>
      </c>
      <c r="L113" s="4" t="e">
        <f t="shared" si="17"/>
        <v>#N/A</v>
      </c>
      <c r="M113" s="4" t="e">
        <f t="shared" si="18"/>
        <v>#N/A</v>
      </c>
      <c r="N113" s="4" t="e">
        <f t="shared" si="19"/>
        <v>#N/A</v>
      </c>
      <c r="O113" s="4" t="str">
        <f t="shared" si="20"/>
        <v/>
      </c>
    </row>
    <row r="114" spans="1:15" x14ac:dyDescent="0.3">
      <c r="A114" t="s">
        <v>306</v>
      </c>
      <c r="B114" t="s">
        <v>307</v>
      </c>
      <c r="C114" s="26" t="s">
        <v>308</v>
      </c>
      <c r="D114" s="47" t="s">
        <v>309</v>
      </c>
      <c r="E114" s="47" t="s">
        <v>608</v>
      </c>
      <c r="G114" t="s">
        <v>754</v>
      </c>
      <c r="H114" s="47">
        <f t="shared" si="12"/>
        <v>0</v>
      </c>
      <c r="I114" s="47">
        <f t="shared" si="13"/>
        <v>0</v>
      </c>
      <c r="J114" s="47">
        <f t="shared" si="14"/>
        <v>0</v>
      </c>
      <c r="K114" s="47" t="str">
        <f t="shared" si="15"/>
        <v/>
      </c>
      <c r="L114" s="4" t="e">
        <f t="shared" si="17"/>
        <v>#N/A</v>
      </c>
      <c r="M114" s="4" t="e">
        <f t="shared" si="18"/>
        <v>#N/A</v>
      </c>
      <c r="N114" s="4" t="e">
        <f t="shared" si="19"/>
        <v>#N/A</v>
      </c>
      <c r="O114" s="4" t="str">
        <f t="shared" si="20"/>
        <v/>
      </c>
    </row>
    <row r="115" spans="1:15" x14ac:dyDescent="0.3">
      <c r="A115" t="s">
        <v>310</v>
      </c>
      <c r="B115" t="s">
        <v>311</v>
      </c>
      <c r="C115" s="26" t="s">
        <v>312</v>
      </c>
      <c r="D115" s="47" t="s">
        <v>313</v>
      </c>
      <c r="E115" s="47" t="s">
        <v>608</v>
      </c>
      <c r="F115">
        <v>50</v>
      </c>
      <c r="G115" t="s">
        <v>692</v>
      </c>
      <c r="H115" s="47">
        <f t="shared" si="12"/>
        <v>0</v>
      </c>
      <c r="I115" s="47">
        <f t="shared" si="13"/>
        <v>0</v>
      </c>
      <c r="J115" s="47">
        <f t="shared" si="14"/>
        <v>0</v>
      </c>
      <c r="K115" s="47" t="str">
        <f t="shared" si="15"/>
        <v/>
      </c>
      <c r="L115" s="4" t="e">
        <f t="shared" si="17"/>
        <v>#N/A</v>
      </c>
      <c r="M115" s="4" t="e">
        <f t="shared" si="18"/>
        <v>#N/A</v>
      </c>
      <c r="N115" s="4" t="e">
        <f t="shared" si="19"/>
        <v>#N/A</v>
      </c>
      <c r="O115" s="4" t="str">
        <f t="shared" si="20"/>
        <v/>
      </c>
    </row>
    <row r="116" spans="1:15" x14ac:dyDescent="0.3">
      <c r="A116" t="s">
        <v>310</v>
      </c>
      <c r="B116" t="s">
        <v>314</v>
      </c>
      <c r="C116" s="26" t="s">
        <v>315</v>
      </c>
      <c r="D116" s="47" t="s">
        <v>316</v>
      </c>
      <c r="E116" s="47" t="s">
        <v>608</v>
      </c>
      <c r="F116">
        <v>80</v>
      </c>
      <c r="G116" t="s">
        <v>689</v>
      </c>
      <c r="H116" s="47">
        <f t="shared" si="12"/>
        <v>0</v>
      </c>
      <c r="I116" s="47">
        <f t="shared" si="13"/>
        <v>0</v>
      </c>
      <c r="J116" s="47">
        <f t="shared" si="14"/>
        <v>0</v>
      </c>
      <c r="K116" s="47" t="str">
        <f t="shared" si="15"/>
        <v/>
      </c>
      <c r="L116" s="4" t="e">
        <f t="shared" si="17"/>
        <v>#N/A</v>
      </c>
      <c r="M116" s="4" t="e">
        <f t="shared" si="18"/>
        <v>#N/A</v>
      </c>
      <c r="N116" s="4" t="e">
        <f t="shared" si="19"/>
        <v>#N/A</v>
      </c>
      <c r="O116" s="4" t="str">
        <f t="shared" si="20"/>
        <v/>
      </c>
    </row>
    <row r="117" spans="1:15" x14ac:dyDescent="0.3">
      <c r="A117" t="s">
        <v>310</v>
      </c>
      <c r="B117" t="s">
        <v>317</v>
      </c>
      <c r="C117" s="26" t="s">
        <v>318</v>
      </c>
      <c r="D117" s="47" t="s">
        <v>319</v>
      </c>
      <c r="E117" s="47" t="s">
        <v>608</v>
      </c>
      <c r="F117">
        <v>43</v>
      </c>
      <c r="G117" t="s">
        <v>693</v>
      </c>
      <c r="H117" s="47">
        <f t="shared" si="12"/>
        <v>0</v>
      </c>
      <c r="I117" s="47">
        <f t="shared" si="13"/>
        <v>0</v>
      </c>
      <c r="J117" s="47">
        <f t="shared" si="14"/>
        <v>0</v>
      </c>
      <c r="K117" s="47" t="str">
        <f t="shared" si="15"/>
        <v/>
      </c>
      <c r="L117" s="4" t="e">
        <f t="shared" si="17"/>
        <v>#N/A</v>
      </c>
      <c r="M117" s="4" t="e">
        <f t="shared" si="18"/>
        <v>#N/A</v>
      </c>
      <c r="N117" s="4" t="e">
        <f t="shared" si="19"/>
        <v>#N/A</v>
      </c>
      <c r="O117" s="4" t="str">
        <f t="shared" si="20"/>
        <v/>
      </c>
    </row>
    <row r="118" spans="1:15" x14ac:dyDescent="0.3">
      <c r="A118" t="s">
        <v>310</v>
      </c>
      <c r="B118" t="s">
        <v>320</v>
      </c>
      <c r="C118" s="26" t="s">
        <v>321</v>
      </c>
      <c r="D118" s="47" t="s">
        <v>322</v>
      </c>
      <c r="E118" s="47" t="s">
        <v>608</v>
      </c>
      <c r="F118">
        <v>50</v>
      </c>
      <c r="G118" t="s">
        <v>694</v>
      </c>
      <c r="H118" s="47">
        <f t="shared" si="12"/>
        <v>0</v>
      </c>
      <c r="I118" s="47">
        <f t="shared" si="13"/>
        <v>0</v>
      </c>
      <c r="J118" s="47">
        <f t="shared" si="14"/>
        <v>0</v>
      </c>
      <c r="K118" s="47" t="str">
        <f t="shared" si="15"/>
        <v/>
      </c>
      <c r="L118" s="4" t="e">
        <f t="shared" si="17"/>
        <v>#N/A</v>
      </c>
      <c r="M118" s="4" t="e">
        <f t="shared" si="18"/>
        <v>#N/A</v>
      </c>
      <c r="N118" s="4" t="e">
        <f t="shared" si="19"/>
        <v>#N/A</v>
      </c>
      <c r="O118" s="4" t="str">
        <f t="shared" si="20"/>
        <v/>
      </c>
    </row>
    <row r="119" spans="1:15" x14ac:dyDescent="0.3">
      <c r="A119" t="s">
        <v>310</v>
      </c>
      <c r="B119" t="s">
        <v>323</v>
      </c>
      <c r="C119" s="26" t="s">
        <v>324</v>
      </c>
      <c r="D119" s="47" t="s">
        <v>325</v>
      </c>
      <c r="E119" s="47" t="s">
        <v>608</v>
      </c>
      <c r="F119">
        <v>260</v>
      </c>
      <c r="G119" t="s">
        <v>695</v>
      </c>
      <c r="H119" s="47">
        <f t="shared" si="12"/>
        <v>0</v>
      </c>
      <c r="I119" s="47">
        <f t="shared" si="13"/>
        <v>0</v>
      </c>
      <c r="J119" s="47">
        <f t="shared" si="14"/>
        <v>0</v>
      </c>
      <c r="K119" s="47" t="str">
        <f t="shared" si="15"/>
        <v/>
      </c>
      <c r="L119" s="4" t="e">
        <f t="shared" si="17"/>
        <v>#N/A</v>
      </c>
      <c r="M119" s="4" t="e">
        <f t="shared" si="18"/>
        <v>#N/A</v>
      </c>
      <c r="N119" s="4" t="e">
        <f t="shared" si="19"/>
        <v>#N/A</v>
      </c>
      <c r="O119" s="4" t="str">
        <f t="shared" si="20"/>
        <v/>
      </c>
    </row>
    <row r="120" spans="1:15" x14ac:dyDescent="0.3">
      <c r="A120" t="s">
        <v>310</v>
      </c>
      <c r="B120" t="s">
        <v>326</v>
      </c>
      <c r="C120" s="26" t="s">
        <v>327</v>
      </c>
      <c r="D120" s="47" t="s">
        <v>328</v>
      </c>
      <c r="E120" s="47" t="s">
        <v>608</v>
      </c>
      <c r="F120">
        <v>260</v>
      </c>
      <c r="G120" t="s">
        <v>696</v>
      </c>
      <c r="H120" s="47">
        <f t="shared" si="12"/>
        <v>0</v>
      </c>
      <c r="I120" s="47">
        <f t="shared" si="13"/>
        <v>0</v>
      </c>
      <c r="J120" s="47">
        <f t="shared" si="14"/>
        <v>0</v>
      </c>
      <c r="K120" s="47" t="str">
        <f t="shared" si="15"/>
        <v/>
      </c>
      <c r="L120" s="4" t="e">
        <f t="shared" si="17"/>
        <v>#N/A</v>
      </c>
      <c r="M120" s="4" t="e">
        <f t="shared" si="18"/>
        <v>#N/A</v>
      </c>
      <c r="N120" s="4" t="e">
        <f t="shared" si="19"/>
        <v>#N/A</v>
      </c>
      <c r="O120" s="4" t="str">
        <f t="shared" si="20"/>
        <v/>
      </c>
    </row>
    <row r="121" spans="1:15" x14ac:dyDescent="0.3">
      <c r="A121" t="s">
        <v>310</v>
      </c>
      <c r="B121" t="s">
        <v>329</v>
      </c>
      <c r="C121" s="26" t="s">
        <v>330</v>
      </c>
      <c r="D121" s="47" t="s">
        <v>331</v>
      </c>
      <c r="E121" s="47" t="s">
        <v>608</v>
      </c>
      <c r="F121">
        <v>50</v>
      </c>
      <c r="G121" t="s">
        <v>700</v>
      </c>
      <c r="H121" s="47">
        <f t="shared" si="12"/>
        <v>0</v>
      </c>
      <c r="I121" s="47">
        <f t="shared" si="13"/>
        <v>0</v>
      </c>
      <c r="J121" s="47">
        <f t="shared" si="14"/>
        <v>0</v>
      </c>
      <c r="K121" s="47" t="str">
        <f t="shared" si="15"/>
        <v/>
      </c>
      <c r="L121" s="4" t="e">
        <f t="shared" si="17"/>
        <v>#N/A</v>
      </c>
      <c r="M121" s="4" t="e">
        <f t="shared" si="18"/>
        <v>#N/A</v>
      </c>
      <c r="N121" s="4" t="e">
        <f t="shared" si="19"/>
        <v>#N/A</v>
      </c>
      <c r="O121" s="4" t="str">
        <f t="shared" si="20"/>
        <v/>
      </c>
    </row>
    <row r="122" spans="1:15" x14ac:dyDescent="0.3">
      <c r="A122" t="s">
        <v>332</v>
      </c>
      <c r="B122" t="s">
        <v>347</v>
      </c>
      <c r="C122" s="26" t="s">
        <v>348</v>
      </c>
      <c r="D122" s="47" t="s">
        <v>349</v>
      </c>
      <c r="E122" s="47" t="s">
        <v>608</v>
      </c>
      <c r="F122">
        <v>260</v>
      </c>
      <c r="G122" t="s">
        <v>699</v>
      </c>
      <c r="H122" s="47">
        <f t="shared" si="12"/>
        <v>0</v>
      </c>
      <c r="I122" s="47">
        <f t="shared" si="13"/>
        <v>0</v>
      </c>
      <c r="J122" s="47">
        <f t="shared" si="14"/>
        <v>0</v>
      </c>
      <c r="K122" s="47" t="str">
        <f t="shared" si="15"/>
        <v/>
      </c>
      <c r="L122" s="4" t="e">
        <f t="shared" si="17"/>
        <v>#N/A</v>
      </c>
      <c r="M122" s="4" t="e">
        <f t="shared" si="18"/>
        <v>#N/A</v>
      </c>
      <c r="N122" s="4" t="e">
        <f t="shared" si="19"/>
        <v>#N/A</v>
      </c>
      <c r="O122" s="4" t="str">
        <f t="shared" si="20"/>
        <v/>
      </c>
    </row>
    <row r="123" spans="1:15" x14ac:dyDescent="0.3">
      <c r="A123" t="s">
        <v>332</v>
      </c>
      <c r="B123" t="s">
        <v>336</v>
      </c>
      <c r="C123" s="26" t="s">
        <v>337</v>
      </c>
      <c r="D123" s="47" t="s">
        <v>600</v>
      </c>
      <c r="E123" s="47" t="s">
        <v>612</v>
      </c>
      <c r="F123">
        <v>64</v>
      </c>
      <c r="G123" t="s">
        <v>701</v>
      </c>
      <c r="H123" s="47">
        <f t="shared" si="12"/>
        <v>0</v>
      </c>
      <c r="I123" s="47">
        <f t="shared" si="13"/>
        <v>0</v>
      </c>
      <c r="J123" s="47">
        <f t="shared" si="14"/>
        <v>0</v>
      </c>
      <c r="K123" s="47" t="str">
        <f t="shared" si="15"/>
        <v/>
      </c>
      <c r="L123" s="4" t="e">
        <f t="shared" si="17"/>
        <v>#N/A</v>
      </c>
      <c r="M123" s="4" t="e">
        <f t="shared" si="18"/>
        <v>#N/A</v>
      </c>
      <c r="N123" s="4" t="e">
        <f t="shared" si="19"/>
        <v>#N/A</v>
      </c>
      <c r="O123" s="4" t="str">
        <f t="shared" si="20"/>
        <v/>
      </c>
    </row>
    <row r="124" spans="1:15" x14ac:dyDescent="0.3">
      <c r="A124" t="s">
        <v>332</v>
      </c>
      <c r="B124" t="s">
        <v>333</v>
      </c>
      <c r="C124" s="26" t="s">
        <v>334</v>
      </c>
      <c r="D124" s="47" t="s">
        <v>335</v>
      </c>
      <c r="E124" s="47" t="s">
        <v>608</v>
      </c>
      <c r="F124">
        <v>50</v>
      </c>
      <c r="G124" t="s">
        <v>689</v>
      </c>
      <c r="H124" s="47">
        <f t="shared" si="12"/>
        <v>0</v>
      </c>
      <c r="I124" s="47">
        <f t="shared" si="13"/>
        <v>0</v>
      </c>
      <c r="J124" s="47">
        <f t="shared" si="14"/>
        <v>0</v>
      </c>
      <c r="K124" s="47" t="str">
        <f t="shared" si="15"/>
        <v/>
      </c>
      <c r="L124" s="4" t="e">
        <f t="shared" si="17"/>
        <v>#N/A</v>
      </c>
      <c r="M124" s="4" t="e">
        <f t="shared" si="18"/>
        <v>#N/A</v>
      </c>
      <c r="N124" s="4" t="e">
        <f t="shared" si="19"/>
        <v>#N/A</v>
      </c>
      <c r="O124" s="4" t="str">
        <f t="shared" si="20"/>
        <v/>
      </c>
    </row>
    <row r="125" spans="1:15" x14ac:dyDescent="0.3">
      <c r="A125" t="s">
        <v>332</v>
      </c>
      <c r="B125" t="s">
        <v>350</v>
      </c>
      <c r="C125" s="26" t="s">
        <v>351</v>
      </c>
      <c r="D125" s="47" t="s">
        <v>352</v>
      </c>
      <c r="E125" s="47" t="s">
        <v>608</v>
      </c>
      <c r="F125">
        <v>90</v>
      </c>
      <c r="G125" t="s">
        <v>756</v>
      </c>
      <c r="H125" s="47">
        <f t="shared" si="12"/>
        <v>0</v>
      </c>
      <c r="I125" s="47">
        <f t="shared" si="13"/>
        <v>0</v>
      </c>
      <c r="J125" s="47">
        <f t="shared" si="14"/>
        <v>0</v>
      </c>
      <c r="K125" s="47" t="str">
        <f t="shared" si="15"/>
        <v/>
      </c>
      <c r="L125" s="4" t="e">
        <f t="shared" si="17"/>
        <v>#N/A</v>
      </c>
      <c r="M125" s="4" t="e">
        <f t="shared" si="18"/>
        <v>#N/A</v>
      </c>
      <c r="N125" s="4" t="e">
        <f t="shared" si="19"/>
        <v>#N/A</v>
      </c>
      <c r="O125" s="4" t="str">
        <f t="shared" si="20"/>
        <v/>
      </c>
    </row>
    <row r="126" spans="1:15" x14ac:dyDescent="0.3">
      <c r="A126" t="s">
        <v>332</v>
      </c>
      <c r="B126" t="s">
        <v>353</v>
      </c>
      <c r="C126" s="26" t="s">
        <v>354</v>
      </c>
      <c r="D126" s="47" t="s">
        <v>355</v>
      </c>
      <c r="E126" s="47" t="s">
        <v>608</v>
      </c>
      <c r="F126">
        <v>90</v>
      </c>
      <c r="G126" t="s">
        <v>758</v>
      </c>
      <c r="H126" s="47">
        <f t="shared" si="12"/>
        <v>0</v>
      </c>
      <c r="I126" s="47">
        <f t="shared" si="13"/>
        <v>0</v>
      </c>
      <c r="J126" s="47">
        <f t="shared" si="14"/>
        <v>0</v>
      </c>
      <c r="K126" s="47" t="str">
        <f t="shared" si="15"/>
        <v/>
      </c>
      <c r="L126" s="4" t="e">
        <f t="shared" si="17"/>
        <v>#N/A</v>
      </c>
      <c r="M126" s="4" t="e">
        <f t="shared" si="18"/>
        <v>#N/A</v>
      </c>
      <c r="N126" s="4" t="e">
        <f t="shared" si="19"/>
        <v>#N/A</v>
      </c>
      <c r="O126" s="4" t="str">
        <f t="shared" si="20"/>
        <v/>
      </c>
    </row>
    <row r="127" spans="1:15" x14ac:dyDescent="0.3">
      <c r="A127" t="s">
        <v>332</v>
      </c>
      <c r="B127" t="s">
        <v>341</v>
      </c>
      <c r="C127" s="26" t="s">
        <v>342</v>
      </c>
      <c r="D127" s="47" t="s">
        <v>343</v>
      </c>
      <c r="E127" s="47" t="s">
        <v>608</v>
      </c>
      <c r="F127">
        <v>260</v>
      </c>
      <c r="G127" t="s">
        <v>760</v>
      </c>
      <c r="H127" s="47">
        <f t="shared" si="12"/>
        <v>0</v>
      </c>
      <c r="I127" s="47">
        <f t="shared" si="13"/>
        <v>0</v>
      </c>
      <c r="J127" s="47">
        <f t="shared" si="14"/>
        <v>0</v>
      </c>
      <c r="K127" s="47" t="str">
        <f t="shared" si="15"/>
        <v/>
      </c>
      <c r="L127" s="4" t="e">
        <f t="shared" si="17"/>
        <v>#N/A</v>
      </c>
      <c r="M127" s="4" t="e">
        <f t="shared" si="18"/>
        <v>#N/A</v>
      </c>
      <c r="N127" s="4" t="e">
        <f t="shared" si="19"/>
        <v>#N/A</v>
      </c>
      <c r="O127" s="4" t="str">
        <f t="shared" si="20"/>
        <v/>
      </c>
    </row>
    <row r="128" spans="1:15" x14ac:dyDescent="0.3">
      <c r="A128" t="s">
        <v>332</v>
      </c>
      <c r="B128" t="s">
        <v>338</v>
      </c>
      <c r="C128" s="26" t="s">
        <v>339</v>
      </c>
      <c r="D128" s="47" t="s">
        <v>340</v>
      </c>
      <c r="E128" s="47" t="s">
        <v>608</v>
      </c>
      <c r="F128">
        <v>260</v>
      </c>
      <c r="G128" t="s">
        <v>759</v>
      </c>
      <c r="H128" s="47">
        <f t="shared" si="12"/>
        <v>0</v>
      </c>
      <c r="I128" s="47">
        <f t="shared" si="13"/>
        <v>0</v>
      </c>
      <c r="J128" s="47">
        <f t="shared" si="14"/>
        <v>0</v>
      </c>
      <c r="K128" s="47" t="str">
        <f t="shared" si="15"/>
        <v/>
      </c>
      <c r="L128" s="4" t="e">
        <f t="shared" si="17"/>
        <v>#N/A</v>
      </c>
      <c r="M128" s="4" t="e">
        <f t="shared" si="18"/>
        <v>#N/A</v>
      </c>
      <c r="N128" s="4" t="e">
        <f t="shared" si="19"/>
        <v>#N/A</v>
      </c>
      <c r="O128" s="4" t="str">
        <f t="shared" si="20"/>
        <v/>
      </c>
    </row>
    <row r="129" spans="1:15" x14ac:dyDescent="0.3">
      <c r="A129" t="s">
        <v>332</v>
      </c>
      <c r="B129" t="s">
        <v>356</v>
      </c>
      <c r="C129" s="26" t="s">
        <v>357</v>
      </c>
      <c r="D129" s="47" t="s">
        <v>358</v>
      </c>
      <c r="E129" s="47" t="s">
        <v>608</v>
      </c>
      <c r="F129">
        <v>260</v>
      </c>
      <c r="G129" t="s">
        <v>709</v>
      </c>
      <c r="H129" s="47">
        <f t="shared" si="12"/>
        <v>0</v>
      </c>
      <c r="I129" s="47">
        <f t="shared" si="13"/>
        <v>0</v>
      </c>
      <c r="J129" s="47">
        <f t="shared" si="14"/>
        <v>0</v>
      </c>
      <c r="K129" s="47" t="str">
        <f t="shared" si="15"/>
        <v/>
      </c>
      <c r="L129" s="4" t="e">
        <f t="shared" si="17"/>
        <v>#N/A</v>
      </c>
      <c r="M129" s="4" t="e">
        <f t="shared" si="18"/>
        <v>#N/A</v>
      </c>
      <c r="N129" s="4" t="e">
        <f t="shared" si="19"/>
        <v>#N/A</v>
      </c>
      <c r="O129" s="4" t="str">
        <f t="shared" si="20"/>
        <v/>
      </c>
    </row>
    <row r="130" spans="1:15" x14ac:dyDescent="0.3">
      <c r="A130" t="s">
        <v>332</v>
      </c>
      <c r="B130" t="s">
        <v>344</v>
      </c>
      <c r="C130" s="26" t="s">
        <v>345</v>
      </c>
      <c r="D130" s="47" t="s">
        <v>346</v>
      </c>
      <c r="E130" s="47" t="s">
        <v>608</v>
      </c>
      <c r="F130">
        <v>260</v>
      </c>
      <c r="G130" t="s">
        <v>762</v>
      </c>
      <c r="H130" s="47">
        <f t="shared" si="12"/>
        <v>0</v>
      </c>
      <c r="I130" s="47">
        <f t="shared" si="13"/>
        <v>0</v>
      </c>
      <c r="J130" s="47">
        <f t="shared" si="14"/>
        <v>0</v>
      </c>
      <c r="K130" s="47" t="str">
        <f t="shared" si="15"/>
        <v/>
      </c>
      <c r="L130" s="4" t="e">
        <f t="shared" si="17"/>
        <v>#N/A</v>
      </c>
      <c r="M130" s="4" t="e">
        <f t="shared" si="18"/>
        <v>#N/A</v>
      </c>
      <c r="N130" s="4" t="e">
        <f t="shared" si="19"/>
        <v>#N/A</v>
      </c>
      <c r="O130" s="4" t="str">
        <f t="shared" ref="O130:O161" si="21">IF(ISBLANK(structure_e6),"",VLOOKUP(K130,elements_lookup,2,0))</f>
        <v/>
      </c>
    </row>
    <row r="131" spans="1:15" x14ac:dyDescent="0.3">
      <c r="A131" t="s">
        <v>332</v>
      </c>
      <c r="B131" t="s">
        <v>365</v>
      </c>
      <c r="C131" s="26" t="s">
        <v>366</v>
      </c>
      <c r="D131" s="47" t="s">
        <v>367</v>
      </c>
      <c r="E131" s="47" t="s">
        <v>608</v>
      </c>
      <c r="F131">
        <v>90</v>
      </c>
      <c r="G131" t="s">
        <v>702</v>
      </c>
      <c r="H131" s="47">
        <f t="shared" si="12"/>
        <v>0</v>
      </c>
      <c r="I131" s="47">
        <f t="shared" si="13"/>
        <v>0</v>
      </c>
      <c r="J131" s="47">
        <f t="shared" si="14"/>
        <v>0</v>
      </c>
      <c r="K131" s="47" t="str">
        <f t="shared" si="15"/>
        <v/>
      </c>
      <c r="L131" s="4" t="e">
        <f t="shared" si="17"/>
        <v>#N/A</v>
      </c>
      <c r="M131" s="4" t="e">
        <f t="shared" si="18"/>
        <v>#N/A</v>
      </c>
      <c r="N131" s="4" t="e">
        <f t="shared" si="19"/>
        <v>#N/A</v>
      </c>
      <c r="O131" s="4" t="str">
        <f t="shared" si="21"/>
        <v/>
      </c>
    </row>
    <row r="132" spans="1:15" x14ac:dyDescent="0.3">
      <c r="A132" t="s">
        <v>332</v>
      </c>
      <c r="B132" t="s">
        <v>362</v>
      </c>
      <c r="C132" s="26" t="s">
        <v>363</v>
      </c>
      <c r="D132" s="47" t="s">
        <v>364</v>
      </c>
      <c r="E132" s="47" t="s">
        <v>608</v>
      </c>
      <c r="F132">
        <v>63</v>
      </c>
      <c r="G132" t="s">
        <v>763</v>
      </c>
      <c r="H132" s="47">
        <f t="shared" ref="H132:H195" si="22">structure_e3</f>
        <v>0</v>
      </c>
      <c r="I132" s="47">
        <f t="shared" ref="I132:I195" si="23">structure_e4</f>
        <v>0</v>
      </c>
      <c r="J132" s="47">
        <f t="shared" ref="J132:J195" si="24">structure_e5</f>
        <v>0</v>
      </c>
      <c r="K132" s="47" t="str">
        <f t="shared" ref="K132:K195" si="25">IF(ISBLANK(structure_e6),"",structure_e6)</f>
        <v/>
      </c>
      <c r="L132" s="4" t="e">
        <f t="shared" ref="L132:L195" si="26">VLOOKUP(H132,elements_lookup,2,0)</f>
        <v>#N/A</v>
      </c>
      <c r="M132" s="4" t="e">
        <f t="shared" ref="M132:M195" si="27">VLOOKUP(I132,elements_lookup,2,0)</f>
        <v>#N/A</v>
      </c>
      <c r="N132" s="4" t="e">
        <f t="shared" ref="N132:N195" si="28">VLOOKUP(J132,elements_lookup,2,0)</f>
        <v>#N/A</v>
      </c>
      <c r="O132" s="4" t="str">
        <f t="shared" si="21"/>
        <v/>
      </c>
    </row>
    <row r="133" spans="1:15" x14ac:dyDescent="0.3">
      <c r="A133" t="s">
        <v>332</v>
      </c>
      <c r="B133" t="s">
        <v>359</v>
      </c>
      <c r="C133" s="26" t="s">
        <v>360</v>
      </c>
      <c r="D133" s="47" t="s">
        <v>361</v>
      </c>
      <c r="E133" s="47" t="s">
        <v>608</v>
      </c>
      <c r="F133">
        <v>63</v>
      </c>
      <c r="G133" t="s">
        <v>650</v>
      </c>
      <c r="H133" s="47">
        <f t="shared" si="22"/>
        <v>0</v>
      </c>
      <c r="I133" s="47">
        <f t="shared" si="23"/>
        <v>0</v>
      </c>
      <c r="J133" s="47">
        <f t="shared" si="24"/>
        <v>0</v>
      </c>
      <c r="K133" s="47" t="str">
        <f t="shared" si="25"/>
        <v/>
      </c>
      <c r="L133" s="4" t="e">
        <f t="shared" si="26"/>
        <v>#N/A</v>
      </c>
      <c r="M133" s="4" t="e">
        <f t="shared" si="27"/>
        <v>#N/A</v>
      </c>
      <c r="N133" s="4" t="e">
        <f t="shared" si="28"/>
        <v>#N/A</v>
      </c>
      <c r="O133" s="4" t="str">
        <f t="shared" si="21"/>
        <v/>
      </c>
    </row>
    <row r="134" spans="1:15" x14ac:dyDescent="0.3">
      <c r="A134" t="s">
        <v>332</v>
      </c>
      <c r="B134" t="s">
        <v>368</v>
      </c>
      <c r="C134" s="26" t="s">
        <v>369</v>
      </c>
      <c r="D134" s="47" t="s">
        <v>370</v>
      </c>
      <c r="E134" s="47" t="s">
        <v>608</v>
      </c>
      <c r="G134" t="s">
        <v>689</v>
      </c>
      <c r="H134" s="47">
        <f t="shared" si="22"/>
        <v>0</v>
      </c>
      <c r="I134" s="47">
        <f t="shared" si="23"/>
        <v>0</v>
      </c>
      <c r="J134" s="47">
        <f t="shared" si="24"/>
        <v>0</v>
      </c>
      <c r="K134" s="47" t="str">
        <f t="shared" si="25"/>
        <v/>
      </c>
      <c r="L134" s="4" t="e">
        <f t="shared" si="26"/>
        <v>#N/A</v>
      </c>
      <c r="M134" s="4" t="e">
        <f t="shared" si="27"/>
        <v>#N/A</v>
      </c>
      <c r="N134" s="4" t="e">
        <f t="shared" si="28"/>
        <v>#N/A</v>
      </c>
      <c r="O134" s="4" t="str">
        <f t="shared" si="21"/>
        <v/>
      </c>
    </row>
    <row r="135" spans="1:15" x14ac:dyDescent="0.3">
      <c r="A135" t="s">
        <v>332</v>
      </c>
      <c r="B135" t="s">
        <v>371</v>
      </c>
      <c r="C135" s="26" t="s">
        <v>372</v>
      </c>
      <c r="D135" s="47" t="s">
        <v>373</v>
      </c>
      <c r="E135" s="47" t="s">
        <v>608</v>
      </c>
      <c r="F135">
        <v>90</v>
      </c>
      <c r="G135" t="s">
        <v>754</v>
      </c>
      <c r="H135" s="47">
        <f t="shared" si="22"/>
        <v>0</v>
      </c>
      <c r="I135" s="47">
        <f t="shared" si="23"/>
        <v>0</v>
      </c>
      <c r="J135" s="47">
        <f t="shared" si="24"/>
        <v>0</v>
      </c>
      <c r="K135" s="47" t="str">
        <f t="shared" si="25"/>
        <v/>
      </c>
      <c r="L135" s="4" t="e">
        <f t="shared" si="26"/>
        <v>#N/A</v>
      </c>
      <c r="M135" s="4" t="e">
        <f t="shared" si="27"/>
        <v>#N/A</v>
      </c>
      <c r="N135" s="4" t="e">
        <f t="shared" si="28"/>
        <v>#N/A</v>
      </c>
      <c r="O135" s="4" t="str">
        <f t="shared" si="21"/>
        <v/>
      </c>
    </row>
    <row r="136" spans="1:15" x14ac:dyDescent="0.3">
      <c r="A136" t="s">
        <v>374</v>
      </c>
      <c r="B136" t="s">
        <v>378</v>
      </c>
      <c r="C136" s="26" t="s">
        <v>379</v>
      </c>
      <c r="D136" s="47" t="s">
        <v>380</v>
      </c>
      <c r="E136" s="47" t="s">
        <v>608</v>
      </c>
      <c r="F136">
        <v>62</v>
      </c>
      <c r="G136" t="s">
        <v>764</v>
      </c>
      <c r="H136" s="47">
        <f t="shared" si="22"/>
        <v>0</v>
      </c>
      <c r="I136" s="47">
        <f t="shared" si="23"/>
        <v>0</v>
      </c>
      <c r="J136" s="47">
        <f t="shared" si="24"/>
        <v>0</v>
      </c>
      <c r="K136" s="47" t="str">
        <f t="shared" si="25"/>
        <v/>
      </c>
      <c r="L136" s="4" t="e">
        <f t="shared" si="26"/>
        <v>#N/A</v>
      </c>
      <c r="M136" s="4" t="e">
        <f t="shared" si="27"/>
        <v>#N/A</v>
      </c>
      <c r="N136" s="4" t="e">
        <f t="shared" si="28"/>
        <v>#N/A</v>
      </c>
      <c r="O136" s="4" t="str">
        <f t="shared" si="21"/>
        <v/>
      </c>
    </row>
    <row r="137" spans="1:15" x14ac:dyDescent="0.3">
      <c r="A137" t="s">
        <v>374</v>
      </c>
      <c r="B137" t="s">
        <v>375</v>
      </c>
      <c r="C137" s="26" t="s">
        <v>376</v>
      </c>
      <c r="D137" s="47" t="s">
        <v>377</v>
      </c>
      <c r="E137" s="47" t="s">
        <v>608</v>
      </c>
      <c r="G137" t="s">
        <v>765</v>
      </c>
      <c r="H137" s="47">
        <f t="shared" si="22"/>
        <v>0</v>
      </c>
      <c r="I137" s="47">
        <f t="shared" si="23"/>
        <v>0</v>
      </c>
      <c r="J137" s="47">
        <f t="shared" si="24"/>
        <v>0</v>
      </c>
      <c r="K137" s="47" t="str">
        <f t="shared" si="25"/>
        <v/>
      </c>
      <c r="L137" s="4" t="e">
        <f t="shared" si="26"/>
        <v>#N/A</v>
      </c>
      <c r="M137" s="4" t="e">
        <f t="shared" si="27"/>
        <v>#N/A</v>
      </c>
      <c r="N137" s="4" t="e">
        <f t="shared" si="28"/>
        <v>#N/A</v>
      </c>
      <c r="O137" s="4" t="str">
        <f t="shared" si="21"/>
        <v/>
      </c>
    </row>
    <row r="138" spans="1:15" x14ac:dyDescent="0.3">
      <c r="A138" t="s">
        <v>374</v>
      </c>
      <c r="B138" t="s">
        <v>381</v>
      </c>
      <c r="C138" s="26" t="s">
        <v>382</v>
      </c>
      <c r="D138" s="47" t="s">
        <v>383</v>
      </c>
      <c r="E138" s="47" t="s">
        <v>608</v>
      </c>
      <c r="F138">
        <v>50</v>
      </c>
      <c r="G138" t="s">
        <v>736</v>
      </c>
      <c r="H138" s="47">
        <f t="shared" si="22"/>
        <v>0</v>
      </c>
      <c r="I138" s="47">
        <f t="shared" si="23"/>
        <v>0</v>
      </c>
      <c r="J138" s="47">
        <f t="shared" si="24"/>
        <v>0</v>
      </c>
      <c r="K138" s="47" t="str">
        <f t="shared" si="25"/>
        <v/>
      </c>
      <c r="L138" s="4" t="e">
        <f t="shared" si="26"/>
        <v>#N/A</v>
      </c>
      <c r="M138" s="4" t="e">
        <f t="shared" si="27"/>
        <v>#N/A</v>
      </c>
      <c r="N138" s="4" t="e">
        <f t="shared" si="28"/>
        <v>#N/A</v>
      </c>
      <c r="O138" s="4" t="str">
        <f t="shared" si="21"/>
        <v/>
      </c>
    </row>
    <row r="139" spans="1:15" x14ac:dyDescent="0.3">
      <c r="A139" t="s">
        <v>384</v>
      </c>
      <c r="B139" t="s">
        <v>391</v>
      </c>
      <c r="C139" s="26" t="s">
        <v>392</v>
      </c>
      <c r="D139" s="47" t="s">
        <v>393</v>
      </c>
      <c r="E139" s="47" t="s">
        <v>608</v>
      </c>
      <c r="F139">
        <v>260</v>
      </c>
      <c r="G139" t="s">
        <v>766</v>
      </c>
      <c r="H139" s="47">
        <f t="shared" si="22"/>
        <v>0</v>
      </c>
      <c r="I139" s="47">
        <f t="shared" si="23"/>
        <v>0</v>
      </c>
      <c r="J139" s="47">
        <f t="shared" si="24"/>
        <v>0</v>
      </c>
      <c r="K139" s="47" t="str">
        <f t="shared" si="25"/>
        <v/>
      </c>
      <c r="L139" s="4" t="e">
        <f t="shared" si="26"/>
        <v>#N/A</v>
      </c>
      <c r="M139" s="4" t="e">
        <f t="shared" si="27"/>
        <v>#N/A</v>
      </c>
      <c r="N139" s="4" t="e">
        <f t="shared" si="28"/>
        <v>#N/A</v>
      </c>
      <c r="O139" s="4" t="str">
        <f t="shared" si="21"/>
        <v/>
      </c>
    </row>
    <row r="140" spans="1:15" x14ac:dyDescent="0.3">
      <c r="A140" t="s">
        <v>384</v>
      </c>
      <c r="B140" t="s">
        <v>431</v>
      </c>
      <c r="C140" s="26" t="s">
        <v>392</v>
      </c>
      <c r="D140" s="47" t="s">
        <v>432</v>
      </c>
      <c r="E140" s="47" t="s">
        <v>608</v>
      </c>
      <c r="F140">
        <v>64</v>
      </c>
      <c r="G140" t="s">
        <v>766</v>
      </c>
      <c r="H140" s="47">
        <f t="shared" si="22"/>
        <v>0</v>
      </c>
      <c r="I140" s="47">
        <f t="shared" si="23"/>
        <v>0</v>
      </c>
      <c r="J140" s="47">
        <f t="shared" si="24"/>
        <v>0</v>
      </c>
      <c r="K140" s="47" t="str">
        <f t="shared" si="25"/>
        <v/>
      </c>
      <c r="L140" s="4" t="e">
        <f t="shared" si="26"/>
        <v>#N/A</v>
      </c>
      <c r="M140" s="4" t="e">
        <f t="shared" si="27"/>
        <v>#N/A</v>
      </c>
      <c r="N140" s="4" t="e">
        <f t="shared" si="28"/>
        <v>#N/A</v>
      </c>
      <c r="O140" s="4" t="str">
        <f t="shared" si="21"/>
        <v/>
      </c>
    </row>
    <row r="141" spans="1:15" x14ac:dyDescent="0.3">
      <c r="A141" t="s">
        <v>384</v>
      </c>
      <c r="B141" t="s">
        <v>433</v>
      </c>
      <c r="C141" s="26" t="s">
        <v>434</v>
      </c>
      <c r="D141" s="47" t="s">
        <v>435</v>
      </c>
      <c r="E141" s="47" t="s">
        <v>608</v>
      </c>
      <c r="F141">
        <v>50</v>
      </c>
      <c r="G141" t="s">
        <v>709</v>
      </c>
      <c r="H141" s="47">
        <f t="shared" si="22"/>
        <v>0</v>
      </c>
      <c r="I141" s="47">
        <f t="shared" si="23"/>
        <v>0</v>
      </c>
      <c r="J141" s="47">
        <f t="shared" si="24"/>
        <v>0</v>
      </c>
      <c r="K141" s="47" t="str">
        <f t="shared" si="25"/>
        <v/>
      </c>
      <c r="L141" s="4" t="e">
        <f t="shared" si="26"/>
        <v>#N/A</v>
      </c>
      <c r="M141" s="4" t="e">
        <f t="shared" si="27"/>
        <v>#N/A</v>
      </c>
      <c r="N141" s="4" t="e">
        <f t="shared" si="28"/>
        <v>#N/A</v>
      </c>
      <c r="O141" s="4" t="str">
        <f t="shared" si="21"/>
        <v/>
      </c>
    </row>
    <row r="142" spans="1:15" x14ac:dyDescent="0.3">
      <c r="A142" t="s">
        <v>384</v>
      </c>
      <c r="B142" t="s">
        <v>394</v>
      </c>
      <c r="C142" s="26" t="s">
        <v>395</v>
      </c>
      <c r="D142" s="47" t="s">
        <v>396</v>
      </c>
      <c r="E142" s="47" t="s">
        <v>608</v>
      </c>
      <c r="F142">
        <v>50</v>
      </c>
      <c r="G142" t="s">
        <v>709</v>
      </c>
      <c r="H142" s="47">
        <f t="shared" si="22"/>
        <v>0</v>
      </c>
      <c r="I142" s="47">
        <f t="shared" si="23"/>
        <v>0</v>
      </c>
      <c r="J142" s="47">
        <f t="shared" si="24"/>
        <v>0</v>
      </c>
      <c r="K142" s="47" t="str">
        <f t="shared" si="25"/>
        <v/>
      </c>
      <c r="L142" s="4" t="e">
        <f t="shared" si="26"/>
        <v>#N/A</v>
      </c>
      <c r="M142" s="4" t="e">
        <f t="shared" si="27"/>
        <v>#N/A</v>
      </c>
      <c r="N142" s="4" t="e">
        <f t="shared" si="28"/>
        <v>#N/A</v>
      </c>
      <c r="O142" s="4" t="str">
        <f t="shared" si="21"/>
        <v/>
      </c>
    </row>
    <row r="143" spans="1:15" x14ac:dyDescent="0.3">
      <c r="A143" t="s">
        <v>384</v>
      </c>
      <c r="B143" t="s">
        <v>385</v>
      </c>
      <c r="C143" s="26" t="s">
        <v>386</v>
      </c>
      <c r="D143" s="47" t="s">
        <v>387</v>
      </c>
      <c r="E143" s="47" t="s">
        <v>608</v>
      </c>
      <c r="F143">
        <v>80</v>
      </c>
      <c r="G143" t="s">
        <v>609</v>
      </c>
      <c r="H143" s="47">
        <f t="shared" si="22"/>
        <v>0</v>
      </c>
      <c r="I143" s="47">
        <f t="shared" si="23"/>
        <v>0</v>
      </c>
      <c r="J143" s="47">
        <f t="shared" si="24"/>
        <v>0</v>
      </c>
      <c r="K143" s="47" t="str">
        <f t="shared" si="25"/>
        <v/>
      </c>
      <c r="L143" s="4" t="e">
        <f t="shared" si="26"/>
        <v>#N/A</v>
      </c>
      <c r="M143" s="4" t="e">
        <f t="shared" si="27"/>
        <v>#N/A</v>
      </c>
      <c r="N143" s="4" t="e">
        <f t="shared" si="28"/>
        <v>#N/A</v>
      </c>
      <c r="O143" s="4" t="str">
        <f t="shared" si="21"/>
        <v/>
      </c>
    </row>
    <row r="144" spans="1:15" x14ac:dyDescent="0.3">
      <c r="A144" t="s">
        <v>384</v>
      </c>
      <c r="B144" t="s">
        <v>388</v>
      </c>
      <c r="C144" s="26" t="s">
        <v>389</v>
      </c>
      <c r="D144" s="47" t="s">
        <v>390</v>
      </c>
      <c r="E144" s="47" t="s">
        <v>608</v>
      </c>
      <c r="F144">
        <v>80</v>
      </c>
      <c r="G144" t="s">
        <v>703</v>
      </c>
      <c r="H144" s="47">
        <f t="shared" si="22"/>
        <v>0</v>
      </c>
      <c r="I144" s="47">
        <f t="shared" si="23"/>
        <v>0</v>
      </c>
      <c r="J144" s="47">
        <f t="shared" si="24"/>
        <v>0</v>
      </c>
      <c r="K144" s="47" t="str">
        <f t="shared" si="25"/>
        <v/>
      </c>
      <c r="L144" s="4" t="e">
        <f t="shared" si="26"/>
        <v>#N/A</v>
      </c>
      <c r="M144" s="4" t="e">
        <f t="shared" si="27"/>
        <v>#N/A</v>
      </c>
      <c r="N144" s="4" t="e">
        <f t="shared" si="28"/>
        <v>#N/A</v>
      </c>
      <c r="O144" s="4" t="str">
        <f t="shared" si="21"/>
        <v/>
      </c>
    </row>
    <row r="145" spans="1:15" x14ac:dyDescent="0.3">
      <c r="A145" t="s">
        <v>384</v>
      </c>
      <c r="B145" t="s">
        <v>416</v>
      </c>
      <c r="C145" s="26" t="s">
        <v>417</v>
      </c>
      <c r="D145" s="47" t="s">
        <v>418</v>
      </c>
      <c r="E145" s="47" t="s">
        <v>608</v>
      </c>
      <c r="F145">
        <v>80</v>
      </c>
      <c r="G145" t="s">
        <v>704</v>
      </c>
      <c r="H145" s="47">
        <f t="shared" si="22"/>
        <v>0</v>
      </c>
      <c r="I145" s="47">
        <f t="shared" si="23"/>
        <v>0</v>
      </c>
      <c r="J145" s="47">
        <f t="shared" si="24"/>
        <v>0</v>
      </c>
      <c r="K145" s="47" t="str">
        <f t="shared" si="25"/>
        <v/>
      </c>
      <c r="L145" s="4" t="e">
        <f t="shared" si="26"/>
        <v>#N/A</v>
      </c>
      <c r="M145" s="4" t="e">
        <f t="shared" si="27"/>
        <v>#N/A</v>
      </c>
      <c r="N145" s="4" t="e">
        <f t="shared" si="28"/>
        <v>#N/A</v>
      </c>
      <c r="O145" s="4" t="str">
        <f t="shared" si="21"/>
        <v/>
      </c>
    </row>
    <row r="146" spans="1:15" x14ac:dyDescent="0.3">
      <c r="A146" t="s">
        <v>384</v>
      </c>
      <c r="B146" t="s">
        <v>397</v>
      </c>
      <c r="C146" s="26" t="s">
        <v>398</v>
      </c>
      <c r="D146" s="47" t="s">
        <v>399</v>
      </c>
      <c r="E146" s="47" t="s">
        <v>608</v>
      </c>
      <c r="F146">
        <v>80</v>
      </c>
      <c r="G146" t="s">
        <v>706</v>
      </c>
      <c r="H146" s="47">
        <f t="shared" si="22"/>
        <v>0</v>
      </c>
      <c r="I146" s="47">
        <f t="shared" si="23"/>
        <v>0</v>
      </c>
      <c r="J146" s="47">
        <f t="shared" si="24"/>
        <v>0</v>
      </c>
      <c r="K146" s="47" t="str">
        <f t="shared" si="25"/>
        <v/>
      </c>
      <c r="L146" s="4" t="e">
        <f t="shared" si="26"/>
        <v>#N/A</v>
      </c>
      <c r="M146" s="4" t="e">
        <f t="shared" si="27"/>
        <v>#N/A</v>
      </c>
      <c r="N146" s="4" t="e">
        <f t="shared" si="28"/>
        <v>#N/A</v>
      </c>
      <c r="O146" s="4" t="str">
        <f t="shared" si="21"/>
        <v/>
      </c>
    </row>
    <row r="147" spans="1:15" x14ac:dyDescent="0.3">
      <c r="A147" t="s">
        <v>384</v>
      </c>
      <c r="B147" t="s">
        <v>402</v>
      </c>
      <c r="C147" s="26" t="s">
        <v>403</v>
      </c>
      <c r="D147" s="47" t="s">
        <v>404</v>
      </c>
      <c r="E147" s="47" t="s">
        <v>608</v>
      </c>
      <c r="F147">
        <v>80</v>
      </c>
      <c r="G147" t="s">
        <v>707</v>
      </c>
      <c r="H147" s="47">
        <f t="shared" si="22"/>
        <v>0</v>
      </c>
      <c r="I147" s="47">
        <f t="shared" si="23"/>
        <v>0</v>
      </c>
      <c r="J147" s="47">
        <f t="shared" si="24"/>
        <v>0</v>
      </c>
      <c r="K147" s="47" t="str">
        <f t="shared" si="25"/>
        <v/>
      </c>
      <c r="L147" s="4" t="e">
        <f t="shared" si="26"/>
        <v>#N/A</v>
      </c>
      <c r="M147" s="4" t="e">
        <f t="shared" si="27"/>
        <v>#N/A</v>
      </c>
      <c r="N147" s="4" t="e">
        <f t="shared" si="28"/>
        <v>#N/A</v>
      </c>
      <c r="O147" s="4" t="str">
        <f t="shared" si="21"/>
        <v/>
      </c>
    </row>
    <row r="148" spans="1:15" x14ac:dyDescent="0.3">
      <c r="A148" t="s">
        <v>384</v>
      </c>
      <c r="B148" t="s">
        <v>405</v>
      </c>
      <c r="C148" s="26" t="s">
        <v>406</v>
      </c>
      <c r="D148" s="47" t="s">
        <v>407</v>
      </c>
      <c r="E148" s="47" t="s">
        <v>608</v>
      </c>
      <c r="F148">
        <v>80</v>
      </c>
      <c r="G148" t="s">
        <v>708</v>
      </c>
      <c r="H148" s="47">
        <f t="shared" si="22"/>
        <v>0</v>
      </c>
      <c r="I148" s="47">
        <f t="shared" si="23"/>
        <v>0</v>
      </c>
      <c r="J148" s="47">
        <f t="shared" si="24"/>
        <v>0</v>
      </c>
      <c r="K148" s="47" t="str">
        <f t="shared" si="25"/>
        <v/>
      </c>
      <c r="L148" s="4" t="e">
        <f t="shared" si="26"/>
        <v>#N/A</v>
      </c>
      <c r="M148" s="4" t="e">
        <f t="shared" si="27"/>
        <v>#N/A</v>
      </c>
      <c r="N148" s="4" t="e">
        <f t="shared" si="28"/>
        <v>#N/A</v>
      </c>
      <c r="O148" s="4" t="str">
        <f t="shared" si="21"/>
        <v/>
      </c>
    </row>
    <row r="149" spans="1:15" x14ac:dyDescent="0.3">
      <c r="A149" t="s">
        <v>384</v>
      </c>
      <c r="B149" t="s">
        <v>408</v>
      </c>
      <c r="C149" s="26" t="s">
        <v>409</v>
      </c>
      <c r="D149" s="47" t="s">
        <v>410</v>
      </c>
      <c r="E149" s="47" t="s">
        <v>608</v>
      </c>
      <c r="F149">
        <v>80</v>
      </c>
      <c r="G149" t="s">
        <v>709</v>
      </c>
      <c r="H149" s="47">
        <f t="shared" si="22"/>
        <v>0</v>
      </c>
      <c r="I149" s="47">
        <f t="shared" si="23"/>
        <v>0</v>
      </c>
      <c r="J149" s="47">
        <f t="shared" si="24"/>
        <v>0</v>
      </c>
      <c r="K149" s="47" t="str">
        <f t="shared" si="25"/>
        <v/>
      </c>
      <c r="L149" s="4" t="e">
        <f t="shared" si="26"/>
        <v>#N/A</v>
      </c>
      <c r="M149" s="4" t="e">
        <f t="shared" si="27"/>
        <v>#N/A</v>
      </c>
      <c r="N149" s="4" t="e">
        <f t="shared" si="28"/>
        <v>#N/A</v>
      </c>
      <c r="O149" s="4" t="str">
        <f t="shared" si="21"/>
        <v/>
      </c>
    </row>
    <row r="150" spans="1:15" x14ac:dyDescent="0.3">
      <c r="A150" t="s">
        <v>384</v>
      </c>
      <c r="B150" t="s">
        <v>411</v>
      </c>
      <c r="C150" s="26" t="s">
        <v>412</v>
      </c>
      <c r="D150" s="47" t="s">
        <v>413</v>
      </c>
      <c r="E150" s="47" t="s">
        <v>608</v>
      </c>
      <c r="F150">
        <v>80</v>
      </c>
      <c r="G150" t="s">
        <v>709</v>
      </c>
      <c r="H150" s="47">
        <f t="shared" si="22"/>
        <v>0</v>
      </c>
      <c r="I150" s="47">
        <f t="shared" si="23"/>
        <v>0</v>
      </c>
      <c r="J150" s="47">
        <f t="shared" si="24"/>
        <v>0</v>
      </c>
      <c r="K150" s="47" t="str">
        <f t="shared" si="25"/>
        <v/>
      </c>
      <c r="L150" s="4" t="e">
        <f t="shared" si="26"/>
        <v>#N/A</v>
      </c>
      <c r="M150" s="4" t="e">
        <f t="shared" si="27"/>
        <v>#N/A</v>
      </c>
      <c r="N150" s="4" t="e">
        <f t="shared" si="28"/>
        <v>#N/A</v>
      </c>
      <c r="O150" s="4" t="str">
        <f t="shared" si="21"/>
        <v/>
      </c>
    </row>
    <row r="151" spans="1:15" x14ac:dyDescent="0.3">
      <c r="A151" t="s">
        <v>384</v>
      </c>
      <c r="B151" t="s">
        <v>400</v>
      </c>
      <c r="C151" s="26" t="s">
        <v>401</v>
      </c>
      <c r="D151" s="47" t="s">
        <v>601</v>
      </c>
      <c r="E151" s="47" t="s">
        <v>612</v>
      </c>
      <c r="F151">
        <v>63</v>
      </c>
      <c r="G151" t="s">
        <v>610</v>
      </c>
      <c r="H151" s="47">
        <f t="shared" si="22"/>
        <v>0</v>
      </c>
      <c r="I151" s="47">
        <f t="shared" si="23"/>
        <v>0</v>
      </c>
      <c r="J151" s="47">
        <f t="shared" si="24"/>
        <v>0</v>
      </c>
      <c r="K151" s="47" t="str">
        <f t="shared" si="25"/>
        <v/>
      </c>
      <c r="L151" s="4" t="e">
        <f t="shared" si="26"/>
        <v>#N/A</v>
      </c>
      <c r="M151" s="4" t="e">
        <f t="shared" si="27"/>
        <v>#N/A</v>
      </c>
      <c r="N151" s="4" t="e">
        <f t="shared" si="28"/>
        <v>#N/A</v>
      </c>
      <c r="O151" s="4" t="str">
        <f t="shared" si="21"/>
        <v/>
      </c>
    </row>
    <row r="152" spans="1:15" x14ac:dyDescent="0.3">
      <c r="A152" t="s">
        <v>384</v>
      </c>
      <c r="B152" t="s">
        <v>422</v>
      </c>
      <c r="C152" s="26" t="s">
        <v>423</v>
      </c>
      <c r="D152" s="47" t="s">
        <v>424</v>
      </c>
      <c r="E152" s="47" t="s">
        <v>608</v>
      </c>
      <c r="F152">
        <v>80</v>
      </c>
      <c r="G152" t="s">
        <v>710</v>
      </c>
      <c r="H152" s="47">
        <f t="shared" si="22"/>
        <v>0</v>
      </c>
      <c r="I152" s="47">
        <f t="shared" si="23"/>
        <v>0</v>
      </c>
      <c r="J152" s="47">
        <f t="shared" si="24"/>
        <v>0</v>
      </c>
      <c r="K152" s="47" t="str">
        <f t="shared" si="25"/>
        <v/>
      </c>
      <c r="L152" s="4" t="e">
        <f t="shared" si="26"/>
        <v>#N/A</v>
      </c>
      <c r="M152" s="4" t="e">
        <f t="shared" si="27"/>
        <v>#N/A</v>
      </c>
      <c r="N152" s="4" t="e">
        <f t="shared" si="28"/>
        <v>#N/A</v>
      </c>
      <c r="O152" s="4" t="str">
        <f t="shared" si="21"/>
        <v/>
      </c>
    </row>
    <row r="153" spans="1:15" x14ac:dyDescent="0.3">
      <c r="A153" t="s">
        <v>384</v>
      </c>
      <c r="B153" t="s">
        <v>425</v>
      </c>
      <c r="C153" s="26" t="s">
        <v>426</v>
      </c>
      <c r="D153" s="47" t="s">
        <v>427</v>
      </c>
      <c r="E153" s="47" t="s">
        <v>608</v>
      </c>
      <c r="F153">
        <v>80</v>
      </c>
      <c r="G153" t="s">
        <v>711</v>
      </c>
      <c r="H153" s="47">
        <f t="shared" si="22"/>
        <v>0</v>
      </c>
      <c r="I153" s="47">
        <f t="shared" si="23"/>
        <v>0</v>
      </c>
      <c r="J153" s="47">
        <f t="shared" si="24"/>
        <v>0</v>
      </c>
      <c r="K153" s="47" t="str">
        <f t="shared" si="25"/>
        <v/>
      </c>
      <c r="L153" s="4" t="e">
        <f t="shared" si="26"/>
        <v>#N/A</v>
      </c>
      <c r="M153" s="4" t="e">
        <f t="shared" si="27"/>
        <v>#N/A</v>
      </c>
      <c r="N153" s="4" t="e">
        <f t="shared" si="28"/>
        <v>#N/A</v>
      </c>
      <c r="O153" s="4" t="str">
        <f t="shared" si="21"/>
        <v/>
      </c>
    </row>
    <row r="154" spans="1:15" x14ac:dyDescent="0.3">
      <c r="A154" t="s">
        <v>384</v>
      </c>
      <c r="B154" t="s">
        <v>419</v>
      </c>
      <c r="C154" s="26" t="s">
        <v>420</v>
      </c>
      <c r="D154" s="47" t="s">
        <v>421</v>
      </c>
      <c r="E154" s="47" t="s">
        <v>608</v>
      </c>
      <c r="F154">
        <v>80</v>
      </c>
      <c r="G154" t="s">
        <v>712</v>
      </c>
      <c r="H154" s="47">
        <f t="shared" si="22"/>
        <v>0</v>
      </c>
      <c r="I154" s="47">
        <f t="shared" si="23"/>
        <v>0</v>
      </c>
      <c r="J154" s="47">
        <f t="shared" si="24"/>
        <v>0</v>
      </c>
      <c r="K154" s="47" t="str">
        <f t="shared" si="25"/>
        <v/>
      </c>
      <c r="L154" s="4" t="e">
        <f t="shared" si="26"/>
        <v>#N/A</v>
      </c>
      <c r="M154" s="4" t="e">
        <f t="shared" si="27"/>
        <v>#N/A</v>
      </c>
      <c r="N154" s="4" t="e">
        <f t="shared" si="28"/>
        <v>#N/A</v>
      </c>
      <c r="O154" s="4" t="str">
        <f t="shared" si="21"/>
        <v/>
      </c>
    </row>
    <row r="155" spans="1:15" x14ac:dyDescent="0.3">
      <c r="A155" t="s">
        <v>384</v>
      </c>
      <c r="B155" t="s">
        <v>439</v>
      </c>
      <c r="C155" s="26" t="s">
        <v>440</v>
      </c>
      <c r="D155" s="47" t="s">
        <v>432</v>
      </c>
      <c r="E155" s="47" t="s">
        <v>608</v>
      </c>
      <c r="F155">
        <v>64</v>
      </c>
      <c r="G155" t="s">
        <v>713</v>
      </c>
      <c r="H155" s="47">
        <f t="shared" si="22"/>
        <v>0</v>
      </c>
      <c r="I155" s="47">
        <f t="shared" si="23"/>
        <v>0</v>
      </c>
      <c r="J155" s="47">
        <f t="shared" si="24"/>
        <v>0</v>
      </c>
      <c r="K155" s="47" t="str">
        <f t="shared" si="25"/>
        <v/>
      </c>
      <c r="L155" s="4" t="e">
        <f t="shared" si="26"/>
        <v>#N/A</v>
      </c>
      <c r="M155" s="4" t="e">
        <f t="shared" si="27"/>
        <v>#N/A</v>
      </c>
      <c r="N155" s="4" t="e">
        <f t="shared" si="28"/>
        <v>#N/A</v>
      </c>
      <c r="O155" s="4" t="str">
        <f t="shared" si="21"/>
        <v/>
      </c>
    </row>
    <row r="156" spans="1:15" x14ac:dyDescent="0.3">
      <c r="A156" t="s">
        <v>384</v>
      </c>
      <c r="B156" t="s">
        <v>436</v>
      </c>
      <c r="C156" s="26" t="s">
        <v>437</v>
      </c>
      <c r="D156" s="47" t="s">
        <v>438</v>
      </c>
      <c r="E156" s="47" t="s">
        <v>608</v>
      </c>
      <c r="F156">
        <v>128</v>
      </c>
      <c r="G156" t="s">
        <v>714</v>
      </c>
      <c r="H156" s="47">
        <f t="shared" si="22"/>
        <v>0</v>
      </c>
      <c r="I156" s="47">
        <f t="shared" si="23"/>
        <v>0</v>
      </c>
      <c r="J156" s="47">
        <f t="shared" si="24"/>
        <v>0</v>
      </c>
      <c r="K156" s="47" t="str">
        <f t="shared" si="25"/>
        <v/>
      </c>
      <c r="L156" s="4" t="e">
        <f t="shared" si="26"/>
        <v>#N/A</v>
      </c>
      <c r="M156" s="4" t="e">
        <f t="shared" si="27"/>
        <v>#N/A</v>
      </c>
      <c r="N156" s="4" t="e">
        <f t="shared" si="28"/>
        <v>#N/A</v>
      </c>
      <c r="O156" s="4" t="str">
        <f t="shared" si="21"/>
        <v/>
      </c>
    </row>
    <row r="157" spans="1:15" x14ac:dyDescent="0.3">
      <c r="A157" t="s">
        <v>384</v>
      </c>
      <c r="B157" t="s">
        <v>441</v>
      </c>
      <c r="C157" s="26" t="s">
        <v>442</v>
      </c>
      <c r="D157" s="47" t="s">
        <v>443</v>
      </c>
      <c r="E157" s="47" t="s">
        <v>608</v>
      </c>
      <c r="G157" t="s">
        <v>715</v>
      </c>
      <c r="H157" s="47">
        <f t="shared" si="22"/>
        <v>0</v>
      </c>
      <c r="I157" s="47">
        <f t="shared" si="23"/>
        <v>0</v>
      </c>
      <c r="J157" s="47">
        <f t="shared" si="24"/>
        <v>0</v>
      </c>
      <c r="K157" s="47" t="str">
        <f t="shared" si="25"/>
        <v/>
      </c>
      <c r="L157" s="4" t="e">
        <f t="shared" si="26"/>
        <v>#N/A</v>
      </c>
      <c r="M157" s="4" t="e">
        <f t="shared" si="27"/>
        <v>#N/A</v>
      </c>
      <c r="N157" s="4" t="e">
        <f t="shared" si="28"/>
        <v>#N/A</v>
      </c>
      <c r="O157" s="4" t="str">
        <f t="shared" si="21"/>
        <v/>
      </c>
    </row>
    <row r="158" spans="1:15" x14ac:dyDescent="0.3">
      <c r="A158" t="s">
        <v>384</v>
      </c>
      <c r="B158" t="s">
        <v>444</v>
      </c>
      <c r="C158" s="26" t="s">
        <v>445</v>
      </c>
      <c r="D158" s="47" t="s">
        <v>446</v>
      </c>
      <c r="E158" s="47" t="s">
        <v>608</v>
      </c>
      <c r="F158">
        <v>80</v>
      </c>
      <c r="G158" t="s">
        <v>716</v>
      </c>
      <c r="H158" s="47">
        <f t="shared" si="22"/>
        <v>0</v>
      </c>
      <c r="I158" s="47">
        <f t="shared" si="23"/>
        <v>0</v>
      </c>
      <c r="J158" s="47">
        <f t="shared" si="24"/>
        <v>0</v>
      </c>
      <c r="K158" s="47" t="str">
        <f t="shared" si="25"/>
        <v/>
      </c>
      <c r="L158" s="4" t="e">
        <f t="shared" si="26"/>
        <v>#N/A</v>
      </c>
      <c r="M158" s="4" t="e">
        <f t="shared" si="27"/>
        <v>#N/A</v>
      </c>
      <c r="N158" s="4" t="e">
        <f t="shared" si="28"/>
        <v>#N/A</v>
      </c>
      <c r="O158" s="4" t="str">
        <f t="shared" si="21"/>
        <v/>
      </c>
    </row>
    <row r="159" spans="1:15" x14ac:dyDescent="0.3">
      <c r="A159" t="s">
        <v>384</v>
      </c>
      <c r="B159" t="s">
        <v>447</v>
      </c>
      <c r="C159" s="26" t="s">
        <v>445</v>
      </c>
      <c r="D159" s="47" t="s">
        <v>448</v>
      </c>
      <c r="E159" s="47" t="s">
        <v>608</v>
      </c>
      <c r="F159">
        <v>80</v>
      </c>
      <c r="G159" t="s">
        <v>716</v>
      </c>
      <c r="H159" s="47">
        <f t="shared" si="22"/>
        <v>0</v>
      </c>
      <c r="I159" s="47">
        <f t="shared" si="23"/>
        <v>0</v>
      </c>
      <c r="J159" s="47">
        <f t="shared" si="24"/>
        <v>0</v>
      </c>
      <c r="K159" s="47" t="str">
        <f t="shared" si="25"/>
        <v/>
      </c>
      <c r="L159" s="4" t="e">
        <f t="shared" si="26"/>
        <v>#N/A</v>
      </c>
      <c r="M159" s="4" t="e">
        <f t="shared" si="27"/>
        <v>#N/A</v>
      </c>
      <c r="N159" s="4" t="e">
        <f t="shared" si="28"/>
        <v>#N/A</v>
      </c>
      <c r="O159" s="4" t="str">
        <f t="shared" si="21"/>
        <v/>
      </c>
    </row>
    <row r="160" spans="1:15" x14ac:dyDescent="0.3">
      <c r="A160" t="s">
        <v>384</v>
      </c>
      <c r="B160" t="s">
        <v>449</v>
      </c>
      <c r="C160" s="26" t="s">
        <v>450</v>
      </c>
      <c r="D160" s="47" t="s">
        <v>451</v>
      </c>
      <c r="E160" s="47" t="s">
        <v>608</v>
      </c>
      <c r="F160">
        <v>80</v>
      </c>
      <c r="G160" t="s">
        <v>717</v>
      </c>
      <c r="H160" s="47">
        <f t="shared" si="22"/>
        <v>0</v>
      </c>
      <c r="I160" s="47">
        <f t="shared" si="23"/>
        <v>0</v>
      </c>
      <c r="J160" s="47">
        <f t="shared" si="24"/>
        <v>0</v>
      </c>
      <c r="K160" s="47" t="str">
        <f t="shared" si="25"/>
        <v/>
      </c>
      <c r="L160" s="4" t="e">
        <f t="shared" si="26"/>
        <v>#N/A</v>
      </c>
      <c r="M160" s="4" t="e">
        <f t="shared" si="27"/>
        <v>#N/A</v>
      </c>
      <c r="N160" s="4" t="e">
        <f t="shared" si="28"/>
        <v>#N/A</v>
      </c>
      <c r="O160" s="4" t="str">
        <f t="shared" si="21"/>
        <v/>
      </c>
    </row>
    <row r="161" spans="1:15" x14ac:dyDescent="0.3">
      <c r="A161" t="s">
        <v>384</v>
      </c>
      <c r="B161" t="s">
        <v>452</v>
      </c>
      <c r="C161" s="26" t="s">
        <v>453</v>
      </c>
      <c r="D161" s="47" t="s">
        <v>454</v>
      </c>
      <c r="E161" s="47" t="s">
        <v>608</v>
      </c>
      <c r="F161">
        <v>80</v>
      </c>
      <c r="G161" t="s">
        <v>718</v>
      </c>
      <c r="H161" s="47">
        <f t="shared" si="22"/>
        <v>0</v>
      </c>
      <c r="I161" s="47">
        <f t="shared" si="23"/>
        <v>0</v>
      </c>
      <c r="J161" s="47">
        <f t="shared" si="24"/>
        <v>0</v>
      </c>
      <c r="K161" s="47" t="str">
        <f t="shared" si="25"/>
        <v/>
      </c>
      <c r="L161" s="4" t="e">
        <f t="shared" si="26"/>
        <v>#N/A</v>
      </c>
      <c r="M161" s="4" t="e">
        <f t="shared" si="27"/>
        <v>#N/A</v>
      </c>
      <c r="N161" s="4" t="e">
        <f t="shared" si="28"/>
        <v>#N/A</v>
      </c>
      <c r="O161" s="4" t="str">
        <f t="shared" si="21"/>
        <v/>
      </c>
    </row>
    <row r="162" spans="1:15" x14ac:dyDescent="0.3">
      <c r="A162" t="s">
        <v>384</v>
      </c>
      <c r="B162" t="s">
        <v>455</v>
      </c>
      <c r="C162" s="26" t="s">
        <v>456</v>
      </c>
      <c r="D162" s="47" t="s">
        <v>457</v>
      </c>
      <c r="E162" s="47" t="s">
        <v>608</v>
      </c>
      <c r="G162" t="s">
        <v>718</v>
      </c>
      <c r="H162" s="47">
        <f t="shared" si="22"/>
        <v>0</v>
      </c>
      <c r="I162" s="47">
        <f t="shared" si="23"/>
        <v>0</v>
      </c>
      <c r="J162" s="47">
        <f t="shared" si="24"/>
        <v>0</v>
      </c>
      <c r="K162" s="47" t="str">
        <f t="shared" si="25"/>
        <v/>
      </c>
      <c r="L162" s="4" t="e">
        <f t="shared" si="26"/>
        <v>#N/A</v>
      </c>
      <c r="M162" s="4" t="e">
        <f t="shared" si="27"/>
        <v>#N/A</v>
      </c>
      <c r="N162" s="4" t="e">
        <f t="shared" si="28"/>
        <v>#N/A</v>
      </c>
      <c r="O162" s="4" t="str">
        <f t="shared" ref="O162:O187" si="29">IF(ISBLANK(structure_e6),"",VLOOKUP(K162,elements_lookup,2,0))</f>
        <v/>
      </c>
    </row>
    <row r="163" spans="1:15" x14ac:dyDescent="0.3">
      <c r="A163" t="s">
        <v>384</v>
      </c>
      <c r="B163" t="s">
        <v>458</v>
      </c>
      <c r="C163" s="26" t="s">
        <v>459</v>
      </c>
      <c r="D163" s="47" t="s">
        <v>460</v>
      </c>
      <c r="E163" s="47" t="s">
        <v>608</v>
      </c>
      <c r="F163">
        <v>80</v>
      </c>
      <c r="G163" t="s">
        <v>719</v>
      </c>
      <c r="H163" s="47">
        <f t="shared" si="22"/>
        <v>0</v>
      </c>
      <c r="I163" s="47">
        <f t="shared" si="23"/>
        <v>0</v>
      </c>
      <c r="J163" s="47">
        <f t="shared" si="24"/>
        <v>0</v>
      </c>
      <c r="K163" s="47" t="str">
        <f t="shared" si="25"/>
        <v/>
      </c>
      <c r="L163" s="4" t="e">
        <f t="shared" si="26"/>
        <v>#N/A</v>
      </c>
      <c r="M163" s="4" t="e">
        <f t="shared" si="27"/>
        <v>#N/A</v>
      </c>
      <c r="N163" s="4" t="e">
        <f t="shared" si="28"/>
        <v>#N/A</v>
      </c>
      <c r="O163" s="4" t="str">
        <f t="shared" si="29"/>
        <v/>
      </c>
    </row>
    <row r="164" spans="1:15" x14ac:dyDescent="0.3">
      <c r="A164" t="s">
        <v>384</v>
      </c>
      <c r="B164" t="s">
        <v>505</v>
      </c>
      <c r="C164" s="26" t="s">
        <v>506</v>
      </c>
      <c r="D164" s="47" t="s">
        <v>507</v>
      </c>
      <c r="E164" s="47" t="s">
        <v>608</v>
      </c>
      <c r="G164" t="s">
        <v>720</v>
      </c>
      <c r="H164" s="47">
        <f t="shared" si="22"/>
        <v>0</v>
      </c>
      <c r="I164" s="47">
        <f t="shared" si="23"/>
        <v>0</v>
      </c>
      <c r="J164" s="47">
        <f t="shared" si="24"/>
        <v>0</v>
      </c>
      <c r="K164" s="47" t="str">
        <f t="shared" si="25"/>
        <v/>
      </c>
      <c r="L164" s="4" t="e">
        <f t="shared" si="26"/>
        <v>#N/A</v>
      </c>
      <c r="M164" s="4" t="e">
        <f t="shared" si="27"/>
        <v>#N/A</v>
      </c>
      <c r="N164" s="4" t="e">
        <f t="shared" si="28"/>
        <v>#N/A</v>
      </c>
      <c r="O164" s="4" t="str">
        <f t="shared" si="29"/>
        <v/>
      </c>
    </row>
    <row r="165" spans="1:15" x14ac:dyDescent="0.3">
      <c r="A165" t="s">
        <v>384</v>
      </c>
      <c r="B165" t="s">
        <v>461</v>
      </c>
      <c r="C165" s="26" t="s">
        <v>462</v>
      </c>
      <c r="D165" s="47" t="s">
        <v>463</v>
      </c>
      <c r="E165" s="47" t="s">
        <v>608</v>
      </c>
      <c r="F165">
        <v>80</v>
      </c>
      <c r="G165" t="s">
        <v>721</v>
      </c>
      <c r="H165" s="47">
        <f t="shared" si="22"/>
        <v>0</v>
      </c>
      <c r="I165" s="47">
        <f t="shared" si="23"/>
        <v>0</v>
      </c>
      <c r="J165" s="47">
        <f t="shared" si="24"/>
        <v>0</v>
      </c>
      <c r="K165" s="47" t="str">
        <f t="shared" si="25"/>
        <v/>
      </c>
      <c r="L165" s="4" t="e">
        <f t="shared" si="26"/>
        <v>#N/A</v>
      </c>
      <c r="M165" s="4" t="e">
        <f t="shared" si="27"/>
        <v>#N/A</v>
      </c>
      <c r="N165" s="4" t="e">
        <f t="shared" si="28"/>
        <v>#N/A</v>
      </c>
      <c r="O165" s="4" t="str">
        <f t="shared" si="29"/>
        <v/>
      </c>
    </row>
    <row r="166" spans="1:15" x14ac:dyDescent="0.3">
      <c r="A166" t="s">
        <v>384</v>
      </c>
      <c r="B166" t="s">
        <v>464</v>
      </c>
      <c r="C166" s="26" t="s">
        <v>465</v>
      </c>
      <c r="D166" s="47" t="s">
        <v>466</v>
      </c>
      <c r="E166" s="47" t="s">
        <v>608</v>
      </c>
      <c r="F166">
        <v>80</v>
      </c>
      <c r="G166" t="s">
        <v>722</v>
      </c>
      <c r="H166" s="47">
        <f t="shared" si="22"/>
        <v>0</v>
      </c>
      <c r="I166" s="47">
        <f t="shared" si="23"/>
        <v>0</v>
      </c>
      <c r="J166" s="47">
        <f t="shared" si="24"/>
        <v>0</v>
      </c>
      <c r="K166" s="47" t="str">
        <f t="shared" si="25"/>
        <v/>
      </c>
      <c r="L166" s="4" t="e">
        <f t="shared" si="26"/>
        <v>#N/A</v>
      </c>
      <c r="M166" s="4" t="e">
        <f t="shared" si="27"/>
        <v>#N/A</v>
      </c>
      <c r="N166" s="4" t="e">
        <f t="shared" si="28"/>
        <v>#N/A</v>
      </c>
      <c r="O166" s="4" t="str">
        <f t="shared" si="29"/>
        <v/>
      </c>
    </row>
    <row r="167" spans="1:15" x14ac:dyDescent="0.3">
      <c r="A167" t="s">
        <v>384</v>
      </c>
      <c r="B167" t="s">
        <v>467</v>
      </c>
      <c r="C167" s="26" t="s">
        <v>468</v>
      </c>
      <c r="D167" s="47" t="s">
        <v>469</v>
      </c>
      <c r="E167" s="47" t="s">
        <v>608</v>
      </c>
      <c r="F167">
        <v>80</v>
      </c>
      <c r="G167" t="s">
        <v>723</v>
      </c>
      <c r="H167" s="47">
        <f t="shared" si="22"/>
        <v>0</v>
      </c>
      <c r="I167" s="47">
        <f t="shared" si="23"/>
        <v>0</v>
      </c>
      <c r="J167" s="47">
        <f t="shared" si="24"/>
        <v>0</v>
      </c>
      <c r="K167" s="47" t="str">
        <f t="shared" si="25"/>
        <v/>
      </c>
      <c r="L167" s="4" t="e">
        <f t="shared" si="26"/>
        <v>#N/A</v>
      </c>
      <c r="M167" s="4" t="e">
        <f t="shared" si="27"/>
        <v>#N/A</v>
      </c>
      <c r="N167" s="4" t="e">
        <f t="shared" si="28"/>
        <v>#N/A</v>
      </c>
      <c r="O167" s="4" t="str">
        <f t="shared" si="29"/>
        <v/>
      </c>
    </row>
    <row r="168" spans="1:15" x14ac:dyDescent="0.3">
      <c r="A168" t="s">
        <v>384</v>
      </c>
      <c r="B168" t="s">
        <v>414</v>
      </c>
      <c r="C168" s="26" t="s">
        <v>415</v>
      </c>
      <c r="D168" s="47" t="s">
        <v>601</v>
      </c>
      <c r="E168" s="47" t="s">
        <v>612</v>
      </c>
      <c r="F168">
        <v>63</v>
      </c>
      <c r="G168" t="s">
        <v>611</v>
      </c>
      <c r="H168" s="47">
        <f t="shared" si="22"/>
        <v>0</v>
      </c>
      <c r="I168" s="47">
        <f t="shared" si="23"/>
        <v>0</v>
      </c>
      <c r="J168" s="47">
        <f t="shared" si="24"/>
        <v>0</v>
      </c>
      <c r="K168" s="47" t="str">
        <f t="shared" si="25"/>
        <v/>
      </c>
      <c r="L168" s="4" t="e">
        <f t="shared" si="26"/>
        <v>#N/A</v>
      </c>
      <c r="M168" s="4" t="e">
        <f t="shared" si="27"/>
        <v>#N/A</v>
      </c>
      <c r="N168" s="4" t="e">
        <f t="shared" si="28"/>
        <v>#N/A</v>
      </c>
      <c r="O168" s="4" t="str">
        <f t="shared" si="29"/>
        <v/>
      </c>
    </row>
    <row r="169" spans="1:15" x14ac:dyDescent="0.3">
      <c r="A169" t="s">
        <v>384</v>
      </c>
      <c r="B169" t="s">
        <v>473</v>
      </c>
      <c r="C169" s="26" t="s">
        <v>474</v>
      </c>
      <c r="D169" s="47" t="s">
        <v>475</v>
      </c>
      <c r="E169" s="47" t="s">
        <v>608</v>
      </c>
      <c r="F169">
        <v>64</v>
      </c>
      <c r="G169" t="s">
        <v>709</v>
      </c>
      <c r="H169" s="47">
        <f t="shared" si="22"/>
        <v>0</v>
      </c>
      <c r="I169" s="47">
        <f t="shared" si="23"/>
        <v>0</v>
      </c>
      <c r="J169" s="47">
        <f t="shared" si="24"/>
        <v>0</v>
      </c>
      <c r="K169" s="47" t="str">
        <f t="shared" si="25"/>
        <v/>
      </c>
      <c r="L169" s="4" t="e">
        <f t="shared" si="26"/>
        <v>#N/A</v>
      </c>
      <c r="M169" s="4" t="e">
        <f t="shared" si="27"/>
        <v>#N/A</v>
      </c>
      <c r="N169" s="4" t="e">
        <f t="shared" si="28"/>
        <v>#N/A</v>
      </c>
      <c r="O169" s="4" t="str">
        <f t="shared" si="29"/>
        <v/>
      </c>
    </row>
    <row r="170" spans="1:15" x14ac:dyDescent="0.3">
      <c r="A170" t="s">
        <v>384</v>
      </c>
      <c r="B170" t="s">
        <v>470</v>
      </c>
      <c r="C170" s="26" t="s">
        <v>471</v>
      </c>
      <c r="D170" s="47" t="s">
        <v>472</v>
      </c>
      <c r="E170" s="47" t="s">
        <v>608</v>
      </c>
      <c r="F170">
        <v>64</v>
      </c>
      <c r="G170" t="s">
        <v>709</v>
      </c>
      <c r="H170" s="47">
        <f t="shared" si="22"/>
        <v>0</v>
      </c>
      <c r="I170" s="47">
        <f t="shared" si="23"/>
        <v>0</v>
      </c>
      <c r="J170" s="47">
        <f t="shared" si="24"/>
        <v>0</v>
      </c>
      <c r="K170" s="47" t="str">
        <f t="shared" si="25"/>
        <v/>
      </c>
      <c r="L170" s="4" t="e">
        <f t="shared" si="26"/>
        <v>#N/A</v>
      </c>
      <c r="M170" s="4" t="e">
        <f t="shared" si="27"/>
        <v>#N/A</v>
      </c>
      <c r="N170" s="4" t="e">
        <f t="shared" si="28"/>
        <v>#N/A</v>
      </c>
      <c r="O170" s="4" t="str">
        <f t="shared" si="29"/>
        <v/>
      </c>
    </row>
    <row r="171" spans="1:15" x14ac:dyDescent="0.3">
      <c r="A171" t="s">
        <v>384</v>
      </c>
      <c r="B171" t="s">
        <v>476</v>
      </c>
      <c r="C171" s="26" t="s">
        <v>477</v>
      </c>
      <c r="D171" s="47" t="s">
        <v>478</v>
      </c>
      <c r="E171" s="47" t="s">
        <v>608</v>
      </c>
      <c r="F171">
        <v>80</v>
      </c>
      <c r="G171" t="s">
        <v>724</v>
      </c>
      <c r="H171" s="47">
        <f t="shared" si="22"/>
        <v>0</v>
      </c>
      <c r="I171" s="47">
        <f t="shared" si="23"/>
        <v>0</v>
      </c>
      <c r="J171" s="47">
        <f t="shared" si="24"/>
        <v>0</v>
      </c>
      <c r="K171" s="47" t="str">
        <f t="shared" si="25"/>
        <v/>
      </c>
      <c r="L171" s="4" t="e">
        <f t="shared" si="26"/>
        <v>#N/A</v>
      </c>
      <c r="M171" s="4" t="e">
        <f t="shared" si="27"/>
        <v>#N/A</v>
      </c>
      <c r="N171" s="4" t="e">
        <f t="shared" si="28"/>
        <v>#N/A</v>
      </c>
      <c r="O171" s="4" t="str">
        <f t="shared" si="29"/>
        <v/>
      </c>
    </row>
    <row r="172" spans="1:15" x14ac:dyDescent="0.3">
      <c r="A172" t="s">
        <v>384</v>
      </c>
      <c r="B172" t="s">
        <v>479</v>
      </c>
      <c r="C172" s="26" t="s">
        <v>480</v>
      </c>
      <c r="D172" s="47" t="s">
        <v>481</v>
      </c>
      <c r="E172" s="47" t="s">
        <v>608</v>
      </c>
      <c r="F172">
        <v>80</v>
      </c>
      <c r="G172" t="s">
        <v>725</v>
      </c>
      <c r="H172" s="47">
        <f t="shared" si="22"/>
        <v>0</v>
      </c>
      <c r="I172" s="47">
        <f t="shared" si="23"/>
        <v>0</v>
      </c>
      <c r="J172" s="47">
        <f t="shared" si="24"/>
        <v>0</v>
      </c>
      <c r="K172" s="47" t="str">
        <f t="shared" si="25"/>
        <v/>
      </c>
      <c r="L172" s="4" t="e">
        <f t="shared" si="26"/>
        <v>#N/A</v>
      </c>
      <c r="M172" s="4" t="e">
        <f t="shared" si="27"/>
        <v>#N/A</v>
      </c>
      <c r="N172" s="4" t="e">
        <f t="shared" si="28"/>
        <v>#N/A</v>
      </c>
      <c r="O172" s="4" t="str">
        <f t="shared" si="29"/>
        <v/>
      </c>
    </row>
    <row r="173" spans="1:15" x14ac:dyDescent="0.3">
      <c r="A173" t="s">
        <v>384</v>
      </c>
      <c r="B173" t="s">
        <v>482</v>
      </c>
      <c r="C173" s="26" t="s">
        <v>483</v>
      </c>
      <c r="D173" s="47" t="s">
        <v>484</v>
      </c>
      <c r="E173" s="47" t="s">
        <v>608</v>
      </c>
      <c r="F173">
        <v>80</v>
      </c>
      <c r="G173" t="s">
        <v>726</v>
      </c>
      <c r="H173" s="47">
        <f t="shared" si="22"/>
        <v>0</v>
      </c>
      <c r="I173" s="47">
        <f t="shared" si="23"/>
        <v>0</v>
      </c>
      <c r="J173" s="47">
        <f t="shared" si="24"/>
        <v>0</v>
      </c>
      <c r="K173" s="47" t="str">
        <f t="shared" si="25"/>
        <v/>
      </c>
      <c r="L173" s="4" t="e">
        <f t="shared" si="26"/>
        <v>#N/A</v>
      </c>
      <c r="M173" s="4" t="e">
        <f t="shared" si="27"/>
        <v>#N/A</v>
      </c>
      <c r="N173" s="4" t="e">
        <f t="shared" si="28"/>
        <v>#N/A</v>
      </c>
      <c r="O173" s="4" t="str">
        <f t="shared" si="29"/>
        <v/>
      </c>
    </row>
    <row r="174" spans="1:15" x14ac:dyDescent="0.3">
      <c r="A174" t="s">
        <v>384</v>
      </c>
      <c r="B174" t="s">
        <v>488</v>
      </c>
      <c r="C174" s="26" t="s">
        <v>489</v>
      </c>
      <c r="D174" s="47" t="s">
        <v>490</v>
      </c>
      <c r="E174" s="47" t="s">
        <v>608</v>
      </c>
      <c r="F174">
        <v>80</v>
      </c>
      <c r="G174" t="s">
        <v>727</v>
      </c>
      <c r="H174" s="47">
        <f t="shared" si="22"/>
        <v>0</v>
      </c>
      <c r="I174" s="47">
        <f t="shared" si="23"/>
        <v>0</v>
      </c>
      <c r="J174" s="47">
        <f t="shared" si="24"/>
        <v>0</v>
      </c>
      <c r="K174" s="47" t="str">
        <f t="shared" si="25"/>
        <v/>
      </c>
      <c r="L174" s="4" t="e">
        <f t="shared" si="26"/>
        <v>#N/A</v>
      </c>
      <c r="M174" s="4" t="e">
        <f t="shared" si="27"/>
        <v>#N/A</v>
      </c>
      <c r="N174" s="4" t="e">
        <f t="shared" si="28"/>
        <v>#N/A</v>
      </c>
      <c r="O174" s="4" t="str">
        <f t="shared" si="29"/>
        <v/>
      </c>
    </row>
    <row r="175" spans="1:15" x14ac:dyDescent="0.3">
      <c r="A175" t="s">
        <v>384</v>
      </c>
      <c r="B175" t="s">
        <v>497</v>
      </c>
      <c r="C175" s="26" t="s">
        <v>498</v>
      </c>
      <c r="D175" s="47" t="s">
        <v>499</v>
      </c>
      <c r="E175" s="47" t="s">
        <v>608</v>
      </c>
      <c r="F175">
        <v>80</v>
      </c>
      <c r="G175" t="s">
        <v>697</v>
      </c>
      <c r="H175" s="47">
        <f t="shared" si="22"/>
        <v>0</v>
      </c>
      <c r="I175" s="47">
        <f t="shared" si="23"/>
        <v>0</v>
      </c>
      <c r="J175" s="47">
        <f t="shared" si="24"/>
        <v>0</v>
      </c>
      <c r="K175" s="47" t="str">
        <f t="shared" si="25"/>
        <v/>
      </c>
      <c r="L175" s="4" t="e">
        <f t="shared" si="26"/>
        <v>#N/A</v>
      </c>
      <c r="M175" s="4" t="e">
        <f t="shared" si="27"/>
        <v>#N/A</v>
      </c>
      <c r="N175" s="4" t="e">
        <f t="shared" si="28"/>
        <v>#N/A</v>
      </c>
      <c r="O175" s="4" t="str">
        <f t="shared" si="29"/>
        <v/>
      </c>
    </row>
    <row r="176" spans="1:15" x14ac:dyDescent="0.3">
      <c r="A176" t="s">
        <v>384</v>
      </c>
      <c r="B176" t="s">
        <v>494</v>
      </c>
      <c r="C176" s="26" t="s">
        <v>495</v>
      </c>
      <c r="D176" s="47" t="s">
        <v>496</v>
      </c>
      <c r="E176" s="47" t="s">
        <v>608</v>
      </c>
      <c r="F176">
        <v>63</v>
      </c>
      <c r="G176" t="s">
        <v>728</v>
      </c>
      <c r="H176" s="47">
        <f t="shared" si="22"/>
        <v>0</v>
      </c>
      <c r="I176" s="47">
        <f t="shared" si="23"/>
        <v>0</v>
      </c>
      <c r="J176" s="47">
        <f t="shared" si="24"/>
        <v>0</v>
      </c>
      <c r="K176" s="47" t="str">
        <f t="shared" si="25"/>
        <v/>
      </c>
      <c r="L176" s="4" t="e">
        <f t="shared" si="26"/>
        <v>#N/A</v>
      </c>
      <c r="M176" s="4" t="e">
        <f t="shared" si="27"/>
        <v>#N/A</v>
      </c>
      <c r="N176" s="4" t="e">
        <f t="shared" si="28"/>
        <v>#N/A</v>
      </c>
      <c r="O176" s="4" t="str">
        <f t="shared" si="29"/>
        <v/>
      </c>
    </row>
    <row r="177" spans="1:15" x14ac:dyDescent="0.3">
      <c r="A177" t="s">
        <v>384</v>
      </c>
      <c r="B177" t="s">
        <v>485</v>
      </c>
      <c r="C177" s="26" t="s">
        <v>486</v>
      </c>
      <c r="D177" s="47" t="s">
        <v>487</v>
      </c>
      <c r="E177" s="47" t="s">
        <v>608</v>
      </c>
      <c r="F177">
        <v>80</v>
      </c>
      <c r="G177" t="s">
        <v>729</v>
      </c>
      <c r="H177" s="47">
        <f t="shared" si="22"/>
        <v>0</v>
      </c>
      <c r="I177" s="47">
        <f t="shared" si="23"/>
        <v>0</v>
      </c>
      <c r="J177" s="47">
        <f t="shared" si="24"/>
        <v>0</v>
      </c>
      <c r="K177" s="47" t="str">
        <f t="shared" si="25"/>
        <v/>
      </c>
      <c r="L177" s="4" t="e">
        <f t="shared" si="26"/>
        <v>#N/A</v>
      </c>
      <c r="M177" s="4" t="e">
        <f t="shared" si="27"/>
        <v>#N/A</v>
      </c>
      <c r="N177" s="4" t="e">
        <f t="shared" si="28"/>
        <v>#N/A</v>
      </c>
      <c r="O177" s="4" t="str">
        <f t="shared" si="29"/>
        <v/>
      </c>
    </row>
    <row r="178" spans="1:15" x14ac:dyDescent="0.3">
      <c r="A178" t="s">
        <v>384</v>
      </c>
      <c r="B178" t="s">
        <v>517</v>
      </c>
      <c r="C178" s="26" t="s">
        <v>486</v>
      </c>
      <c r="D178" s="47" t="s">
        <v>518</v>
      </c>
      <c r="E178" s="47" t="s">
        <v>608</v>
      </c>
      <c r="F178">
        <v>80</v>
      </c>
      <c r="G178" t="s">
        <v>729</v>
      </c>
      <c r="H178" s="47">
        <f t="shared" si="22"/>
        <v>0</v>
      </c>
      <c r="I178" s="47">
        <f t="shared" si="23"/>
        <v>0</v>
      </c>
      <c r="J178" s="47">
        <f t="shared" si="24"/>
        <v>0</v>
      </c>
      <c r="K178" s="47" t="str">
        <f t="shared" si="25"/>
        <v/>
      </c>
      <c r="L178" s="4" t="e">
        <f t="shared" si="26"/>
        <v>#N/A</v>
      </c>
      <c r="M178" s="4" t="e">
        <f t="shared" si="27"/>
        <v>#N/A</v>
      </c>
      <c r="N178" s="4" t="e">
        <f t="shared" si="28"/>
        <v>#N/A</v>
      </c>
      <c r="O178" s="4" t="str">
        <f t="shared" si="29"/>
        <v/>
      </c>
    </row>
    <row r="179" spans="1:15" x14ac:dyDescent="0.3">
      <c r="A179" t="s">
        <v>384</v>
      </c>
      <c r="B179" t="s">
        <v>428</v>
      </c>
      <c r="C179" s="26" t="s">
        <v>429</v>
      </c>
      <c r="D179" s="47" t="s">
        <v>430</v>
      </c>
      <c r="E179" s="47" t="s">
        <v>608</v>
      </c>
      <c r="F179">
        <v>80</v>
      </c>
      <c r="G179" t="s">
        <v>718</v>
      </c>
      <c r="H179" s="47">
        <f t="shared" si="22"/>
        <v>0</v>
      </c>
      <c r="I179" s="47">
        <f t="shared" si="23"/>
        <v>0</v>
      </c>
      <c r="J179" s="47">
        <f t="shared" si="24"/>
        <v>0</v>
      </c>
      <c r="K179" s="47" t="str">
        <f t="shared" si="25"/>
        <v/>
      </c>
      <c r="L179" s="4" t="e">
        <f t="shared" si="26"/>
        <v>#N/A</v>
      </c>
      <c r="M179" s="4" t="e">
        <f t="shared" si="27"/>
        <v>#N/A</v>
      </c>
      <c r="N179" s="4" t="e">
        <f t="shared" si="28"/>
        <v>#N/A</v>
      </c>
      <c r="O179" s="4" t="str">
        <f t="shared" si="29"/>
        <v/>
      </c>
    </row>
    <row r="180" spans="1:15" x14ac:dyDescent="0.3">
      <c r="A180" t="s">
        <v>384</v>
      </c>
      <c r="B180" t="s">
        <v>503</v>
      </c>
      <c r="C180" s="26" t="s">
        <v>429</v>
      </c>
      <c r="D180" s="47" t="s">
        <v>504</v>
      </c>
      <c r="E180" s="47" t="s">
        <v>608</v>
      </c>
      <c r="F180">
        <v>80</v>
      </c>
      <c r="G180" t="s">
        <v>718</v>
      </c>
      <c r="H180" s="47">
        <f t="shared" si="22"/>
        <v>0</v>
      </c>
      <c r="I180" s="47">
        <f t="shared" si="23"/>
        <v>0</v>
      </c>
      <c r="J180" s="47">
        <f t="shared" si="24"/>
        <v>0</v>
      </c>
      <c r="K180" s="47" t="str">
        <f t="shared" si="25"/>
        <v/>
      </c>
      <c r="L180" s="4" t="e">
        <f t="shared" si="26"/>
        <v>#N/A</v>
      </c>
      <c r="M180" s="4" t="e">
        <f t="shared" si="27"/>
        <v>#N/A</v>
      </c>
      <c r="N180" s="4" t="e">
        <f t="shared" si="28"/>
        <v>#N/A</v>
      </c>
      <c r="O180" s="4" t="str">
        <f t="shared" si="29"/>
        <v/>
      </c>
    </row>
    <row r="181" spans="1:15" x14ac:dyDescent="0.3">
      <c r="A181" t="s">
        <v>384</v>
      </c>
      <c r="B181" t="s">
        <v>500</v>
      </c>
      <c r="C181" s="26" t="s">
        <v>501</v>
      </c>
      <c r="D181" s="47" t="s">
        <v>502</v>
      </c>
      <c r="E181" s="47" t="s">
        <v>608</v>
      </c>
      <c r="F181">
        <v>64</v>
      </c>
      <c r="G181" t="s">
        <v>730</v>
      </c>
      <c r="H181" s="47">
        <f t="shared" si="22"/>
        <v>0</v>
      </c>
      <c r="I181" s="47">
        <f t="shared" si="23"/>
        <v>0</v>
      </c>
      <c r="J181" s="47">
        <f t="shared" si="24"/>
        <v>0</v>
      </c>
      <c r="K181" s="47" t="str">
        <f t="shared" si="25"/>
        <v/>
      </c>
      <c r="L181" s="4" t="e">
        <f t="shared" si="26"/>
        <v>#N/A</v>
      </c>
      <c r="M181" s="4" t="e">
        <f t="shared" si="27"/>
        <v>#N/A</v>
      </c>
      <c r="N181" s="4" t="e">
        <f t="shared" si="28"/>
        <v>#N/A</v>
      </c>
      <c r="O181" s="4" t="str">
        <f t="shared" si="29"/>
        <v/>
      </c>
    </row>
    <row r="182" spans="1:15" x14ac:dyDescent="0.3">
      <c r="A182" t="s">
        <v>384</v>
      </c>
      <c r="B182" t="s">
        <v>511</v>
      </c>
      <c r="C182" s="26" t="s">
        <v>512</v>
      </c>
      <c r="D182" s="47" t="s">
        <v>513</v>
      </c>
      <c r="E182" s="47" t="s">
        <v>608</v>
      </c>
      <c r="F182">
        <v>80</v>
      </c>
      <c r="G182" t="s">
        <v>731</v>
      </c>
      <c r="H182" s="47">
        <f t="shared" si="22"/>
        <v>0</v>
      </c>
      <c r="I182" s="47">
        <f t="shared" si="23"/>
        <v>0</v>
      </c>
      <c r="J182" s="47">
        <f t="shared" si="24"/>
        <v>0</v>
      </c>
      <c r="K182" s="47" t="str">
        <f t="shared" si="25"/>
        <v/>
      </c>
      <c r="L182" s="4" t="e">
        <f t="shared" si="26"/>
        <v>#N/A</v>
      </c>
      <c r="M182" s="4" t="e">
        <f t="shared" si="27"/>
        <v>#N/A</v>
      </c>
      <c r="N182" s="4" t="e">
        <f t="shared" si="28"/>
        <v>#N/A</v>
      </c>
      <c r="O182" s="4" t="str">
        <f t="shared" si="29"/>
        <v/>
      </c>
    </row>
    <row r="183" spans="1:15" x14ac:dyDescent="0.3">
      <c r="A183" t="s">
        <v>384</v>
      </c>
      <c r="B183" t="s">
        <v>508</v>
      </c>
      <c r="C183" s="26" t="s">
        <v>509</v>
      </c>
      <c r="D183" s="47" t="s">
        <v>510</v>
      </c>
      <c r="E183" s="47" t="s">
        <v>608</v>
      </c>
      <c r="F183">
        <v>80</v>
      </c>
      <c r="G183" t="s">
        <v>732</v>
      </c>
      <c r="H183" s="47">
        <f t="shared" si="22"/>
        <v>0</v>
      </c>
      <c r="I183" s="47">
        <f t="shared" si="23"/>
        <v>0</v>
      </c>
      <c r="J183" s="47">
        <f t="shared" si="24"/>
        <v>0</v>
      </c>
      <c r="K183" s="47" t="str">
        <f t="shared" si="25"/>
        <v/>
      </c>
      <c r="L183" s="4" t="e">
        <f t="shared" si="26"/>
        <v>#N/A</v>
      </c>
      <c r="M183" s="4" t="e">
        <f t="shared" si="27"/>
        <v>#N/A</v>
      </c>
      <c r="N183" s="4" t="e">
        <f t="shared" si="28"/>
        <v>#N/A</v>
      </c>
      <c r="O183" s="4" t="str">
        <f t="shared" si="29"/>
        <v/>
      </c>
    </row>
    <row r="184" spans="1:15" x14ac:dyDescent="0.3">
      <c r="A184" t="s">
        <v>384</v>
      </c>
      <c r="B184" t="s">
        <v>514</v>
      </c>
      <c r="C184" s="26" t="s">
        <v>515</v>
      </c>
      <c r="D184" s="47" t="s">
        <v>516</v>
      </c>
      <c r="E184" s="47" t="s">
        <v>608</v>
      </c>
      <c r="F184">
        <v>80</v>
      </c>
      <c r="G184" t="s">
        <v>733</v>
      </c>
      <c r="H184" s="47">
        <f t="shared" si="22"/>
        <v>0</v>
      </c>
      <c r="I184" s="47">
        <f t="shared" si="23"/>
        <v>0</v>
      </c>
      <c r="J184" s="47">
        <f t="shared" si="24"/>
        <v>0</v>
      </c>
      <c r="K184" s="47" t="str">
        <f t="shared" si="25"/>
        <v/>
      </c>
      <c r="L184" s="4" t="e">
        <f t="shared" si="26"/>
        <v>#N/A</v>
      </c>
      <c r="M184" s="4" t="e">
        <f t="shared" si="27"/>
        <v>#N/A</v>
      </c>
      <c r="N184" s="4" t="e">
        <f t="shared" si="28"/>
        <v>#N/A</v>
      </c>
      <c r="O184" s="4" t="str">
        <f t="shared" si="29"/>
        <v/>
      </c>
    </row>
    <row r="185" spans="1:15" x14ac:dyDescent="0.3">
      <c r="A185" t="s">
        <v>384</v>
      </c>
      <c r="B185" t="s">
        <v>491</v>
      </c>
      <c r="C185" s="26" t="s">
        <v>492</v>
      </c>
      <c r="D185" s="47" t="s">
        <v>493</v>
      </c>
      <c r="E185" s="47" t="s">
        <v>608</v>
      </c>
      <c r="F185">
        <v>80</v>
      </c>
      <c r="G185" t="s">
        <v>734</v>
      </c>
      <c r="H185" s="47">
        <f t="shared" si="22"/>
        <v>0</v>
      </c>
      <c r="I185" s="47">
        <f t="shared" si="23"/>
        <v>0</v>
      </c>
      <c r="J185" s="47">
        <f t="shared" si="24"/>
        <v>0</v>
      </c>
      <c r="K185" s="47" t="str">
        <f t="shared" si="25"/>
        <v/>
      </c>
      <c r="L185" s="4" t="e">
        <f t="shared" si="26"/>
        <v>#N/A</v>
      </c>
      <c r="M185" s="4" t="e">
        <f t="shared" si="27"/>
        <v>#N/A</v>
      </c>
      <c r="N185" s="4" t="e">
        <f t="shared" si="28"/>
        <v>#N/A</v>
      </c>
      <c r="O185" s="4" t="str">
        <f t="shared" si="29"/>
        <v/>
      </c>
    </row>
    <row r="186" spans="1:15" x14ac:dyDescent="0.3">
      <c r="A186" t="s">
        <v>519</v>
      </c>
      <c r="B186" t="s">
        <v>532</v>
      </c>
      <c r="C186" s="26" t="s">
        <v>533</v>
      </c>
      <c r="D186" s="47" t="s">
        <v>534</v>
      </c>
      <c r="E186" s="47" t="s">
        <v>608</v>
      </c>
      <c r="G186" t="s">
        <v>735</v>
      </c>
      <c r="H186" s="47">
        <f t="shared" si="22"/>
        <v>0</v>
      </c>
      <c r="I186" s="47">
        <f t="shared" si="23"/>
        <v>0</v>
      </c>
      <c r="J186" s="47">
        <f t="shared" si="24"/>
        <v>0</v>
      </c>
      <c r="K186" s="47" t="str">
        <f t="shared" si="25"/>
        <v/>
      </c>
      <c r="L186" s="4" t="e">
        <f t="shared" si="26"/>
        <v>#N/A</v>
      </c>
      <c r="M186" s="4" t="e">
        <f t="shared" si="27"/>
        <v>#N/A</v>
      </c>
      <c r="N186" s="4" t="e">
        <f t="shared" si="28"/>
        <v>#N/A</v>
      </c>
      <c r="O186" s="4" t="str">
        <f t="shared" si="29"/>
        <v/>
      </c>
    </row>
    <row r="187" spans="1:15" x14ac:dyDescent="0.3">
      <c r="A187" t="s">
        <v>519</v>
      </c>
      <c r="B187" t="s">
        <v>526</v>
      </c>
      <c r="C187" s="26" t="s">
        <v>527</v>
      </c>
      <c r="D187" s="47" t="s">
        <v>528</v>
      </c>
      <c r="E187" s="47" t="s">
        <v>608</v>
      </c>
      <c r="F187">
        <v>24</v>
      </c>
      <c r="G187" t="s">
        <v>735</v>
      </c>
      <c r="H187" s="47">
        <f t="shared" si="22"/>
        <v>0</v>
      </c>
      <c r="I187" s="47">
        <f t="shared" si="23"/>
        <v>0</v>
      </c>
      <c r="J187" s="47">
        <f t="shared" si="24"/>
        <v>0</v>
      </c>
      <c r="K187" s="47" t="str">
        <f t="shared" si="25"/>
        <v/>
      </c>
      <c r="L187" s="4" t="e">
        <f t="shared" si="26"/>
        <v>#N/A</v>
      </c>
      <c r="M187" s="4" t="e">
        <f t="shared" si="27"/>
        <v>#N/A</v>
      </c>
      <c r="N187" s="4" t="e">
        <f t="shared" si="28"/>
        <v>#N/A</v>
      </c>
      <c r="O187" s="4" t="str">
        <f t="shared" si="29"/>
        <v/>
      </c>
    </row>
    <row r="188" spans="1:15" x14ac:dyDescent="0.3">
      <c r="A188" t="s">
        <v>519</v>
      </c>
      <c r="B188" t="s">
        <v>523</v>
      </c>
      <c r="C188" s="26" t="s">
        <v>524</v>
      </c>
      <c r="D188" s="47" t="s">
        <v>525</v>
      </c>
      <c r="E188" s="47" t="s">
        <v>608</v>
      </c>
      <c r="F188">
        <v>24</v>
      </c>
      <c r="G188" t="s">
        <v>736</v>
      </c>
      <c r="H188" s="47">
        <f t="shared" si="22"/>
        <v>0</v>
      </c>
      <c r="I188" s="47">
        <f t="shared" si="23"/>
        <v>0</v>
      </c>
      <c r="J188" s="47">
        <f t="shared" si="24"/>
        <v>0</v>
      </c>
      <c r="K188" s="47" t="str">
        <f t="shared" si="25"/>
        <v/>
      </c>
      <c r="L188" s="4" t="e">
        <f t="shared" si="26"/>
        <v>#N/A</v>
      </c>
      <c r="M188" s="4" t="e">
        <f t="shared" si="27"/>
        <v>#N/A</v>
      </c>
      <c r="N188" s="4" t="e">
        <f t="shared" si="28"/>
        <v>#N/A</v>
      </c>
      <c r="O188" s="4" t="e">
        <f>IF(ISBLANK(K188),"",VLOOKUP(K188,elements_lookup,2,0))</f>
        <v>#N/A</v>
      </c>
    </row>
    <row r="189" spans="1:15" x14ac:dyDescent="0.3">
      <c r="A189" t="s">
        <v>519</v>
      </c>
      <c r="B189" t="s">
        <v>529</v>
      </c>
      <c r="C189" s="26" t="s">
        <v>530</v>
      </c>
      <c r="D189" s="47" t="s">
        <v>531</v>
      </c>
      <c r="E189" s="47" t="s">
        <v>608</v>
      </c>
      <c r="F189">
        <v>128</v>
      </c>
      <c r="G189" t="s">
        <v>737</v>
      </c>
      <c r="H189" s="47">
        <f t="shared" si="22"/>
        <v>0</v>
      </c>
      <c r="I189" s="47">
        <f t="shared" si="23"/>
        <v>0</v>
      </c>
      <c r="J189" s="47">
        <f t="shared" si="24"/>
        <v>0</v>
      </c>
      <c r="K189" s="47" t="str">
        <f t="shared" si="25"/>
        <v/>
      </c>
      <c r="L189" s="4" t="e">
        <f t="shared" si="26"/>
        <v>#N/A</v>
      </c>
      <c r="M189" s="4" t="e">
        <f t="shared" si="27"/>
        <v>#N/A</v>
      </c>
      <c r="N189" s="4" t="e">
        <f t="shared" si="28"/>
        <v>#N/A</v>
      </c>
      <c r="O189" s="4" t="str">
        <f t="shared" ref="O189:O205" si="30">IF(ISBLANK(structure_e6),"",VLOOKUP(K189,elements_lookup,2,0))</f>
        <v/>
      </c>
    </row>
    <row r="190" spans="1:15" x14ac:dyDescent="0.3">
      <c r="A190" t="s">
        <v>519</v>
      </c>
      <c r="B190" t="s">
        <v>520</v>
      </c>
      <c r="C190" s="26" t="s">
        <v>521</v>
      </c>
      <c r="D190" s="47" t="s">
        <v>522</v>
      </c>
      <c r="E190" s="47" t="s">
        <v>608</v>
      </c>
      <c r="F190">
        <v>80</v>
      </c>
      <c r="G190" t="s">
        <v>705</v>
      </c>
      <c r="H190" s="47">
        <f t="shared" si="22"/>
        <v>0</v>
      </c>
      <c r="I190" s="47">
        <f t="shared" si="23"/>
        <v>0</v>
      </c>
      <c r="J190" s="47">
        <f t="shared" si="24"/>
        <v>0</v>
      </c>
      <c r="K190" s="47" t="str">
        <f t="shared" si="25"/>
        <v/>
      </c>
      <c r="L190" s="4" t="e">
        <f t="shared" si="26"/>
        <v>#N/A</v>
      </c>
      <c r="M190" s="4" t="e">
        <f t="shared" si="27"/>
        <v>#N/A</v>
      </c>
      <c r="N190" s="4" t="e">
        <f t="shared" si="28"/>
        <v>#N/A</v>
      </c>
      <c r="O190" s="4" t="str">
        <f t="shared" si="30"/>
        <v/>
      </c>
    </row>
    <row r="191" spans="1:15" x14ac:dyDescent="0.3">
      <c r="A191" t="s">
        <v>519</v>
      </c>
      <c r="B191" t="s">
        <v>544</v>
      </c>
      <c r="C191" s="26" t="s">
        <v>420</v>
      </c>
      <c r="D191" s="47" t="s">
        <v>545</v>
      </c>
      <c r="E191" s="47" t="s">
        <v>608</v>
      </c>
      <c r="F191">
        <v>80</v>
      </c>
      <c r="G191" t="s">
        <v>734</v>
      </c>
      <c r="H191" s="47">
        <f t="shared" si="22"/>
        <v>0</v>
      </c>
      <c r="I191" s="47">
        <f t="shared" si="23"/>
        <v>0</v>
      </c>
      <c r="J191" s="47">
        <f t="shared" si="24"/>
        <v>0</v>
      </c>
      <c r="K191" s="47" t="str">
        <f t="shared" si="25"/>
        <v/>
      </c>
      <c r="L191" s="4" t="e">
        <f t="shared" si="26"/>
        <v>#N/A</v>
      </c>
      <c r="M191" s="4" t="e">
        <f t="shared" si="27"/>
        <v>#N/A</v>
      </c>
      <c r="N191" s="4" t="e">
        <f t="shared" si="28"/>
        <v>#N/A</v>
      </c>
      <c r="O191" s="4" t="str">
        <f t="shared" si="30"/>
        <v/>
      </c>
    </row>
    <row r="192" spans="1:15" x14ac:dyDescent="0.3">
      <c r="A192" t="s">
        <v>519</v>
      </c>
      <c r="B192" t="s">
        <v>546</v>
      </c>
      <c r="C192" s="26" t="s">
        <v>547</v>
      </c>
      <c r="D192" s="47" t="s">
        <v>548</v>
      </c>
      <c r="E192" s="47" t="s">
        <v>608</v>
      </c>
      <c r="F192">
        <v>80</v>
      </c>
      <c r="G192" t="s">
        <v>738</v>
      </c>
      <c r="H192" s="47">
        <f t="shared" si="22"/>
        <v>0</v>
      </c>
      <c r="I192" s="47">
        <f t="shared" si="23"/>
        <v>0</v>
      </c>
      <c r="J192" s="47">
        <f t="shared" si="24"/>
        <v>0</v>
      </c>
      <c r="K192" s="47" t="str">
        <f t="shared" si="25"/>
        <v/>
      </c>
      <c r="L192" s="4" t="e">
        <f t="shared" si="26"/>
        <v>#N/A</v>
      </c>
      <c r="M192" s="4" t="e">
        <f t="shared" si="27"/>
        <v>#N/A</v>
      </c>
      <c r="N192" s="4" t="e">
        <f t="shared" si="28"/>
        <v>#N/A</v>
      </c>
      <c r="O192" s="4" t="str">
        <f t="shared" si="30"/>
        <v/>
      </c>
    </row>
    <row r="193" spans="1:15" x14ac:dyDescent="0.3">
      <c r="A193" t="s">
        <v>519</v>
      </c>
      <c r="B193" t="s">
        <v>535</v>
      </c>
      <c r="C193" s="26" t="s">
        <v>536</v>
      </c>
      <c r="D193" s="47" t="s">
        <v>537</v>
      </c>
      <c r="E193" s="47" t="s">
        <v>608</v>
      </c>
      <c r="F193">
        <v>80</v>
      </c>
      <c r="G193" t="s">
        <v>718</v>
      </c>
      <c r="H193" s="47">
        <f t="shared" si="22"/>
        <v>0</v>
      </c>
      <c r="I193" s="47">
        <f t="shared" si="23"/>
        <v>0</v>
      </c>
      <c r="J193" s="47">
        <f t="shared" si="24"/>
        <v>0</v>
      </c>
      <c r="K193" s="47" t="str">
        <f t="shared" si="25"/>
        <v/>
      </c>
      <c r="L193" s="4" t="e">
        <f t="shared" si="26"/>
        <v>#N/A</v>
      </c>
      <c r="M193" s="4" t="e">
        <f t="shared" si="27"/>
        <v>#N/A</v>
      </c>
      <c r="N193" s="4" t="e">
        <f t="shared" si="28"/>
        <v>#N/A</v>
      </c>
      <c r="O193" s="4" t="str">
        <f t="shared" si="30"/>
        <v/>
      </c>
    </row>
    <row r="194" spans="1:15" x14ac:dyDescent="0.3">
      <c r="A194" t="s">
        <v>519</v>
      </c>
      <c r="B194" t="s">
        <v>538</v>
      </c>
      <c r="C194" s="26" t="s">
        <v>539</v>
      </c>
      <c r="D194" s="47" t="s">
        <v>540</v>
      </c>
      <c r="E194" s="47" t="s">
        <v>608</v>
      </c>
      <c r="F194">
        <v>80</v>
      </c>
      <c r="G194" t="s">
        <v>739</v>
      </c>
      <c r="H194" s="47">
        <f t="shared" si="22"/>
        <v>0</v>
      </c>
      <c r="I194" s="47">
        <f t="shared" si="23"/>
        <v>0</v>
      </c>
      <c r="J194" s="47">
        <f t="shared" si="24"/>
        <v>0</v>
      </c>
      <c r="K194" s="47" t="str">
        <f t="shared" si="25"/>
        <v/>
      </c>
      <c r="L194" s="4" t="e">
        <f t="shared" si="26"/>
        <v>#N/A</v>
      </c>
      <c r="M194" s="4" t="e">
        <f t="shared" si="27"/>
        <v>#N/A</v>
      </c>
      <c r="N194" s="4" t="e">
        <f t="shared" si="28"/>
        <v>#N/A</v>
      </c>
      <c r="O194" s="4" t="str">
        <f t="shared" si="30"/>
        <v/>
      </c>
    </row>
    <row r="195" spans="1:15" x14ac:dyDescent="0.3">
      <c r="A195" t="s">
        <v>519</v>
      </c>
      <c r="B195" t="s">
        <v>541</v>
      </c>
      <c r="C195" s="26" t="s">
        <v>542</v>
      </c>
      <c r="D195" s="47" t="s">
        <v>543</v>
      </c>
      <c r="E195" s="47" t="s">
        <v>608</v>
      </c>
      <c r="F195">
        <v>80</v>
      </c>
      <c r="G195" t="s">
        <v>740</v>
      </c>
      <c r="H195" s="47">
        <f t="shared" si="22"/>
        <v>0</v>
      </c>
      <c r="I195" s="47">
        <f t="shared" si="23"/>
        <v>0</v>
      </c>
      <c r="J195" s="47">
        <f t="shared" si="24"/>
        <v>0</v>
      </c>
      <c r="K195" s="47" t="str">
        <f t="shared" si="25"/>
        <v/>
      </c>
      <c r="L195" s="4" t="e">
        <f t="shared" si="26"/>
        <v>#N/A</v>
      </c>
      <c r="M195" s="4" t="e">
        <f t="shared" si="27"/>
        <v>#N/A</v>
      </c>
      <c r="N195" s="4" t="e">
        <f t="shared" si="28"/>
        <v>#N/A</v>
      </c>
      <c r="O195" s="4" t="str">
        <f t="shared" si="30"/>
        <v/>
      </c>
    </row>
    <row r="196" spans="1:15" x14ac:dyDescent="0.3">
      <c r="A196" t="s">
        <v>549</v>
      </c>
      <c r="B196" t="s">
        <v>553</v>
      </c>
      <c r="C196" s="26" t="s">
        <v>554</v>
      </c>
      <c r="D196" s="47" t="s">
        <v>555</v>
      </c>
      <c r="E196" s="47" t="s">
        <v>608</v>
      </c>
      <c r="F196">
        <v>50</v>
      </c>
      <c r="G196" t="s">
        <v>736</v>
      </c>
      <c r="H196" s="47">
        <f t="shared" ref="H196:H205" si="31">structure_e3</f>
        <v>0</v>
      </c>
      <c r="I196" s="47">
        <f t="shared" ref="I196:I205" si="32">structure_e4</f>
        <v>0</v>
      </c>
      <c r="J196" s="47">
        <f t="shared" ref="J196:J205" si="33">structure_e5</f>
        <v>0</v>
      </c>
      <c r="K196" s="47" t="str">
        <f t="shared" ref="K196:K205" si="34">IF(ISBLANK(structure_e6),"",structure_e6)</f>
        <v/>
      </c>
      <c r="L196" s="4" t="e">
        <f t="shared" ref="L196:L205" si="35">VLOOKUP(H196,elements_lookup,2,0)</f>
        <v>#N/A</v>
      </c>
      <c r="M196" s="4" t="e">
        <f t="shared" ref="M196:M205" si="36">VLOOKUP(I196,elements_lookup,2,0)</f>
        <v>#N/A</v>
      </c>
      <c r="N196" s="4" t="e">
        <f t="shared" ref="N196:N205" si="37">VLOOKUP(J196,elements_lookup,2,0)</f>
        <v>#N/A</v>
      </c>
      <c r="O196" s="4" t="str">
        <f t="shared" si="30"/>
        <v/>
      </c>
    </row>
    <row r="197" spans="1:15" x14ac:dyDescent="0.3">
      <c r="A197" t="s">
        <v>549</v>
      </c>
      <c r="B197" t="s">
        <v>556</v>
      </c>
      <c r="C197" s="26" t="s">
        <v>557</v>
      </c>
      <c r="D197" s="47" t="s">
        <v>558</v>
      </c>
      <c r="E197" s="47" t="s">
        <v>608</v>
      </c>
      <c r="F197">
        <v>75</v>
      </c>
      <c r="G197" t="s">
        <v>734</v>
      </c>
      <c r="H197" s="47">
        <f t="shared" si="31"/>
        <v>0</v>
      </c>
      <c r="I197" s="47">
        <f t="shared" si="32"/>
        <v>0</v>
      </c>
      <c r="J197" s="47">
        <f t="shared" si="33"/>
        <v>0</v>
      </c>
      <c r="K197" s="47" t="str">
        <f t="shared" si="34"/>
        <v/>
      </c>
      <c r="L197" s="4" t="e">
        <f t="shared" si="35"/>
        <v>#N/A</v>
      </c>
      <c r="M197" s="4" t="e">
        <f t="shared" si="36"/>
        <v>#N/A</v>
      </c>
      <c r="N197" s="4" t="e">
        <f t="shared" si="37"/>
        <v>#N/A</v>
      </c>
      <c r="O197" s="4" t="str">
        <f t="shared" si="30"/>
        <v/>
      </c>
    </row>
    <row r="198" spans="1:15" x14ac:dyDescent="0.3">
      <c r="A198" t="s">
        <v>549</v>
      </c>
      <c r="B198" t="s">
        <v>562</v>
      </c>
      <c r="C198" s="26" t="s">
        <v>212</v>
      </c>
      <c r="D198" s="47" t="s">
        <v>563</v>
      </c>
      <c r="E198" s="47" t="s">
        <v>613</v>
      </c>
      <c r="F198">
        <v>24</v>
      </c>
      <c r="G198" t="s">
        <v>741</v>
      </c>
      <c r="H198" s="47">
        <f t="shared" si="31"/>
        <v>0</v>
      </c>
      <c r="I198" s="47">
        <f t="shared" si="32"/>
        <v>0</v>
      </c>
      <c r="J198" s="47">
        <f t="shared" si="33"/>
        <v>0</v>
      </c>
      <c r="K198" s="47" t="str">
        <f t="shared" si="34"/>
        <v/>
      </c>
      <c r="L198" s="4" t="e">
        <f t="shared" si="35"/>
        <v>#N/A</v>
      </c>
      <c r="M198" s="4" t="e">
        <f t="shared" si="36"/>
        <v>#N/A</v>
      </c>
      <c r="N198" s="4" t="e">
        <f t="shared" si="37"/>
        <v>#N/A</v>
      </c>
      <c r="O198" s="4" t="str">
        <f t="shared" si="30"/>
        <v/>
      </c>
    </row>
    <row r="199" spans="1:15" x14ac:dyDescent="0.3">
      <c r="A199" t="s">
        <v>549</v>
      </c>
      <c r="B199" t="s">
        <v>559</v>
      </c>
      <c r="C199" s="26" t="s">
        <v>560</v>
      </c>
      <c r="D199" s="47" t="s">
        <v>561</v>
      </c>
      <c r="E199" s="47" t="s">
        <v>608</v>
      </c>
      <c r="F199">
        <v>63</v>
      </c>
      <c r="G199" t="s">
        <v>698</v>
      </c>
      <c r="H199" s="47">
        <f t="shared" si="31"/>
        <v>0</v>
      </c>
      <c r="I199" s="47">
        <f t="shared" si="32"/>
        <v>0</v>
      </c>
      <c r="J199" s="47">
        <f t="shared" si="33"/>
        <v>0</v>
      </c>
      <c r="K199" s="47" t="str">
        <f t="shared" si="34"/>
        <v/>
      </c>
      <c r="L199" s="4" t="e">
        <f t="shared" si="35"/>
        <v>#N/A</v>
      </c>
      <c r="M199" s="4" t="e">
        <f t="shared" si="36"/>
        <v>#N/A</v>
      </c>
      <c r="N199" s="4" t="e">
        <f t="shared" si="37"/>
        <v>#N/A</v>
      </c>
      <c r="O199" s="4" t="str">
        <f t="shared" si="30"/>
        <v/>
      </c>
    </row>
    <row r="200" spans="1:15" x14ac:dyDescent="0.3">
      <c r="A200" t="s">
        <v>549</v>
      </c>
      <c r="B200" t="s">
        <v>564</v>
      </c>
      <c r="C200" s="26" t="s">
        <v>565</v>
      </c>
      <c r="D200" s="47" t="s">
        <v>566</v>
      </c>
      <c r="E200" s="47" t="s">
        <v>608</v>
      </c>
      <c r="F200">
        <v>260</v>
      </c>
      <c r="G200" t="s">
        <v>742</v>
      </c>
      <c r="H200" s="47">
        <f t="shared" si="31"/>
        <v>0</v>
      </c>
      <c r="I200" s="47">
        <f t="shared" si="32"/>
        <v>0</v>
      </c>
      <c r="J200" s="47">
        <f t="shared" si="33"/>
        <v>0</v>
      </c>
      <c r="K200" s="47" t="str">
        <f t="shared" si="34"/>
        <v/>
      </c>
      <c r="L200" s="4" t="e">
        <f t="shared" si="35"/>
        <v>#N/A</v>
      </c>
      <c r="M200" s="4" t="e">
        <f t="shared" si="36"/>
        <v>#N/A</v>
      </c>
      <c r="N200" s="4" t="e">
        <f t="shared" si="37"/>
        <v>#N/A</v>
      </c>
      <c r="O200" s="4" t="str">
        <f t="shared" si="30"/>
        <v/>
      </c>
    </row>
    <row r="201" spans="1:15" x14ac:dyDescent="0.3">
      <c r="A201" t="s">
        <v>549</v>
      </c>
      <c r="B201" t="s">
        <v>550</v>
      </c>
      <c r="C201" s="26" t="s">
        <v>551</v>
      </c>
      <c r="D201" s="47" t="s">
        <v>552</v>
      </c>
      <c r="E201" s="47" t="s">
        <v>608</v>
      </c>
      <c r="F201">
        <v>50</v>
      </c>
      <c r="G201" t="s">
        <v>743</v>
      </c>
      <c r="H201" s="47">
        <f t="shared" si="31"/>
        <v>0</v>
      </c>
      <c r="I201" s="47">
        <f t="shared" si="32"/>
        <v>0</v>
      </c>
      <c r="J201" s="47">
        <f t="shared" si="33"/>
        <v>0</v>
      </c>
      <c r="K201" s="47" t="str">
        <f t="shared" si="34"/>
        <v/>
      </c>
      <c r="L201" s="4" t="e">
        <f t="shared" si="35"/>
        <v>#N/A</v>
      </c>
      <c r="M201" s="4" t="e">
        <f t="shared" si="36"/>
        <v>#N/A</v>
      </c>
      <c r="N201" s="4" t="e">
        <f t="shared" si="37"/>
        <v>#N/A</v>
      </c>
      <c r="O201" s="4" t="str">
        <f t="shared" si="30"/>
        <v/>
      </c>
    </row>
    <row r="202" spans="1:15" x14ac:dyDescent="0.3">
      <c r="A202" t="s">
        <v>567</v>
      </c>
      <c r="B202" t="s">
        <v>571</v>
      </c>
      <c r="C202" s="26" t="s">
        <v>572</v>
      </c>
      <c r="D202" s="47" t="s">
        <v>573</v>
      </c>
      <c r="E202" s="47" t="s">
        <v>608</v>
      </c>
      <c r="F202">
        <v>64</v>
      </c>
      <c r="G202" t="s">
        <v>744</v>
      </c>
      <c r="H202" s="47">
        <f t="shared" si="31"/>
        <v>0</v>
      </c>
      <c r="I202" s="47">
        <f t="shared" si="32"/>
        <v>0</v>
      </c>
      <c r="J202" s="47">
        <f t="shared" si="33"/>
        <v>0</v>
      </c>
      <c r="K202" s="47" t="str">
        <f t="shared" si="34"/>
        <v/>
      </c>
      <c r="L202" s="4" t="e">
        <f t="shared" si="35"/>
        <v>#N/A</v>
      </c>
      <c r="M202" s="4" t="e">
        <f t="shared" si="36"/>
        <v>#N/A</v>
      </c>
      <c r="N202" s="4" t="e">
        <f t="shared" si="37"/>
        <v>#N/A</v>
      </c>
      <c r="O202" s="4" t="str">
        <f t="shared" si="30"/>
        <v/>
      </c>
    </row>
    <row r="203" spans="1:15" x14ac:dyDescent="0.3">
      <c r="A203" t="s">
        <v>567</v>
      </c>
      <c r="B203" t="s">
        <v>568</v>
      </c>
      <c r="C203" s="26" t="s">
        <v>569</v>
      </c>
      <c r="D203" s="47" t="s">
        <v>570</v>
      </c>
      <c r="E203" s="47" t="s">
        <v>608</v>
      </c>
      <c r="F203">
        <v>64</v>
      </c>
      <c r="G203" t="s">
        <v>745</v>
      </c>
      <c r="H203" s="47">
        <f t="shared" si="31"/>
        <v>0</v>
      </c>
      <c r="I203" s="47">
        <f t="shared" si="32"/>
        <v>0</v>
      </c>
      <c r="J203" s="47">
        <f t="shared" si="33"/>
        <v>0</v>
      </c>
      <c r="K203" s="47" t="str">
        <f t="shared" si="34"/>
        <v/>
      </c>
      <c r="L203" s="4" t="e">
        <f t="shared" si="35"/>
        <v>#N/A</v>
      </c>
      <c r="M203" s="4" t="e">
        <f t="shared" si="36"/>
        <v>#N/A</v>
      </c>
      <c r="N203" s="4" t="e">
        <f t="shared" si="37"/>
        <v>#N/A</v>
      </c>
      <c r="O203" s="4" t="str">
        <f t="shared" si="30"/>
        <v/>
      </c>
    </row>
    <row r="204" spans="1:15" x14ac:dyDescent="0.3">
      <c r="A204" t="s">
        <v>567</v>
      </c>
      <c r="B204" t="s">
        <v>577</v>
      </c>
      <c r="C204" s="26" t="s">
        <v>578</v>
      </c>
      <c r="D204" s="47" t="s">
        <v>579</v>
      </c>
      <c r="E204" s="47" t="s">
        <v>608</v>
      </c>
      <c r="F204">
        <v>64</v>
      </c>
      <c r="G204" t="s">
        <v>746</v>
      </c>
      <c r="H204" s="47">
        <f t="shared" si="31"/>
        <v>0</v>
      </c>
      <c r="I204" s="47">
        <f t="shared" si="32"/>
        <v>0</v>
      </c>
      <c r="J204" s="47">
        <f t="shared" si="33"/>
        <v>0</v>
      </c>
      <c r="K204" s="47" t="str">
        <f t="shared" si="34"/>
        <v/>
      </c>
      <c r="L204" s="4" t="e">
        <f t="shared" si="35"/>
        <v>#N/A</v>
      </c>
      <c r="M204" s="4" t="e">
        <f t="shared" si="36"/>
        <v>#N/A</v>
      </c>
      <c r="N204" s="4" t="e">
        <f t="shared" si="37"/>
        <v>#N/A</v>
      </c>
      <c r="O204" s="4" t="str">
        <f t="shared" si="30"/>
        <v/>
      </c>
    </row>
    <row r="205" spans="1:15" x14ac:dyDescent="0.3">
      <c r="A205" t="s">
        <v>567</v>
      </c>
      <c r="B205" t="s">
        <v>574</v>
      </c>
      <c r="C205" s="26" t="s">
        <v>575</v>
      </c>
      <c r="D205" s="47" t="s">
        <v>576</v>
      </c>
      <c r="E205" s="47" t="s">
        <v>608</v>
      </c>
      <c r="F205">
        <v>64</v>
      </c>
      <c r="G205" t="s">
        <v>747</v>
      </c>
      <c r="H205" s="47">
        <f t="shared" si="31"/>
        <v>0</v>
      </c>
      <c r="I205" s="47">
        <f t="shared" si="32"/>
        <v>0</v>
      </c>
      <c r="J205" s="47">
        <f t="shared" si="33"/>
        <v>0</v>
      </c>
      <c r="K205" s="47" t="str">
        <f t="shared" si="34"/>
        <v/>
      </c>
      <c r="L205" s="4" t="e">
        <f t="shared" si="35"/>
        <v>#N/A</v>
      </c>
      <c r="M205" s="4" t="e">
        <f t="shared" si="36"/>
        <v>#N/A</v>
      </c>
      <c r="N205" s="4" t="e">
        <f t="shared" si="37"/>
        <v>#N/A</v>
      </c>
      <c r="O205" s="4" t="str">
        <f t="shared" si="30"/>
        <v/>
      </c>
    </row>
  </sheetData>
  <autoFilter ref="A1:O205" xr:uid="{480C12B3-F6BA-4E73-8541-1F8F0419ED6F}">
    <sortState xmlns:xlrd2="http://schemas.microsoft.com/office/spreadsheetml/2017/richdata2" ref="A2:O203">
      <sortCondition ref="A1"/>
    </sortState>
  </autoFilter>
  <phoneticPr fontId="4" type="noConversion"/>
  <dataValidations count="2">
    <dataValidation type="list" allowBlank="1" showInputMessage="1" showErrorMessage="1" sqref="E2:E205" xr:uid="{72C810A0-DE4C-47A4-BF9F-BB8821257CD8}">
      <formula1>typeStructure</formula1>
    </dataValidation>
    <dataValidation type="list" allowBlank="1" showInputMessage="1" showErrorMessage="1" sqref="H2:J205" xr:uid="{EF6B191E-48D7-4722-A0DB-3962FA121AAC}">
      <formula1>elements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E57DF-AEFB-4877-8935-6BD1A67F4136}">
  <dimension ref="A1:G54"/>
  <sheetViews>
    <sheetView workbookViewId="0">
      <selection activeCell="J14" sqref="J14"/>
    </sheetView>
  </sheetViews>
  <sheetFormatPr defaultRowHeight="14.4" x14ac:dyDescent="0.3"/>
  <cols>
    <col min="1" max="1" width="26.6640625" bestFit="1" customWidth="1"/>
    <col min="2" max="5" width="18.88671875" customWidth="1"/>
    <col min="6" max="6" width="15.44140625" customWidth="1"/>
  </cols>
  <sheetData>
    <row r="1" spans="1:7" x14ac:dyDescent="0.3">
      <c r="A1" s="20" t="s">
        <v>580</v>
      </c>
      <c r="B1" s="23" t="s">
        <v>613</v>
      </c>
      <c r="C1" s="14" t="s">
        <v>796</v>
      </c>
      <c r="D1" s="23" t="s">
        <v>944</v>
      </c>
      <c r="E1" s="23" t="s">
        <v>797</v>
      </c>
      <c r="F1" s="14" t="str">
        <f>Entities!B3</f>
        <v>Organisation</v>
      </c>
      <c r="G1" s="15" t="s">
        <v>628</v>
      </c>
    </row>
    <row r="2" spans="1:7" x14ac:dyDescent="0.3">
      <c r="A2" s="21" t="s">
        <v>45</v>
      </c>
      <c r="B2" t="s">
        <v>612</v>
      </c>
      <c r="C2" s="16" t="s">
        <v>798</v>
      </c>
      <c r="D2" t="s">
        <v>945</v>
      </c>
      <c r="E2" t="s">
        <v>799</v>
      </c>
      <c r="F2" s="16" t="str">
        <f>Entities!B4</f>
        <v>Department</v>
      </c>
      <c r="G2" s="17" t="s">
        <v>629</v>
      </c>
    </row>
    <row r="3" spans="1:7" ht="15" thickBot="1" x14ac:dyDescent="0.35">
      <c r="A3" s="21" t="s">
        <v>957</v>
      </c>
      <c r="B3" s="24" t="s">
        <v>608</v>
      </c>
      <c r="C3" s="16" t="s">
        <v>800</v>
      </c>
      <c r="D3" t="s">
        <v>946</v>
      </c>
      <c r="E3" t="s">
        <v>801</v>
      </c>
      <c r="F3" s="16" t="str">
        <f>Entities!B5</f>
        <v>Tenant Name</v>
      </c>
      <c r="G3" s="17" t="s">
        <v>953</v>
      </c>
    </row>
    <row r="4" spans="1:7" x14ac:dyDescent="0.3">
      <c r="A4" s="21" t="s">
        <v>131</v>
      </c>
      <c r="C4" s="16" t="s">
        <v>802</v>
      </c>
      <c r="D4" t="s">
        <v>947</v>
      </c>
      <c r="E4" t="s">
        <v>803</v>
      </c>
      <c r="F4" s="16" t="str">
        <f>Entities!B6</f>
        <v>Subscription</v>
      </c>
      <c r="G4" s="17" t="s">
        <v>792</v>
      </c>
    </row>
    <row r="5" spans="1:7" x14ac:dyDescent="0.3">
      <c r="A5" s="21" t="s">
        <v>216</v>
      </c>
      <c r="C5" s="16" t="s">
        <v>804</v>
      </c>
      <c r="D5" t="s">
        <v>806</v>
      </c>
      <c r="E5" t="s">
        <v>805</v>
      </c>
      <c r="F5" s="16" t="str">
        <f>Entities!B7</f>
        <v>Workload</v>
      </c>
      <c r="G5" s="17" t="s">
        <v>952</v>
      </c>
    </row>
    <row r="6" spans="1:7" x14ac:dyDescent="0.3">
      <c r="A6" s="21" t="s">
        <v>242</v>
      </c>
      <c r="C6" s="16" t="s">
        <v>807</v>
      </c>
      <c r="D6" t="s">
        <v>809</v>
      </c>
      <c r="E6" t="s">
        <v>808</v>
      </c>
      <c r="F6" s="16" t="str">
        <f>Entities!B8</f>
        <v>Environment</v>
      </c>
      <c r="G6" s="17" t="s">
        <v>604</v>
      </c>
    </row>
    <row r="7" spans="1:7" x14ac:dyDescent="0.3">
      <c r="A7" s="21" t="s">
        <v>293</v>
      </c>
      <c r="C7" s="16" t="s">
        <v>810</v>
      </c>
      <c r="D7" t="s">
        <v>812</v>
      </c>
      <c r="E7" t="s">
        <v>811</v>
      </c>
      <c r="F7" s="16" t="str">
        <f>Entities!B10</f>
        <v>Azure Region</v>
      </c>
      <c r="G7" s="17" t="s">
        <v>606</v>
      </c>
    </row>
    <row r="8" spans="1:7" ht="15" thickBot="1" x14ac:dyDescent="0.35">
      <c r="A8" s="21" t="s">
        <v>306</v>
      </c>
      <c r="C8" s="16" t="s">
        <v>813</v>
      </c>
      <c r="D8" t="s">
        <v>815</v>
      </c>
      <c r="E8" t="s">
        <v>814</v>
      </c>
      <c r="F8" s="18"/>
      <c r="G8" s="19"/>
    </row>
    <row r="9" spans="1:7" x14ac:dyDescent="0.3">
      <c r="A9" s="21" t="s">
        <v>310</v>
      </c>
      <c r="C9" s="16" t="s">
        <v>816</v>
      </c>
      <c r="D9" t="s">
        <v>818</v>
      </c>
      <c r="E9" s="17" t="s">
        <v>817</v>
      </c>
    </row>
    <row r="10" spans="1:7" x14ac:dyDescent="0.3">
      <c r="A10" s="21" t="s">
        <v>332</v>
      </c>
      <c r="C10" s="16" t="s">
        <v>819</v>
      </c>
      <c r="D10" t="s">
        <v>821</v>
      </c>
      <c r="E10" s="17" t="s">
        <v>820</v>
      </c>
    </row>
    <row r="11" spans="1:7" x14ac:dyDescent="0.3">
      <c r="A11" s="21" t="s">
        <v>374</v>
      </c>
      <c r="C11" s="16" t="s">
        <v>822</v>
      </c>
      <c r="D11" t="s">
        <v>824</v>
      </c>
      <c r="E11" s="17" t="s">
        <v>823</v>
      </c>
    </row>
    <row r="12" spans="1:7" x14ac:dyDescent="0.3">
      <c r="A12" s="21" t="s">
        <v>384</v>
      </c>
      <c r="C12" s="16" t="s">
        <v>825</v>
      </c>
      <c r="D12" t="s">
        <v>827</v>
      </c>
      <c r="E12" s="17" t="s">
        <v>826</v>
      </c>
    </row>
    <row r="13" spans="1:7" x14ac:dyDescent="0.3">
      <c r="A13" s="21" t="s">
        <v>519</v>
      </c>
      <c r="C13" s="16" t="s">
        <v>828</v>
      </c>
      <c r="D13" t="s">
        <v>830</v>
      </c>
      <c r="E13" s="17" t="s">
        <v>829</v>
      </c>
    </row>
    <row r="14" spans="1:7" x14ac:dyDescent="0.3">
      <c r="A14" s="21" t="s">
        <v>549</v>
      </c>
      <c r="C14" s="16" t="s">
        <v>831</v>
      </c>
      <c r="D14" t="s">
        <v>833</v>
      </c>
      <c r="E14" s="17" t="s">
        <v>832</v>
      </c>
    </row>
    <row r="15" spans="1:7" ht="15" thickBot="1" x14ac:dyDescent="0.35">
      <c r="A15" s="22" t="s">
        <v>567</v>
      </c>
      <c r="C15" s="16" t="s">
        <v>656</v>
      </c>
      <c r="D15" t="s">
        <v>661</v>
      </c>
      <c r="E15" s="17" t="s">
        <v>834</v>
      </c>
    </row>
    <row r="16" spans="1:7" x14ac:dyDescent="0.3">
      <c r="C16" s="16" t="s">
        <v>835</v>
      </c>
      <c r="D16" t="s">
        <v>837</v>
      </c>
      <c r="E16" s="17" t="s">
        <v>836</v>
      </c>
    </row>
    <row r="17" spans="3:5" x14ac:dyDescent="0.3">
      <c r="C17" s="16" t="s">
        <v>838</v>
      </c>
      <c r="D17" t="s">
        <v>942</v>
      </c>
      <c r="E17" s="17" t="s">
        <v>839</v>
      </c>
    </row>
    <row r="18" spans="3:5" x14ac:dyDescent="0.3">
      <c r="C18" s="16" t="s">
        <v>840</v>
      </c>
      <c r="D18" t="s">
        <v>943</v>
      </c>
      <c r="E18" s="17" t="s">
        <v>841</v>
      </c>
    </row>
    <row r="19" spans="3:5" x14ac:dyDescent="0.3">
      <c r="C19" s="16" t="s">
        <v>842</v>
      </c>
      <c r="D19" t="s">
        <v>844</v>
      </c>
      <c r="E19" s="17" t="s">
        <v>843</v>
      </c>
    </row>
    <row r="20" spans="3:5" x14ac:dyDescent="0.3">
      <c r="C20" s="16" t="s">
        <v>845</v>
      </c>
      <c r="D20" t="s">
        <v>847</v>
      </c>
      <c r="E20" s="17" t="s">
        <v>846</v>
      </c>
    </row>
    <row r="21" spans="3:5" x14ac:dyDescent="0.3">
      <c r="C21" s="16" t="s">
        <v>848</v>
      </c>
      <c r="D21" t="s">
        <v>850</v>
      </c>
      <c r="E21" s="17" t="s">
        <v>849</v>
      </c>
    </row>
    <row r="22" spans="3:5" x14ac:dyDescent="0.3">
      <c r="C22" s="16" t="s">
        <v>851</v>
      </c>
      <c r="D22" t="s">
        <v>853</v>
      </c>
      <c r="E22" s="17" t="s">
        <v>852</v>
      </c>
    </row>
    <row r="23" spans="3:5" x14ac:dyDescent="0.3">
      <c r="C23" s="16" t="s">
        <v>854</v>
      </c>
      <c r="D23" t="s">
        <v>856</v>
      </c>
      <c r="E23" s="17" t="s">
        <v>855</v>
      </c>
    </row>
    <row r="24" spans="3:5" x14ac:dyDescent="0.3">
      <c r="C24" s="16" t="s">
        <v>857</v>
      </c>
      <c r="D24" t="s">
        <v>859</v>
      </c>
      <c r="E24" s="17" t="s">
        <v>858</v>
      </c>
    </row>
    <row r="25" spans="3:5" x14ac:dyDescent="0.3">
      <c r="C25" s="16" t="s">
        <v>860</v>
      </c>
      <c r="D25" t="s">
        <v>862</v>
      </c>
      <c r="E25" s="17" t="s">
        <v>861</v>
      </c>
    </row>
    <row r="26" spans="3:5" x14ac:dyDescent="0.3">
      <c r="C26" s="16" t="s">
        <v>863</v>
      </c>
      <c r="D26" t="s">
        <v>865</v>
      </c>
      <c r="E26" s="17" t="s">
        <v>864</v>
      </c>
    </row>
    <row r="27" spans="3:5" x14ac:dyDescent="0.3">
      <c r="C27" s="16" t="s">
        <v>866</v>
      </c>
      <c r="D27" t="s">
        <v>868</v>
      </c>
      <c r="E27" s="17" t="s">
        <v>867</v>
      </c>
    </row>
    <row r="28" spans="3:5" x14ac:dyDescent="0.3">
      <c r="C28" s="16" t="s">
        <v>869</v>
      </c>
      <c r="D28" t="s">
        <v>871</v>
      </c>
      <c r="E28" s="17" t="s">
        <v>870</v>
      </c>
    </row>
    <row r="29" spans="3:5" x14ac:dyDescent="0.3">
      <c r="C29" s="16" t="s">
        <v>872</v>
      </c>
      <c r="D29" t="s">
        <v>874</v>
      </c>
      <c r="E29" s="17" t="s">
        <v>873</v>
      </c>
    </row>
    <row r="30" spans="3:5" x14ac:dyDescent="0.3">
      <c r="C30" s="16" t="s">
        <v>654</v>
      </c>
      <c r="D30" t="s">
        <v>659</v>
      </c>
      <c r="E30" s="17" t="s">
        <v>875</v>
      </c>
    </row>
    <row r="31" spans="3:5" x14ac:dyDescent="0.3">
      <c r="C31" s="16" t="s">
        <v>876</v>
      </c>
      <c r="D31" t="s">
        <v>878</v>
      </c>
      <c r="E31" s="17" t="s">
        <v>877</v>
      </c>
    </row>
    <row r="32" spans="3:5" x14ac:dyDescent="0.3">
      <c r="C32" s="16" t="s">
        <v>879</v>
      </c>
      <c r="D32" t="s">
        <v>881</v>
      </c>
      <c r="E32" s="17" t="s">
        <v>880</v>
      </c>
    </row>
    <row r="33" spans="3:5" x14ac:dyDescent="0.3">
      <c r="C33" s="16" t="s">
        <v>882</v>
      </c>
      <c r="D33" t="s">
        <v>884</v>
      </c>
      <c r="E33" s="17" t="s">
        <v>883</v>
      </c>
    </row>
    <row r="34" spans="3:5" x14ac:dyDescent="0.3">
      <c r="C34" s="16" t="s">
        <v>885</v>
      </c>
      <c r="D34" t="s">
        <v>887</v>
      </c>
      <c r="E34" s="17" t="s">
        <v>886</v>
      </c>
    </row>
    <row r="35" spans="3:5" x14ac:dyDescent="0.3">
      <c r="C35" s="16" t="s">
        <v>888</v>
      </c>
      <c r="D35" t="s">
        <v>890</v>
      </c>
      <c r="E35" s="17" t="s">
        <v>889</v>
      </c>
    </row>
    <row r="36" spans="3:5" x14ac:dyDescent="0.3">
      <c r="C36" s="16" t="s">
        <v>891</v>
      </c>
      <c r="D36" t="s">
        <v>893</v>
      </c>
      <c r="E36" s="17" t="s">
        <v>892</v>
      </c>
    </row>
    <row r="37" spans="3:5" x14ac:dyDescent="0.3">
      <c r="C37" s="16" t="s">
        <v>894</v>
      </c>
      <c r="D37" t="s">
        <v>896</v>
      </c>
      <c r="E37" s="17" t="s">
        <v>895</v>
      </c>
    </row>
    <row r="38" spans="3:5" x14ac:dyDescent="0.3">
      <c r="C38" s="16" t="s">
        <v>897</v>
      </c>
      <c r="D38" t="s">
        <v>899</v>
      </c>
      <c r="E38" s="17" t="s">
        <v>898</v>
      </c>
    </row>
    <row r="39" spans="3:5" x14ac:dyDescent="0.3">
      <c r="C39" s="16" t="s">
        <v>900</v>
      </c>
      <c r="D39" t="s">
        <v>902</v>
      </c>
      <c r="E39" s="17" t="s">
        <v>901</v>
      </c>
    </row>
    <row r="40" spans="3:5" x14ac:dyDescent="0.3">
      <c r="C40" s="16" t="s">
        <v>903</v>
      </c>
      <c r="D40" t="s">
        <v>905</v>
      </c>
      <c r="E40" s="17" t="s">
        <v>904</v>
      </c>
    </row>
    <row r="41" spans="3:5" x14ac:dyDescent="0.3">
      <c r="C41" s="16" t="s">
        <v>906</v>
      </c>
      <c r="D41" t="s">
        <v>908</v>
      </c>
      <c r="E41" s="17" t="s">
        <v>907</v>
      </c>
    </row>
    <row r="42" spans="3:5" x14ac:dyDescent="0.3">
      <c r="C42" s="16" t="s">
        <v>909</v>
      </c>
      <c r="D42" t="s">
        <v>911</v>
      </c>
      <c r="E42" s="17" t="s">
        <v>910</v>
      </c>
    </row>
    <row r="43" spans="3:5" x14ac:dyDescent="0.3">
      <c r="C43" s="16" t="s">
        <v>912</v>
      </c>
      <c r="D43" t="s">
        <v>914</v>
      </c>
      <c r="E43" s="17" t="s">
        <v>913</v>
      </c>
    </row>
    <row r="44" spans="3:5" x14ac:dyDescent="0.3">
      <c r="C44" s="16" t="s">
        <v>915</v>
      </c>
      <c r="D44" t="s">
        <v>917</v>
      </c>
      <c r="E44" s="17" t="s">
        <v>916</v>
      </c>
    </row>
    <row r="45" spans="3:5" x14ac:dyDescent="0.3">
      <c r="C45" s="16" t="s">
        <v>918</v>
      </c>
      <c r="D45" t="s">
        <v>920</v>
      </c>
      <c r="E45" s="17" t="s">
        <v>919</v>
      </c>
    </row>
    <row r="46" spans="3:5" x14ac:dyDescent="0.3">
      <c r="C46" s="16" t="s">
        <v>921</v>
      </c>
      <c r="D46" t="s">
        <v>923</v>
      </c>
      <c r="E46" s="17" t="s">
        <v>922</v>
      </c>
    </row>
    <row r="47" spans="3:5" x14ac:dyDescent="0.3">
      <c r="C47" s="16" t="s">
        <v>653</v>
      </c>
      <c r="D47" t="s">
        <v>623</v>
      </c>
      <c r="E47" s="17" t="s">
        <v>924</v>
      </c>
    </row>
    <row r="48" spans="3:5" x14ac:dyDescent="0.3">
      <c r="C48" s="16" t="s">
        <v>657</v>
      </c>
      <c r="D48" t="s">
        <v>658</v>
      </c>
      <c r="E48" s="17" t="s">
        <v>925</v>
      </c>
    </row>
    <row r="49" spans="3:5" x14ac:dyDescent="0.3">
      <c r="C49" s="16" t="s">
        <v>926</v>
      </c>
      <c r="D49" t="s">
        <v>928</v>
      </c>
      <c r="E49" s="17" t="s">
        <v>927</v>
      </c>
    </row>
    <row r="50" spans="3:5" x14ac:dyDescent="0.3">
      <c r="C50" s="16" t="s">
        <v>655</v>
      </c>
      <c r="D50" t="s">
        <v>660</v>
      </c>
      <c r="E50" s="17" t="s">
        <v>929</v>
      </c>
    </row>
    <row r="51" spans="3:5" x14ac:dyDescent="0.3">
      <c r="C51" s="16" t="s">
        <v>930</v>
      </c>
      <c r="D51" t="s">
        <v>932</v>
      </c>
      <c r="E51" s="17" t="s">
        <v>931</v>
      </c>
    </row>
    <row r="52" spans="3:5" x14ac:dyDescent="0.3">
      <c r="C52" s="16" t="s">
        <v>933</v>
      </c>
      <c r="D52" t="s">
        <v>935</v>
      </c>
      <c r="E52" s="17" t="s">
        <v>934</v>
      </c>
    </row>
    <row r="53" spans="3:5" x14ac:dyDescent="0.3">
      <c r="C53" s="16" t="s">
        <v>936</v>
      </c>
      <c r="D53" t="s">
        <v>938</v>
      </c>
      <c r="E53" s="17" t="s">
        <v>937</v>
      </c>
    </row>
    <row r="54" spans="3:5" ht="15" thickBot="1" x14ac:dyDescent="0.35">
      <c r="C54" s="18" t="s">
        <v>939</v>
      </c>
      <c r="D54" s="24" t="s">
        <v>941</v>
      </c>
      <c r="E54" s="19" t="s">
        <v>940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fae8262-b78e-4366-8929-a5d6aac95320}" enabled="1" method="Standard" siteId="{cf36141c-ddd7-45a7-b073-111f66d0b30c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34</vt:i4>
      </vt:variant>
    </vt:vector>
  </HeadingPairs>
  <TitlesOfParts>
    <vt:vector size="38" baseType="lpstr">
      <vt:lpstr>Entities</vt:lpstr>
      <vt:lpstr>Resources</vt:lpstr>
      <vt:lpstr>_resources</vt:lpstr>
      <vt:lpstr>_types</vt:lpstr>
      <vt:lpstr>abbrAtEnd</vt:lpstr>
      <vt:lpstr>azregion</vt:lpstr>
      <vt:lpstr>azregion_lookup</vt:lpstr>
      <vt:lpstr>azregions</vt:lpstr>
      <vt:lpstr>dept</vt:lpstr>
      <vt:lpstr>element_selection</vt:lpstr>
      <vt:lpstr>element2</vt:lpstr>
      <vt:lpstr>element3</vt:lpstr>
      <vt:lpstr>element4</vt:lpstr>
      <vt:lpstr>element5</vt:lpstr>
      <vt:lpstr>element6</vt:lpstr>
      <vt:lpstr>elements</vt:lpstr>
      <vt:lpstr>elements_lookup</vt:lpstr>
      <vt:lpstr>env</vt:lpstr>
      <vt:lpstr>instanceOption</vt:lpstr>
      <vt:lpstr>maxLength</vt:lpstr>
      <vt:lpstr>namespaces</vt:lpstr>
      <vt:lpstr>org</vt:lpstr>
      <vt:lpstr>resource_groups</vt:lpstr>
      <vt:lpstr>resourceAbbr</vt:lpstr>
      <vt:lpstr>resources</vt:lpstr>
      <vt:lpstr>rg_names</vt:lpstr>
      <vt:lpstr>rg_selection</vt:lpstr>
      <vt:lpstr>structure</vt:lpstr>
      <vt:lpstr>structure_e3</vt:lpstr>
      <vt:lpstr>structure_e4</vt:lpstr>
      <vt:lpstr>structure_e5</vt:lpstr>
      <vt:lpstr>structure_e6</vt:lpstr>
      <vt:lpstr>sub</vt:lpstr>
      <vt:lpstr>tnt</vt:lpstr>
      <vt:lpstr>totalElements</vt:lpstr>
      <vt:lpstr>typeResource</vt:lpstr>
      <vt:lpstr>typeStructure</vt:lpstr>
      <vt:lpstr>wkld</vt:lpstr>
    </vt:vector>
  </TitlesOfParts>
  <Company>The Power Coders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Azure Resource Naming Workbook</dc:title>
  <dc:subject>naming helper for Azure resources</dc:subject>
  <dc:creator>Antony Millington</dc:creator>
  <cp:keywords>azure resource</cp:keywords>
  <dc:description>v1</dc:description>
  <cp:lastModifiedBy>Antony Millington</cp:lastModifiedBy>
  <dcterms:created xsi:type="dcterms:W3CDTF">2025-03-07T17:43:21Z</dcterms:created>
  <dcterms:modified xsi:type="dcterms:W3CDTF">2025-05-21T23:53:18Z</dcterms:modified>
  <cp:category>Azure</cp:category>
</cp:coreProperties>
</file>